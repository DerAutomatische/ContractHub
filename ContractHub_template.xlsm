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habKhoubini\Downloads\"/>
    </mc:Choice>
  </mc:AlternateContent>
  <xr:revisionPtr revIDLastSave="0" documentId="13_ncr:1_{26C893C5-FFB7-4C0B-939D-3E874F64BEAB}" xr6:coauthVersionLast="47" xr6:coauthVersionMax="47" xr10:uidLastSave="{00000000-0000-0000-0000-000000000000}"/>
  <bookViews>
    <workbookView xWindow="-28920" yWindow="-120" windowWidth="29040" windowHeight="15720" tabRatio="500" activeTab="3" xr2:uid="{00000000-000D-0000-FFFF-FFFF00000000}"/>
  </bookViews>
  <sheets>
    <sheet name="Dashboard" sheetId="1" r:id="rId1"/>
    <sheet name="Suppliers" sheetId="2" r:id="rId2"/>
    <sheet name="Clients" sheetId="3" r:id="rId3"/>
    <sheet name="Forecast" sheetId="4" r:id="rId4"/>
  </sheets>
  <definedNames>
    <definedName name="_xlnm._FilterDatabase" localSheetId="1" hidden="1">Suppliers!$A$1:$M$1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3" i="4" l="1"/>
  <c r="G93" i="4"/>
  <c r="H93" i="4"/>
  <c r="I93" i="4"/>
  <c r="J93" i="4"/>
  <c r="K93" i="4"/>
  <c r="L93" i="4"/>
  <c r="M93" i="4"/>
  <c r="N93" i="4"/>
  <c r="O93" i="4"/>
  <c r="P93" i="4"/>
  <c r="Q93" i="4"/>
  <c r="F92" i="4"/>
  <c r="G92" i="4"/>
  <c r="H92" i="4"/>
  <c r="I92" i="4"/>
  <c r="J92" i="4"/>
  <c r="K92" i="4"/>
  <c r="L92" i="4"/>
  <c r="M92" i="4"/>
  <c r="N92" i="4"/>
  <c r="O92" i="4"/>
  <c r="P92" i="4"/>
  <c r="Q92" i="4"/>
  <c r="F91" i="4"/>
  <c r="G91" i="4"/>
  <c r="H91" i="4"/>
  <c r="I91" i="4"/>
  <c r="J91" i="4"/>
  <c r="K91" i="4"/>
  <c r="L91" i="4"/>
  <c r="M91" i="4"/>
  <c r="N91" i="4"/>
  <c r="O91" i="4"/>
  <c r="P91" i="4"/>
  <c r="Q91" i="4"/>
  <c r="F90" i="4"/>
  <c r="G90" i="4"/>
  <c r="H90" i="4"/>
  <c r="I90" i="4"/>
  <c r="J90" i="4"/>
  <c r="K90" i="4"/>
  <c r="L90" i="4"/>
  <c r="M90" i="4"/>
  <c r="N90" i="4"/>
  <c r="O90" i="4"/>
  <c r="P90" i="4"/>
  <c r="Q90" i="4"/>
  <c r="F89" i="4"/>
  <c r="G89" i="4"/>
  <c r="H89" i="4"/>
  <c r="I89" i="4"/>
  <c r="J89" i="4"/>
  <c r="K89" i="4"/>
  <c r="L89" i="4"/>
  <c r="M89" i="4"/>
  <c r="N89" i="4"/>
  <c r="O89" i="4"/>
  <c r="P89" i="4"/>
  <c r="Q89" i="4"/>
  <c r="F88" i="4"/>
  <c r="G88" i="4"/>
  <c r="H88" i="4"/>
  <c r="I88" i="4"/>
  <c r="J88" i="4"/>
  <c r="K88" i="4"/>
  <c r="L88" i="4"/>
  <c r="M88" i="4"/>
  <c r="N88" i="4"/>
  <c r="O88" i="4"/>
  <c r="P88" i="4"/>
  <c r="Q88" i="4"/>
  <c r="F87" i="4"/>
  <c r="G87" i="4"/>
  <c r="H87" i="4"/>
  <c r="I87" i="4"/>
  <c r="J87" i="4"/>
  <c r="K87" i="4"/>
  <c r="L87" i="4"/>
  <c r="M87" i="4"/>
  <c r="N87" i="4"/>
  <c r="O87" i="4"/>
  <c r="P87" i="4"/>
  <c r="Q87" i="4"/>
  <c r="F86" i="4"/>
  <c r="G86" i="4"/>
  <c r="H86" i="4"/>
  <c r="I86" i="4"/>
  <c r="J86" i="4"/>
  <c r="K86" i="4"/>
  <c r="L86" i="4"/>
  <c r="M86" i="4"/>
  <c r="N86" i="4"/>
  <c r="O86" i="4"/>
  <c r="P86" i="4"/>
  <c r="Q86" i="4"/>
  <c r="F85" i="4"/>
  <c r="G85" i="4"/>
  <c r="H85" i="4"/>
  <c r="I85" i="4"/>
  <c r="J85" i="4"/>
  <c r="K85" i="4"/>
  <c r="L85" i="4"/>
  <c r="M85" i="4"/>
  <c r="N85" i="4"/>
  <c r="O85" i="4"/>
  <c r="P85" i="4"/>
  <c r="Q85" i="4"/>
  <c r="F84" i="4"/>
  <c r="G84" i="4"/>
  <c r="H84" i="4"/>
  <c r="I84" i="4"/>
  <c r="J84" i="4"/>
  <c r="K84" i="4"/>
  <c r="L84" i="4"/>
  <c r="M84" i="4"/>
  <c r="N84" i="4"/>
  <c r="O84" i="4"/>
  <c r="P84" i="4"/>
  <c r="Q84" i="4"/>
  <c r="F83" i="4"/>
  <c r="G83" i="4"/>
  <c r="H83" i="4"/>
  <c r="I83" i="4"/>
  <c r="J83" i="4"/>
  <c r="K83" i="4"/>
  <c r="L83" i="4"/>
  <c r="M83" i="4"/>
  <c r="N83" i="4"/>
  <c r="O83" i="4"/>
  <c r="P83" i="4"/>
  <c r="Q83" i="4"/>
  <c r="F82" i="4"/>
  <c r="G82" i="4"/>
  <c r="H82" i="4"/>
  <c r="I82" i="4"/>
  <c r="J82" i="4"/>
  <c r="K82" i="4"/>
  <c r="L82" i="4"/>
  <c r="M82" i="4"/>
  <c r="N82" i="4"/>
  <c r="O82" i="4"/>
  <c r="P82" i="4"/>
  <c r="Q82" i="4"/>
  <c r="F81" i="4"/>
  <c r="G81" i="4"/>
  <c r="H81" i="4"/>
  <c r="I81" i="4"/>
  <c r="J81" i="4"/>
  <c r="K81" i="4"/>
  <c r="L81" i="4"/>
  <c r="M81" i="4"/>
  <c r="N81" i="4"/>
  <c r="O81" i="4"/>
  <c r="P81" i="4"/>
  <c r="Q81" i="4"/>
  <c r="F80" i="4"/>
  <c r="G80" i="4"/>
  <c r="H80" i="4"/>
  <c r="I80" i="4"/>
  <c r="J80" i="4"/>
  <c r="K80" i="4"/>
  <c r="L80" i="4"/>
  <c r="M80" i="4"/>
  <c r="N80" i="4"/>
  <c r="O80" i="4"/>
  <c r="P80" i="4"/>
  <c r="Q80" i="4"/>
  <c r="F79" i="4"/>
  <c r="G79" i="4"/>
  <c r="H79" i="4"/>
  <c r="I79" i="4"/>
  <c r="J79" i="4"/>
  <c r="K79" i="4"/>
  <c r="L79" i="4"/>
  <c r="M79" i="4"/>
  <c r="N79" i="4"/>
  <c r="O79" i="4"/>
  <c r="P79" i="4"/>
  <c r="Q79" i="4"/>
  <c r="F78" i="4"/>
  <c r="G78" i="4"/>
  <c r="H78" i="4"/>
  <c r="I78" i="4"/>
  <c r="J78" i="4"/>
  <c r="K78" i="4"/>
  <c r="L78" i="4"/>
  <c r="M78" i="4"/>
  <c r="N78" i="4"/>
  <c r="O78" i="4"/>
  <c r="P78" i="4"/>
  <c r="Q78" i="4"/>
  <c r="F77" i="4"/>
  <c r="G77" i="4"/>
  <c r="H77" i="4"/>
  <c r="I77" i="4"/>
  <c r="J77" i="4"/>
  <c r="K77" i="4"/>
  <c r="L77" i="4"/>
  <c r="M77" i="4"/>
  <c r="N77" i="4"/>
  <c r="O77" i="4"/>
  <c r="P77" i="4"/>
  <c r="Q77" i="4"/>
  <c r="F76" i="4"/>
  <c r="G76" i="4"/>
  <c r="H76" i="4"/>
  <c r="I76" i="4"/>
  <c r="J76" i="4"/>
  <c r="K76" i="4"/>
  <c r="L76" i="4"/>
  <c r="M76" i="4"/>
  <c r="N76" i="4"/>
  <c r="O76" i="4"/>
  <c r="P76" i="4"/>
  <c r="Q76" i="4"/>
  <c r="F75" i="4"/>
  <c r="G75" i="4"/>
  <c r="H75" i="4"/>
  <c r="I75" i="4"/>
  <c r="J75" i="4"/>
  <c r="K75" i="4"/>
  <c r="L75" i="4"/>
  <c r="M75" i="4"/>
  <c r="N75" i="4"/>
  <c r="O75" i="4"/>
  <c r="P75" i="4"/>
  <c r="Q75" i="4"/>
  <c r="F74" i="4"/>
  <c r="G74" i="4"/>
  <c r="H74" i="4"/>
  <c r="I74" i="4"/>
  <c r="J74" i="4"/>
  <c r="K74" i="4"/>
  <c r="L74" i="4"/>
  <c r="M74" i="4"/>
  <c r="N74" i="4"/>
  <c r="O74" i="4"/>
  <c r="P74" i="4"/>
  <c r="Q74" i="4"/>
  <c r="F73" i="4"/>
  <c r="G73" i="4"/>
  <c r="H73" i="4"/>
  <c r="I73" i="4"/>
  <c r="J73" i="4"/>
  <c r="K73" i="4"/>
  <c r="L73" i="4"/>
  <c r="M73" i="4"/>
  <c r="N73" i="4"/>
  <c r="O73" i="4"/>
  <c r="P73" i="4"/>
  <c r="Q73" i="4"/>
  <c r="F72" i="4"/>
  <c r="G72" i="4"/>
  <c r="H72" i="4"/>
  <c r="I72" i="4"/>
  <c r="J72" i="4"/>
  <c r="K72" i="4"/>
  <c r="L72" i="4"/>
  <c r="M72" i="4"/>
  <c r="N72" i="4"/>
  <c r="O72" i="4"/>
  <c r="P72" i="4"/>
  <c r="Q72" i="4"/>
  <c r="AC94" i="4"/>
  <c r="AB94" i="4"/>
  <c r="AA94" i="4"/>
  <c r="Z94" i="4"/>
  <c r="Y94" i="4"/>
  <c r="X94" i="4"/>
  <c r="W94" i="4"/>
  <c r="V94" i="4"/>
  <c r="U94" i="4"/>
  <c r="T94" i="4"/>
  <c r="S94" i="4"/>
  <c r="R94" i="4"/>
  <c r="E93" i="4"/>
  <c r="AC92" i="4"/>
  <c r="AB92" i="4"/>
  <c r="AA92" i="4"/>
  <c r="Z92" i="4"/>
  <c r="Y92" i="4"/>
  <c r="X92" i="4"/>
  <c r="W92" i="4"/>
  <c r="V92" i="4"/>
  <c r="U92" i="4"/>
  <c r="T92" i="4"/>
  <c r="S92" i="4"/>
  <c r="R92" i="4"/>
  <c r="E92" i="4"/>
  <c r="D92" i="4"/>
  <c r="C92" i="4"/>
  <c r="B92" i="4"/>
  <c r="AC91" i="4"/>
  <c r="AB91" i="4"/>
  <c r="AA91" i="4"/>
  <c r="Z91" i="4"/>
  <c r="Y91" i="4"/>
  <c r="X91" i="4"/>
  <c r="W91" i="4"/>
  <c r="V91" i="4"/>
  <c r="U91" i="4"/>
  <c r="T91" i="4"/>
  <c r="S91" i="4"/>
  <c r="R91" i="4"/>
  <c r="E91" i="4"/>
  <c r="D91" i="4"/>
  <c r="C91" i="4"/>
  <c r="B91" i="4"/>
  <c r="AC90" i="4"/>
  <c r="AB90" i="4"/>
  <c r="AA90" i="4"/>
  <c r="Z90" i="4"/>
  <c r="Y90" i="4"/>
  <c r="X90" i="4"/>
  <c r="W90" i="4"/>
  <c r="V90" i="4"/>
  <c r="U90" i="4"/>
  <c r="T90" i="4"/>
  <c r="S90" i="4"/>
  <c r="R90" i="4"/>
  <c r="E90" i="4"/>
  <c r="D90" i="4"/>
  <c r="C90" i="4"/>
  <c r="B90" i="4"/>
  <c r="AC89" i="4"/>
  <c r="AB89" i="4"/>
  <c r="AA89" i="4"/>
  <c r="Z89" i="4"/>
  <c r="Y89" i="4"/>
  <c r="X89" i="4"/>
  <c r="W89" i="4"/>
  <c r="V89" i="4"/>
  <c r="U89" i="4"/>
  <c r="T89" i="4"/>
  <c r="S89" i="4"/>
  <c r="R89" i="4"/>
  <c r="E89" i="4"/>
  <c r="D89" i="4"/>
  <c r="C89" i="4"/>
  <c r="B89" i="4"/>
  <c r="AC88" i="4"/>
  <c r="AB88" i="4"/>
  <c r="AA88" i="4"/>
  <c r="Z88" i="4"/>
  <c r="Y88" i="4"/>
  <c r="X88" i="4"/>
  <c r="W88" i="4"/>
  <c r="V88" i="4"/>
  <c r="U88" i="4"/>
  <c r="T88" i="4"/>
  <c r="S88" i="4"/>
  <c r="R88" i="4"/>
  <c r="E88" i="4"/>
  <c r="D88" i="4"/>
  <c r="C88" i="4"/>
  <c r="B88" i="4"/>
  <c r="AC87" i="4"/>
  <c r="AB87" i="4"/>
  <c r="AA87" i="4"/>
  <c r="Z87" i="4"/>
  <c r="Y87" i="4"/>
  <c r="X87" i="4"/>
  <c r="W87" i="4"/>
  <c r="V87" i="4"/>
  <c r="U87" i="4"/>
  <c r="T87" i="4"/>
  <c r="S87" i="4"/>
  <c r="R87" i="4"/>
  <c r="E87" i="4"/>
  <c r="D87" i="4"/>
  <c r="C87" i="4"/>
  <c r="B87" i="4"/>
  <c r="AC86" i="4"/>
  <c r="AB86" i="4"/>
  <c r="AA86" i="4"/>
  <c r="Z86" i="4"/>
  <c r="Y86" i="4"/>
  <c r="X86" i="4"/>
  <c r="W86" i="4"/>
  <c r="V86" i="4"/>
  <c r="U86" i="4"/>
  <c r="T86" i="4"/>
  <c r="S86" i="4"/>
  <c r="R86" i="4"/>
  <c r="E86" i="4"/>
  <c r="D86" i="4"/>
  <c r="C86" i="4"/>
  <c r="B86" i="4"/>
  <c r="AC85" i="4"/>
  <c r="AB85" i="4"/>
  <c r="AA85" i="4"/>
  <c r="Z85" i="4"/>
  <c r="Y85" i="4"/>
  <c r="X85" i="4"/>
  <c r="W85" i="4"/>
  <c r="V85" i="4"/>
  <c r="U85" i="4"/>
  <c r="T85" i="4"/>
  <c r="S85" i="4"/>
  <c r="R85" i="4"/>
  <c r="E85" i="4"/>
  <c r="D85" i="4"/>
  <c r="C85" i="4"/>
  <c r="B85" i="4"/>
  <c r="AC84" i="4"/>
  <c r="AB84" i="4"/>
  <c r="AA84" i="4"/>
  <c r="Z84" i="4"/>
  <c r="Y84" i="4"/>
  <c r="X84" i="4"/>
  <c r="W84" i="4"/>
  <c r="V84" i="4"/>
  <c r="U84" i="4"/>
  <c r="T84" i="4"/>
  <c r="S84" i="4"/>
  <c r="R84" i="4"/>
  <c r="E84" i="4"/>
  <c r="D84" i="4"/>
  <c r="C84" i="4"/>
  <c r="B84" i="4"/>
  <c r="AC83" i="4"/>
  <c r="AB83" i="4"/>
  <c r="AA83" i="4"/>
  <c r="Z83" i="4"/>
  <c r="Y83" i="4"/>
  <c r="X83" i="4"/>
  <c r="W83" i="4"/>
  <c r="V83" i="4"/>
  <c r="U83" i="4"/>
  <c r="T83" i="4"/>
  <c r="S83" i="4"/>
  <c r="R83" i="4"/>
  <c r="E83" i="4"/>
  <c r="D83" i="4"/>
  <c r="C83" i="4"/>
  <c r="B83" i="4"/>
  <c r="AC82" i="4"/>
  <c r="AB82" i="4"/>
  <c r="AA82" i="4"/>
  <c r="Z82" i="4"/>
  <c r="Y82" i="4"/>
  <c r="X82" i="4"/>
  <c r="W82" i="4"/>
  <c r="V82" i="4"/>
  <c r="U82" i="4"/>
  <c r="T82" i="4"/>
  <c r="S82" i="4"/>
  <c r="R82" i="4"/>
  <c r="E82" i="4"/>
  <c r="D82" i="4"/>
  <c r="C82" i="4"/>
  <c r="B82" i="4"/>
  <c r="AC81" i="4"/>
  <c r="AB81" i="4"/>
  <c r="AA81" i="4"/>
  <c r="Z81" i="4"/>
  <c r="Y81" i="4"/>
  <c r="X81" i="4"/>
  <c r="W81" i="4"/>
  <c r="V81" i="4"/>
  <c r="U81" i="4"/>
  <c r="T81" i="4"/>
  <c r="S81" i="4"/>
  <c r="R81" i="4"/>
  <c r="E81" i="4"/>
  <c r="D81" i="4"/>
  <c r="C81" i="4"/>
  <c r="B81" i="4"/>
  <c r="AC80" i="4"/>
  <c r="AB80" i="4"/>
  <c r="AA80" i="4"/>
  <c r="Z80" i="4"/>
  <c r="Y80" i="4"/>
  <c r="X80" i="4"/>
  <c r="W80" i="4"/>
  <c r="V80" i="4"/>
  <c r="U80" i="4"/>
  <c r="T80" i="4"/>
  <c r="S80" i="4"/>
  <c r="R80" i="4"/>
  <c r="E80" i="4"/>
  <c r="D80" i="4"/>
  <c r="C80" i="4"/>
  <c r="B80" i="4"/>
  <c r="AC79" i="4"/>
  <c r="AB79" i="4"/>
  <c r="AA79" i="4"/>
  <c r="Z79" i="4"/>
  <c r="Y79" i="4"/>
  <c r="X79" i="4"/>
  <c r="W79" i="4"/>
  <c r="V79" i="4"/>
  <c r="U79" i="4"/>
  <c r="T79" i="4"/>
  <c r="S79" i="4"/>
  <c r="R79" i="4"/>
  <c r="E79" i="4"/>
  <c r="D79" i="4"/>
  <c r="C79" i="4"/>
  <c r="B79" i="4"/>
  <c r="AC78" i="4"/>
  <c r="AB78" i="4"/>
  <c r="AA78" i="4"/>
  <c r="Z78" i="4"/>
  <c r="Y78" i="4"/>
  <c r="X78" i="4"/>
  <c r="W78" i="4"/>
  <c r="V78" i="4"/>
  <c r="U78" i="4"/>
  <c r="T78" i="4"/>
  <c r="S78" i="4"/>
  <c r="R78" i="4"/>
  <c r="E78" i="4"/>
  <c r="D78" i="4"/>
  <c r="C78" i="4"/>
  <c r="B78" i="4"/>
  <c r="AC77" i="4"/>
  <c r="AB77" i="4"/>
  <c r="AA77" i="4"/>
  <c r="Z77" i="4"/>
  <c r="Y77" i="4"/>
  <c r="X77" i="4"/>
  <c r="W77" i="4"/>
  <c r="V77" i="4"/>
  <c r="U77" i="4"/>
  <c r="T77" i="4"/>
  <c r="S77" i="4"/>
  <c r="R77" i="4"/>
  <c r="E77" i="4"/>
  <c r="D77" i="4"/>
  <c r="C77" i="4"/>
  <c r="B77" i="4"/>
  <c r="AC76" i="4"/>
  <c r="AB76" i="4"/>
  <c r="AA76" i="4"/>
  <c r="Z76" i="4"/>
  <c r="Y76" i="4"/>
  <c r="X76" i="4"/>
  <c r="W76" i="4"/>
  <c r="V76" i="4"/>
  <c r="U76" i="4"/>
  <c r="T76" i="4"/>
  <c r="S76" i="4"/>
  <c r="R76" i="4"/>
  <c r="E76" i="4"/>
  <c r="D76" i="4"/>
  <c r="C76" i="4"/>
  <c r="B76" i="4"/>
  <c r="AC75" i="4"/>
  <c r="AB75" i="4"/>
  <c r="AA75" i="4"/>
  <c r="Z75" i="4"/>
  <c r="Y75" i="4"/>
  <c r="X75" i="4"/>
  <c r="W75" i="4"/>
  <c r="V75" i="4"/>
  <c r="U75" i="4"/>
  <c r="T75" i="4"/>
  <c r="S75" i="4"/>
  <c r="R75" i="4"/>
  <c r="E75" i="4"/>
  <c r="D75" i="4"/>
  <c r="C75" i="4"/>
  <c r="B75" i="4"/>
  <c r="AC74" i="4"/>
  <c r="AB74" i="4"/>
  <c r="AA74" i="4"/>
  <c r="Z74" i="4"/>
  <c r="Y74" i="4"/>
  <c r="X74" i="4"/>
  <c r="W74" i="4"/>
  <c r="V74" i="4"/>
  <c r="U74" i="4"/>
  <c r="T74" i="4"/>
  <c r="S74" i="4"/>
  <c r="R74" i="4"/>
  <c r="E74" i="4"/>
  <c r="D74" i="4"/>
  <c r="C74" i="4"/>
  <c r="B74" i="4"/>
  <c r="AC73" i="4"/>
  <c r="AB73" i="4"/>
  <c r="AA73" i="4"/>
  <c r="Z73" i="4"/>
  <c r="Y73" i="4"/>
  <c r="X73" i="4"/>
  <c r="W73" i="4"/>
  <c r="V73" i="4"/>
  <c r="U73" i="4"/>
  <c r="T73" i="4"/>
  <c r="S73" i="4"/>
  <c r="R73" i="4"/>
  <c r="E73" i="4"/>
  <c r="D73" i="4"/>
  <c r="C73" i="4"/>
  <c r="B73" i="4"/>
  <c r="AC72" i="4"/>
  <c r="AB72" i="4"/>
  <c r="AA72" i="4"/>
  <c r="Z72" i="4"/>
  <c r="Y72" i="4"/>
  <c r="X72" i="4"/>
  <c r="W72" i="4"/>
  <c r="V72" i="4"/>
  <c r="U72" i="4"/>
  <c r="T72" i="4"/>
  <c r="S72" i="4"/>
  <c r="R72" i="4"/>
  <c r="E72" i="4"/>
  <c r="D72" i="4"/>
  <c r="C72" i="4"/>
  <c r="B72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B8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B7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B6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B5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B4" i="4"/>
  <c r="Q3" i="4"/>
  <c r="P3" i="4"/>
  <c r="O3" i="4"/>
  <c r="N3" i="4"/>
  <c r="M3" i="4"/>
  <c r="L3" i="4"/>
  <c r="K3" i="4"/>
  <c r="J3" i="4"/>
  <c r="I3" i="4"/>
  <c r="H3" i="4"/>
  <c r="G3" i="4"/>
  <c r="F3" i="4"/>
  <c r="J21" i="2"/>
  <c r="K20" i="2"/>
  <c r="J20" i="2"/>
  <c r="K19" i="2"/>
  <c r="J19" i="2"/>
  <c r="K18" i="2"/>
  <c r="J18" i="2"/>
  <c r="K17" i="2"/>
  <c r="J17" i="2"/>
  <c r="K16" i="2"/>
  <c r="J16" i="2"/>
  <c r="K15" i="2"/>
  <c r="J15" i="2"/>
  <c r="K14" i="2"/>
  <c r="J14" i="2"/>
  <c r="K13" i="2"/>
  <c r="J13" i="2"/>
  <c r="K12" i="2"/>
  <c r="J12" i="2"/>
  <c r="K11" i="2"/>
  <c r="J11" i="2"/>
  <c r="K10" i="2"/>
  <c r="J10" i="2"/>
  <c r="K9" i="2"/>
  <c r="J9" i="2"/>
  <c r="K8" i="2"/>
  <c r="J8" i="2"/>
  <c r="K7" i="2"/>
  <c r="J7" i="2"/>
  <c r="K6" i="2"/>
  <c r="J6" i="2"/>
  <c r="K5" i="2"/>
  <c r="J5" i="2"/>
  <c r="K4" i="2"/>
  <c r="J4" i="2"/>
  <c r="K3" i="2"/>
  <c r="J3" i="2"/>
  <c r="K2" i="2"/>
  <c r="J2" i="2"/>
  <c r="I22" i="1" a="1"/>
  <c r="H22" i="1" a="1"/>
  <c r="G22" i="1" a="1"/>
  <c r="F22" i="1" a="1"/>
  <c r="E22" i="1" a="1"/>
  <c r="D22" i="1" a="1"/>
  <c r="C22" i="1" a="1"/>
  <c r="B22" i="1" a="1"/>
  <c r="A22" i="1" a="1"/>
  <c r="I21" i="1" a="1"/>
  <c r="H21" i="1" a="1"/>
  <c r="G21" i="1" a="1"/>
  <c r="F21" i="1" a="1"/>
  <c r="E21" i="1" a="1"/>
  <c r="D21" i="1" a="1"/>
  <c r="C21" i="1" a="1"/>
  <c r="B21" i="1" a="1"/>
  <c r="A21" i="1" a="1"/>
  <c r="I20" i="1" a="1"/>
  <c r="H20" i="1" a="1"/>
  <c r="G20" i="1" a="1"/>
  <c r="F20" i="1" a="1"/>
  <c r="E20" i="1" a="1"/>
  <c r="D20" i="1" a="1"/>
  <c r="C20" i="1" a="1"/>
  <c r="B20" i="1" a="1"/>
  <c r="A20" i="1" a="1"/>
  <c r="I19" i="1" a="1"/>
  <c r="H19" i="1" a="1"/>
  <c r="G19" i="1" a="1"/>
  <c r="F19" i="1" a="1"/>
  <c r="E19" i="1" a="1"/>
  <c r="D19" i="1" a="1"/>
  <c r="C19" i="1" a="1"/>
  <c r="B19" i="1" a="1"/>
  <c r="A19" i="1" a="1"/>
  <c r="I18" i="1" a="1"/>
  <c r="H18" i="1" a="1"/>
  <c r="G18" i="1" a="1"/>
  <c r="F18" i="1" a="1"/>
  <c r="E18" i="1" a="1"/>
  <c r="D18" i="1" a="1"/>
  <c r="C18" i="1" a="1"/>
  <c r="B18" i="1" a="1"/>
  <c r="A18" i="1" a="1"/>
  <c r="I17" i="1" a="1"/>
  <c r="H17" i="1" a="1"/>
  <c r="G17" i="1" a="1"/>
  <c r="F17" i="1" a="1"/>
  <c r="E17" i="1" a="1"/>
  <c r="D17" i="1" a="1"/>
  <c r="C17" i="1" a="1"/>
  <c r="B17" i="1" a="1"/>
  <c r="A17" i="1" a="1"/>
  <c r="I16" i="1" a="1"/>
  <c r="H16" i="1" a="1"/>
  <c r="G16" i="1" a="1"/>
  <c r="F16" i="1" a="1"/>
  <c r="E16" i="1" a="1"/>
  <c r="D16" i="1" a="1"/>
  <c r="C16" i="1" a="1"/>
  <c r="B16" i="1" a="1"/>
  <c r="A16" i="1" a="1"/>
  <c r="I15" i="1" a="1"/>
  <c r="H15" i="1" a="1"/>
  <c r="G15" i="1" a="1"/>
  <c r="F15" i="1" a="1"/>
  <c r="E15" i="1" a="1"/>
  <c r="D15" i="1" a="1"/>
  <c r="C15" i="1" a="1"/>
  <c r="B15" i="1" a="1"/>
  <c r="A15" i="1" a="1"/>
  <c r="I14" i="1" a="1"/>
  <c r="H14" i="1" a="1"/>
  <c r="G14" i="1" a="1"/>
  <c r="F14" i="1" a="1"/>
  <c r="E14" i="1" a="1"/>
  <c r="D14" i="1" a="1"/>
  <c r="C14" i="1" a="1"/>
  <c r="B14" i="1" a="1"/>
  <c r="A14" i="1" a="1"/>
  <c r="I13" i="1" a="1"/>
  <c r="H13" i="1" a="1"/>
  <c r="G13" i="1" a="1"/>
  <c r="F13" i="1" a="1"/>
  <c r="E13" i="1" a="1"/>
  <c r="D13" i="1" a="1"/>
  <c r="C13" i="1" a="1"/>
  <c r="B13" i="1" a="1"/>
  <c r="A13" i="1" a="1"/>
  <c r="I12" i="1" a="1"/>
  <c r="H12" i="1" a="1"/>
  <c r="G12" i="1" a="1"/>
  <c r="F12" i="1" a="1"/>
  <c r="E12" i="1" a="1"/>
  <c r="D12" i="1" a="1"/>
  <c r="C12" i="1" a="1"/>
  <c r="B12" i="1" a="1"/>
  <c r="A12" i="1" a="1"/>
  <c r="I11" i="1" a="1"/>
  <c r="H11" i="1" a="1"/>
  <c r="G11" i="1" a="1"/>
  <c r="F11" i="1" a="1"/>
  <c r="E11" i="1" a="1"/>
  <c r="D11" i="1" a="1"/>
  <c r="C11" i="1" a="1"/>
  <c r="B11" i="1" a="1"/>
  <c r="A11" i="1" a="1"/>
  <c r="I10" i="1" a="1"/>
  <c r="H10" i="1" a="1"/>
  <c r="G10" i="1" a="1"/>
  <c r="F10" i="1" a="1"/>
  <c r="E10" i="1" a="1"/>
  <c r="D10" i="1" a="1"/>
  <c r="C10" i="1" a="1"/>
  <c r="B10" i="1" a="1"/>
  <c r="A10" i="1" a="1"/>
  <c r="I9" i="1" a="1"/>
  <c r="H9" i="1" a="1"/>
  <c r="G9" i="1" a="1"/>
  <c r="F9" i="1" a="1"/>
  <c r="E9" i="1" a="1"/>
  <c r="D9" i="1" a="1"/>
  <c r="C9" i="1" a="1"/>
  <c r="B9" i="1" a="1"/>
  <c r="A9" i="1" a="1"/>
  <c r="I8" i="1" a="1"/>
  <c r="H8" i="1" a="1"/>
  <c r="G8" i="1" a="1"/>
  <c r="F8" i="1" a="1"/>
  <c r="E8" i="1" a="1"/>
  <c r="D8" i="1" a="1"/>
  <c r="C8" i="1" a="1"/>
  <c r="B8" i="1" a="1"/>
  <c r="A8" i="1" a="1"/>
  <c r="H3" i="1" a="1"/>
  <c r="E3" i="1" a="1"/>
  <c r="B3" i="1" l="1" a="1"/>
  <c r="G12" i="1"/>
  <c r="C11" i="1"/>
  <c r="B13" i="1"/>
  <c r="E12" i="1"/>
  <c r="I11" i="1"/>
  <c r="B11" i="1"/>
  <c r="I12" i="1"/>
  <c r="B12" i="1"/>
  <c r="E11" i="1"/>
  <c r="I10" i="1"/>
  <c r="F12" i="1"/>
  <c r="H11" i="1"/>
  <c r="A11" i="1"/>
  <c r="F10" i="1"/>
  <c r="H12" i="1"/>
  <c r="A12" i="1"/>
  <c r="D11" i="1"/>
  <c r="G10" i="1"/>
  <c r="G11" i="1"/>
  <c r="F11" i="1"/>
  <c r="H10" i="1"/>
  <c r="A13" i="1"/>
  <c r="D12" i="1"/>
  <c r="C12" i="1"/>
  <c r="Q94" i="4"/>
  <c r="P94" i="4"/>
  <c r="O94" i="4"/>
  <c r="N94" i="4"/>
  <c r="M94" i="4"/>
  <c r="L94" i="4"/>
  <c r="K94" i="4"/>
  <c r="J94" i="4"/>
  <c r="I94" i="4"/>
  <c r="H94" i="4"/>
  <c r="G94" i="4"/>
  <c r="F94" i="4"/>
  <c r="N21" i="2"/>
  <c r="N19" i="2"/>
  <c r="N13" i="2"/>
  <c r="N12" i="2"/>
  <c r="H22" i="1"/>
  <c r="N11" i="2"/>
  <c r="N10" i="2"/>
  <c r="N5" i="2"/>
  <c r="B22" i="1"/>
  <c r="E21" i="1"/>
  <c r="H20" i="1"/>
  <c r="C20" i="1"/>
  <c r="G19" i="1"/>
  <c r="E18" i="1"/>
  <c r="I17" i="1"/>
  <c r="C17" i="1"/>
  <c r="G16" i="1"/>
  <c r="F15" i="1"/>
  <c r="B15" i="1"/>
  <c r="F14" i="1"/>
  <c r="A14" i="1"/>
  <c r="D13" i="1"/>
  <c r="I9" i="1"/>
  <c r="B9" i="1"/>
  <c r="E8" i="1"/>
  <c r="E3" i="1"/>
  <c r="N20" i="2"/>
  <c r="N18" i="2"/>
  <c r="N3" i="2"/>
  <c r="A22" i="1"/>
  <c r="D21" i="1"/>
  <c r="G20" i="1"/>
  <c r="F19" i="1"/>
  <c r="H18" i="1"/>
  <c r="B18" i="1"/>
  <c r="F17" i="1"/>
  <c r="A17" i="1"/>
  <c r="E16" i="1"/>
  <c r="I15" i="1"/>
  <c r="D15" i="1"/>
  <c r="H14" i="1"/>
  <c r="B14" i="1"/>
  <c r="F13" i="1"/>
  <c r="C10" i="1"/>
  <c r="E9" i="1"/>
  <c r="H8" i="1"/>
  <c r="A8" i="1"/>
  <c r="D22" i="1"/>
  <c r="H21" i="1"/>
  <c r="C21" i="1"/>
  <c r="F20" i="1"/>
  <c r="B20" i="1"/>
  <c r="D18" i="1"/>
  <c r="B17" i="1"/>
  <c r="F16" i="1"/>
  <c r="B16" i="1"/>
  <c r="E15" i="1"/>
  <c r="I14" i="1"/>
  <c r="C14" i="1"/>
  <c r="G13" i="1"/>
  <c r="F9" i="1"/>
  <c r="I8" i="1"/>
  <c r="B8" i="1"/>
  <c r="B10" i="1"/>
  <c r="A10" i="1"/>
  <c r="C9" i="1"/>
  <c r="F8" i="1"/>
  <c r="H3" i="1"/>
  <c r="N17" i="2"/>
  <c r="N15" i="2"/>
  <c r="N8" i="2"/>
  <c r="I22" i="1"/>
  <c r="I21" i="1"/>
  <c r="B21" i="1"/>
  <c r="E20" i="1"/>
  <c r="A20" i="1"/>
  <c r="E19" i="1"/>
  <c r="D19" i="1"/>
  <c r="A19" i="1"/>
  <c r="I18" i="1"/>
  <c r="C18" i="1"/>
  <c r="H17" i="1"/>
  <c r="G17" i="1"/>
  <c r="A16" i="1"/>
  <c r="A15" i="1"/>
  <c r="D14" i="1"/>
  <c r="H13" i="1"/>
  <c r="C13" i="1"/>
  <c r="E10" i="1"/>
  <c r="H9" i="1"/>
  <c r="A9" i="1"/>
  <c r="D8" i="1"/>
  <c r="N16" i="2"/>
  <c r="N7" i="2"/>
  <c r="N6" i="2"/>
  <c r="N2" i="2"/>
  <c r="F22" i="1"/>
  <c r="E22" i="1"/>
  <c r="C22" i="1"/>
  <c r="G21" i="1"/>
  <c r="I20" i="1"/>
  <c r="I19" i="1"/>
  <c r="C19" i="1"/>
  <c r="G18" i="1"/>
  <c r="E17" i="1"/>
  <c r="I16" i="1"/>
  <c r="D16" i="1"/>
  <c r="H15" i="1"/>
  <c r="C15" i="1"/>
  <c r="G14" i="1"/>
  <c r="E13" i="1"/>
  <c r="D9" i="1"/>
  <c r="G8" i="1"/>
  <c r="N14" i="2"/>
  <c r="N9" i="2"/>
  <c r="N4" i="2"/>
  <c r="G22" i="1"/>
  <c r="F21" i="1"/>
  <c r="A21" i="1"/>
  <c r="D20" i="1"/>
  <c r="H19" i="1"/>
  <c r="B19" i="1"/>
  <c r="F18" i="1"/>
  <c r="A18" i="1"/>
  <c r="D17" i="1"/>
  <c r="H16" i="1"/>
  <c r="C16" i="1"/>
  <c r="G15" i="1"/>
  <c r="E14" i="1"/>
  <c r="I13" i="1"/>
  <c r="D10" i="1"/>
  <c r="G9" i="1"/>
  <c r="C8" i="1"/>
  <c r="B3" i="1" l="1"/>
</calcChain>
</file>

<file path=xl/sharedStrings.xml><?xml version="1.0" encoding="utf-8"?>
<sst xmlns="http://schemas.openxmlformats.org/spreadsheetml/2006/main" count="267" uniqueCount="83">
  <si>
    <t>ContractHub</t>
  </si>
  <si>
    <t>This month — Brutto</t>
  </si>
  <si>
    <t>Annual avg/mo — Brutto</t>
  </si>
  <si>
    <t>Expiring in 90 days</t>
  </si>
  <si>
    <t>Brutto = incl. MwSt (actual cash)   |   Amounts entered as Brutto — Netto computed automatically   |   Date auto-updates</t>
  </si>
  <si>
    <t>Contracts to act on (notice deadline within 90 days)</t>
  </si>
  <si>
    <t>Counterparty</t>
  </si>
  <si>
    <t>Type</t>
  </si>
  <si>
    <t>Netto</t>
  </si>
  <si>
    <t>Brutto</t>
  </si>
  <si>
    <t>Frequency</t>
  </si>
  <si>
    <t>AutoRenewal</t>
  </si>
  <si>
    <t>NoticeDeadline</t>
  </si>
  <si>
    <t>Days left</t>
  </si>
  <si>
    <t>Status</t>
  </si>
  <si>
    <t>StartDate</t>
  </si>
  <si>
    <t>EndDate</t>
  </si>
  <si>
    <t>NoticeDays</t>
  </si>
  <si>
    <t>NextDueDate</t>
  </si>
  <si>
    <t>Notes</t>
  </si>
  <si>
    <t>_flag90</t>
  </si>
  <si>
    <t>Acme Cloud GmbH</t>
  </si>
  <si>
    <t>saas</t>
  </si>
  <si>
    <t>Monthly</t>
  </si>
  <si>
    <t>Yes</t>
  </si>
  <si>
    <t>Active</t>
  </si>
  <si>
    <t>Main cloud platform</t>
  </si>
  <si>
    <t>Beta Software AG</t>
  </si>
  <si>
    <t>Annual</t>
  </si>
  <si>
    <t>No</t>
  </si>
  <si>
    <t>Review</t>
  </si>
  <si>
    <t>License renewal pending</t>
  </si>
  <si>
    <t>Gamma Consulting</t>
  </si>
  <si>
    <t>supplier</t>
  </si>
  <si>
    <t>Outsourced support</t>
  </si>
  <si>
    <t>Delta Leasing GmbH</t>
  </si>
  <si>
    <t>lease</t>
  </si>
  <si>
    <t>Office equipment</t>
  </si>
  <si>
    <t>Epsilon HR Solutions</t>
  </si>
  <si>
    <t>hr</t>
  </si>
  <si>
    <t>Payroll processing</t>
  </si>
  <si>
    <t>Zeta Security Ltd</t>
  </si>
  <si>
    <t>Quarterly</t>
  </si>
  <si>
    <t>Security monitoring</t>
  </si>
  <si>
    <t>Eta Infrastructure AG</t>
  </si>
  <si>
    <t>Server hosting</t>
  </si>
  <si>
    <t>Theta Analytics GmbH</t>
  </si>
  <si>
    <t>BI platform</t>
  </si>
  <si>
    <t>Iota Insurance Group</t>
  </si>
  <si>
    <t>other</t>
  </si>
  <si>
    <t>Company insurance</t>
  </si>
  <si>
    <t>Kappa Telecom GmbH</t>
  </si>
  <si>
    <t>Phone and internet</t>
  </si>
  <si>
    <t>Lambda Accounting AG</t>
  </si>
  <si>
    <t>Accounting services</t>
  </si>
  <si>
    <t>Mu Office Supplies</t>
  </si>
  <si>
    <t>Office consumables</t>
  </si>
  <si>
    <t>Nu Dev Tools Ltd</t>
  </si>
  <si>
    <t>Developer tooling</t>
  </si>
  <si>
    <t>Xi Marketing Platform</t>
  </si>
  <si>
    <t>Email marketing</t>
  </si>
  <si>
    <t>Omicron Legal GmbH</t>
  </si>
  <si>
    <t>Legal retainer</t>
  </si>
  <si>
    <t>Pi Logistics AG</t>
  </si>
  <si>
    <t>Courier services</t>
  </si>
  <si>
    <t>Rho Pension Fund</t>
  </si>
  <si>
    <t>Pension contributions — amount varies</t>
  </si>
  <si>
    <t>Sigma Cleaning Services</t>
  </si>
  <si>
    <t>Office cleaning</t>
  </si>
  <si>
    <t>Tau Project Mgmt Tool</t>
  </si>
  <si>
    <t>Task management</t>
  </si>
  <si>
    <t>Upsilon Cloud Storage</t>
  </si>
  <si>
    <t>Backup and storage</t>
  </si>
  <si>
    <t>Sample Client Corp</t>
  </si>
  <si>
    <t>service</t>
  </si>
  <si>
    <t>Also tracked in Suppliers sheet for Forecast</t>
  </si>
  <si>
    <t>Months:</t>
  </si>
  <si>
    <t>change to extend/shrink</t>
  </si>
  <si>
    <t>Cash flow forecast (Brutto = actual bank debit)</t>
  </si>
  <si>
    <t>Source</t>
  </si>
  <si>
    <t>Suppliers</t>
  </si>
  <si>
    <t>Clients</t>
  </si>
  <si>
    <t>TOTAL (Brutto)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</si>
</sst>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yyyy\-mm\-dd"/>
    <numFmt numFmtId="165" formatCode="[$-407]d/\ mmm\ yy;@"/>
    <numFmt numFmtId="166" formatCode="dd\ mmm\ yyyy"/>
    <numFmt numFmtId="168" formatCode="#,##0.00\ &quot;€&quot;"/>
  </numFmts>
  <fonts count="17" x14ac:knownFonts="1">
    <font>
      <sz val="11"/>
      <color theme="1"/>
      <name val="Calibri"/>
      <family val="2"/>
      <charset val="1"/>
    </font>
    <font>
      <b/>
      <sz val="16"/>
      <color rgb="FF1F2937"/>
      <name val="Calibri"/>
      <family val="2"/>
    </font>
    <font>
      <i/>
      <sz val="9"/>
      <color rgb="FF6B7280"/>
      <name val="Calibri"/>
      <family val="2"/>
    </font>
    <font>
      <b/>
      <sz val="11"/>
      <color rgb="FF1F2937"/>
      <name val="Calibri"/>
      <family val="2"/>
    </font>
    <font>
      <b/>
      <sz val="10"/>
      <color rgb="FFFFFFFF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1"/>
      <color rgb="FF1F4E79"/>
      <name val="Calibri"/>
      <family val="2"/>
    </font>
    <font>
      <sz val="11"/>
      <color theme="1"/>
      <name val="Calibri"/>
      <family val="2"/>
      <charset val="1"/>
    </font>
    <font>
      <i/>
      <sz val="8"/>
      <color rgb="FF9CA3AF"/>
      <name val="Calibri"/>
      <family val="2"/>
    </font>
    <font>
      <b/>
      <sz val="12"/>
      <color theme="1"/>
      <name val="Calibri"/>
      <family val="2"/>
    </font>
    <font>
      <b/>
      <sz val="12"/>
      <color rgb="FFFF0000"/>
      <name val="Calibri"/>
      <family val="2"/>
    </font>
    <font>
      <b/>
      <sz val="14"/>
      <color theme="1"/>
      <name val="Calibri"/>
      <family val="2"/>
    </font>
    <font>
      <b/>
      <sz val="14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9FAFB"/>
        <bgColor rgb="FFFFFFFF"/>
      </patternFill>
    </fill>
    <fill>
      <patternFill patternType="solid">
        <fgColor rgb="FF1F2937"/>
        <bgColor rgb="FF333300"/>
      </patternFill>
    </fill>
    <fill>
      <patternFill patternType="solid">
        <fgColor rgb="FFDBEAFE"/>
        <bgColor rgb="FFF3F4F6"/>
      </patternFill>
    </fill>
    <fill>
      <patternFill patternType="solid">
        <fgColor rgb="FFF3F4F6"/>
        <bgColor rgb="FFF9FAFB"/>
      </patternFill>
    </fill>
  </fills>
  <borders count="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8" fillId="0" borderId="0"/>
  </cellStyleXfs>
  <cellXfs count="37">
    <xf numFmtId="0" fontId="0" fillId="0" borderId="0" xfId="0"/>
    <xf numFmtId="0" fontId="2" fillId="0" borderId="0" xfId="0" applyFont="1"/>
    <xf numFmtId="0" fontId="3" fillId="0" borderId="0" xfId="0" applyFont="1"/>
    <xf numFmtId="0" fontId="4" fillId="3" borderId="0" xfId="0" applyFont="1" applyFill="1" applyAlignment="1">
      <alignment horizontal="left" vertical="center"/>
    </xf>
    <xf numFmtId="0" fontId="5" fillId="0" borderId="0" xfId="0" applyFont="1"/>
    <xf numFmtId="164" fontId="5" fillId="0" borderId="0" xfId="0" applyNumberFormat="1" applyFont="1"/>
    <xf numFmtId="0" fontId="4" fillId="3" borderId="0" xfId="0" applyFont="1" applyFill="1"/>
    <xf numFmtId="4" fontId="5" fillId="0" borderId="0" xfId="0" applyNumberFormat="1" applyFont="1"/>
    <xf numFmtId="0" fontId="6" fillId="0" borderId="0" xfId="0" applyFont="1"/>
    <xf numFmtId="0" fontId="7" fillId="4" borderId="0" xfId="0" applyFont="1" applyFill="1"/>
    <xf numFmtId="3" fontId="5" fillId="0" borderId="0" xfId="0" applyNumberFormat="1" applyFont="1"/>
    <xf numFmtId="0" fontId="6" fillId="5" borderId="0" xfId="0" applyFont="1" applyFill="1"/>
    <xf numFmtId="3" fontId="6" fillId="5" borderId="0" xfId="0" applyNumberFormat="1" applyFont="1" applyFill="1"/>
    <xf numFmtId="0" fontId="14" fillId="3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43" fontId="0" fillId="0" borderId="0" xfId="1" applyFont="1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4" fontId="0" fillId="0" borderId="0" xfId="0" applyNumberFormat="1"/>
    <xf numFmtId="0" fontId="16" fillId="0" borderId="0" xfId="0" applyFont="1"/>
    <xf numFmtId="43" fontId="10" fillId="2" borderId="6" xfId="1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168" fontId="12" fillId="2" borderId="8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43" fontId="11" fillId="2" borderId="6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0" fontId="0" fillId="0" borderId="3" xfId="0" applyBorder="1" applyAlignment="1">
      <alignment horizontal="center"/>
    </xf>
    <xf numFmtId="0" fontId="0" fillId="0" borderId="3" xfId="0" applyBorder="1"/>
    <xf numFmtId="166" fontId="10" fillId="0" borderId="8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7" xfId="0" applyBorder="1"/>
    <xf numFmtId="0" fontId="9" fillId="0" borderId="1" xfId="0" applyFont="1" applyBorder="1" applyAlignment="1">
      <alignment horizontal="left" vertical="center"/>
    </xf>
    <xf numFmtId="0" fontId="10" fillId="2" borderId="6" xfId="0" applyFont="1" applyFill="1" applyBorder="1" applyAlignment="1">
      <alignment horizontal="center" vertical="center"/>
    </xf>
    <xf numFmtId="1" fontId="13" fillId="2" borderId="8" xfId="1" applyNumberFormat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7">
    <dxf>
      <font>
        <b/>
        <color rgb="FF047857"/>
        <name val="Calibri"/>
        <charset val="1"/>
      </font>
    </dxf>
    <dxf>
      <font>
        <b/>
        <color rgb="FFB91C1C"/>
        <name val="Calibri"/>
        <charset val="1"/>
      </font>
    </dxf>
    <dxf>
      <fill>
        <patternFill>
          <bgColor rgb="FFFEF3C7"/>
        </patternFill>
      </fill>
    </dxf>
    <dxf>
      <fill>
        <patternFill>
          <bgColor rgb="FFFEE2E2"/>
        </patternFill>
      </fill>
    </dxf>
    <dxf>
      <fill>
        <patternFill>
          <bgColor rgb="FFFEF3C7"/>
        </patternFill>
      </fill>
    </dxf>
    <dxf>
      <fill>
        <patternFill>
          <bgColor rgb="FFFED7AA"/>
        </patternFill>
      </fill>
    </dxf>
    <dxf>
      <fill>
        <patternFill>
          <bgColor rgb="FFF3F4F6"/>
        </patternFill>
      </fill>
    </dxf>
    <dxf>
      <fill>
        <patternFill>
          <bgColor rgb="FFFEF9C3"/>
        </patternFill>
      </fill>
    </dxf>
    <dxf>
      <fill>
        <patternFill>
          <bgColor rgb="FFFEE2E2"/>
        </patternFill>
      </fill>
    </dxf>
    <dxf>
      <fill>
        <patternFill>
          <bgColor rgb="FFFEF3C7"/>
        </patternFill>
      </fill>
    </dxf>
    <dxf>
      <fill>
        <patternFill>
          <bgColor rgb="FFFEE2E2"/>
        </patternFill>
      </fill>
    </dxf>
    <dxf>
      <fill>
        <patternFill>
          <bgColor rgb="FFFEF3C7"/>
        </patternFill>
      </fill>
    </dxf>
    <dxf>
      <fill>
        <patternFill>
          <bgColor rgb="FFFED7AA"/>
        </patternFill>
      </fill>
    </dxf>
    <dxf>
      <fill>
        <patternFill>
          <bgColor rgb="FFF3F4F6"/>
        </patternFill>
      </fill>
    </dxf>
    <dxf>
      <fill>
        <patternFill>
          <bgColor rgb="FFFEF9C3"/>
        </patternFill>
      </fill>
    </dxf>
    <dxf>
      <fill>
        <patternFill>
          <bgColor rgb="FFFEF3C7"/>
        </patternFill>
      </fill>
    </dxf>
    <dxf>
      <fill>
        <patternFill>
          <bgColor rgb="FFFEE2E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47857"/>
      <rgbColor rgb="FFC0C0C0"/>
      <rgbColor rgb="FF808080"/>
      <rgbColor rgb="FF9999FF"/>
      <rgbColor rgb="FF993366"/>
      <rgbColor rgb="FFFEF9C3"/>
      <rgbColor rgb="FFDBEAFE"/>
      <rgbColor rgb="FF660066"/>
      <rgbColor rgb="FFFF8080"/>
      <rgbColor rgb="FF0066CC"/>
      <rgbColor rgb="FFFEE2E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3F4F6"/>
      <rgbColor rgb="FFF9FAFB"/>
      <rgbColor rgb="FFFEF3C7"/>
      <rgbColor rgb="FF99CCFF"/>
      <rgbColor rgb="FFFF99CC"/>
      <rgbColor rgb="FFCC99FF"/>
      <rgbColor rgb="FFFED7AA"/>
      <rgbColor rgb="FF3366FF"/>
      <rgbColor rgb="FF33CCCC"/>
      <rgbColor rgb="FF99CC00"/>
      <rgbColor rgb="FFFFCC00"/>
      <rgbColor rgb="FFFF9900"/>
      <rgbColor rgb="FFFF6600"/>
      <rgbColor rgb="FF6B7280"/>
      <rgbColor rgb="FF9CA3AF"/>
      <rgbColor rgb="FF003366"/>
      <rgbColor rgb="FF339966"/>
      <rgbColor rgb="FF003300"/>
      <rgbColor rgb="FF333300"/>
      <rgbColor rgb="FFB91C1C"/>
      <rgbColor rgb="FF993366"/>
      <rgbColor rgb="FF1F4E79"/>
      <rgbColor rgb="FF1F29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19050</xdr:rowOff>
        </xdr:from>
        <xdr:to>
          <xdr:col>6</xdr:col>
          <xdr:colOff>946150</xdr:colOff>
          <xdr:row>0</xdr:row>
          <xdr:rowOff>222250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55A56BB-85DE-4BAF-3686-30D84D04BD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31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930598E-B0AA-415E-A1B1-520C1251A581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25044a0e-ed28-4e66-bb28-5ccbe005a61f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2"/>
  <sheetViews>
    <sheetView showGridLines="0" zoomScale="90" zoomScaleNormal="145" workbookViewId="0">
      <selection activeCell="B3" sqref="B3:D3"/>
    </sheetView>
  </sheetViews>
  <sheetFormatPr defaultColWidth="8.6328125" defaultRowHeight="14.5" x14ac:dyDescent="0.35"/>
  <cols>
    <col min="1" max="1" width="31.08984375" customWidth="1"/>
    <col min="2" max="2" width="12" customWidth="1"/>
    <col min="3" max="3" width="11.90625" customWidth="1"/>
    <col min="4" max="4" width="10.36328125" customWidth="1"/>
    <col min="5" max="5" width="12" customWidth="1"/>
    <col min="6" max="6" width="13.08984375" customWidth="1"/>
    <col min="7" max="7" width="14" customWidth="1"/>
    <col min="8" max="8" width="10" customWidth="1"/>
    <col min="9" max="9" width="11" customWidth="1"/>
  </cols>
  <sheetData>
    <row r="1" spans="1:9" ht="19.5" customHeight="1" thickBot="1" x14ac:dyDescent="0.4">
      <c r="A1" s="29"/>
      <c r="B1" s="30"/>
      <c r="C1" s="30"/>
      <c r="D1" s="30"/>
      <c r="E1" s="30"/>
      <c r="F1" s="30"/>
      <c r="H1" s="31">
        <v>46160.832476851851</v>
      </c>
      <c r="I1" s="25"/>
    </row>
    <row r="2" spans="1:9" ht="26.5" customHeight="1" thickBot="1" x14ac:dyDescent="0.4">
      <c r="A2" s="32" t="s">
        <v>0</v>
      </c>
      <c r="B2" s="35" t="s">
        <v>1</v>
      </c>
      <c r="C2" s="21"/>
      <c r="D2" s="22"/>
      <c r="E2" s="20" t="s">
        <v>2</v>
      </c>
      <c r="F2" s="21"/>
      <c r="G2" s="22"/>
      <c r="H2" s="26" t="s">
        <v>3</v>
      </c>
      <c r="I2" s="22"/>
    </row>
    <row r="3" spans="1:9" ht="39.5" customHeight="1" thickBot="1" x14ac:dyDescent="0.4">
      <c r="A3" s="33"/>
      <c r="B3" s="23">
        <f t="array" aca="1" ref="B3" ca="1">SUMPRODUCT((Suppliers!L2:L267&lt;&gt;"Expired")*(Suppliers!L2:L267&lt;&gt;"Terminate")*(ISNUMBER(Suppliers!D2:D267))*IF(Suppliers!E2:E267="Monthly",1,IF(ISNUMBER(Suppliers!K2:K267),(MONTH(Suppliers!K2:K267)=MONTH(TODAY()))*(YEAR(Suppliers!K2:K267)=YEAR(TODAY())),0))*Suppliers!D2:D267)</f>
        <v>19277</v>
      </c>
      <c r="C3" s="24"/>
      <c r="D3" s="25"/>
      <c r="E3" s="23">
        <f t="array" ref="E3">SUMPRODUCT((Suppliers!L2:L267&lt;&gt;"Expired")*(Suppliers!L2:L267&lt;&gt;"Terminate")*(ISNUMBER(Suppliers!D2:D267))*IF(Suppliers!E2:E267="Monthly",Suppliers!D2:D267,IF(Suppliers!E2:E267="Quarterly",Suppliers!D2:D267/3,IF(Suppliers!E2:E267="Semi-annual",Suppliers!D2:D267/6,IF(Suppliers!E2:E267="Annual",Suppliers!D2:D267/12,IF(Suppliers!E2:E267="One-time",0,Suppliers!D2:D267))))))</f>
        <v>20577</v>
      </c>
      <c r="F3" s="24"/>
      <c r="G3" s="25"/>
      <c r="H3" s="36">
        <f t="array" aca="1" ref="H3" ca="1">SUMPRODUCT((Suppliers!L2:L267&lt;&gt;"Expired")*(Suppliers!L2:L267&lt;&gt;"Terminate")*(ISNUMBER(Suppliers!G2:G267))*(Suppliers!G2:G267&gt;=TODAY())*(Suppliers!G2:G267&lt;=TODAY()+90))</f>
        <v>3</v>
      </c>
      <c r="I3" s="25"/>
    </row>
    <row r="4" spans="1:9" ht="15" customHeight="1" x14ac:dyDescent="0.35">
      <c r="A4" s="34" t="s">
        <v>4</v>
      </c>
      <c r="B4" s="21"/>
      <c r="C4" s="21"/>
      <c r="D4" s="21"/>
      <c r="E4" s="21"/>
      <c r="F4" s="21"/>
      <c r="G4" s="21"/>
      <c r="H4" s="21"/>
      <c r="I4" s="21"/>
    </row>
    <row r="5" spans="1:9" x14ac:dyDescent="0.35">
      <c r="A5" s="27"/>
      <c r="B5" s="28"/>
      <c r="C5" s="28"/>
      <c r="D5" s="28"/>
      <c r="E5" s="28"/>
      <c r="F5" s="28"/>
      <c r="G5" s="28"/>
      <c r="H5" s="28"/>
      <c r="I5" s="28"/>
    </row>
    <row r="6" spans="1:9" ht="15" customHeight="1" x14ac:dyDescent="0.35">
      <c r="A6" s="2" t="s">
        <v>5</v>
      </c>
    </row>
    <row r="7" spans="1:9" ht="19.5" customHeight="1" x14ac:dyDescent="0.35">
      <c r="A7" s="13" t="s">
        <v>6</v>
      </c>
      <c r="B7" s="13" t="s">
        <v>7</v>
      </c>
      <c r="C7" s="13" t="s">
        <v>8</v>
      </c>
      <c r="D7" s="13" t="s">
        <v>9</v>
      </c>
      <c r="E7" s="13" t="s">
        <v>10</v>
      </c>
      <c r="F7" s="13" t="s">
        <v>11</v>
      </c>
      <c r="G7" s="13" t="s">
        <v>12</v>
      </c>
      <c r="H7" s="13" t="s">
        <v>13</v>
      </c>
      <c r="I7" s="13" t="s">
        <v>14</v>
      </c>
    </row>
    <row r="8" spans="1:9" ht="15" customHeight="1" x14ac:dyDescent="0.35">
      <c r="A8" s="14" t="str">
        <f t="array" aca="1" ref="A8" ca="1">IFERROR(INDEX(Suppliers!$A:$A,_xlfn.AGGREGATE(15,6,ROW(Suppliers!$G$2:$G$267)/((Suppliers!$G$2:$G$267&gt;=TODAY())*(Suppliers!$G$2:$G$267&lt;=TODAY()+90)*(Suppliers!$L$2:$L$267&lt;&gt;"Expired")*(Suppliers!$L$2:$L$267&lt;&gt;"Terminate")),1)),"")</f>
        <v>Beta Software AG</v>
      </c>
      <c r="B8" s="14" t="str">
        <f t="array" aca="1" ref="B8" ca="1">IFERROR(INDEX(Suppliers!$B:$B,_xlfn.AGGREGATE(15,6,ROW(Suppliers!$G$2:$G$267)/((Suppliers!$G$2:$G$267&gt;=TODAY())*(Suppliers!$G$2:$G$267&lt;=TODAY()+90)*(Suppliers!$L$2:$L$267&lt;&gt;"Expired")*(Suppliers!$L$2:$L$267&lt;&gt;"Terminate")),1)),"")</f>
        <v>saas</v>
      </c>
      <c r="C8" s="15">
        <f t="array" aca="1" ref="C8" ca="1">IFERROR(INDEX(Suppliers!$C:$C,_xlfn.AGGREGATE(15,6,ROW(Suppliers!$G$2:$G$267)/((Suppliers!$G$2:$G$267&gt;=TODAY())*(Suppliers!$G$2:$G$267&lt;=TODAY()+90)*(Suppliers!$L$2:$L$267&lt;&gt;"Expired")*(Suppliers!$L$2:$L$267&lt;&gt;"Terminate")),1)),"")</f>
        <v>504.2</v>
      </c>
      <c r="D8" s="15">
        <f t="array" aca="1" ref="D8" ca="1">IFERROR(INDEX(Suppliers!$D:$D,_xlfn.AGGREGATE(15,6,ROW(Suppliers!$G$2:$G$267)/((Suppliers!$G$2:$G$267&gt;=TODAY())*(Suppliers!$G$2:$G$267&lt;=TODAY()+90)*(Suppliers!$L$2:$L$267&lt;&gt;"Expired")*(Suppliers!$L$2:$L$267&lt;&gt;"Terminate")),1)),"")</f>
        <v>600</v>
      </c>
      <c r="E8" s="14" t="str">
        <f t="array" aca="1" ref="E8" ca="1">IFERROR(INDEX(Suppliers!$E:$E,_xlfn.AGGREGATE(15,6,ROW(Suppliers!$G$2:$G$267)/((Suppliers!$G$2:$G$267&gt;=TODAY())*(Suppliers!$G$2:$G$267&lt;=TODAY()+90)*(Suppliers!$L$2:$L$267&lt;&gt;"Expired")*(Suppliers!$L$2:$L$267&lt;&gt;"Terminate")),1)),"")</f>
        <v>Annual</v>
      </c>
      <c r="F8" s="14" t="str">
        <f t="array" aca="1" ref="F8" ca="1">IFERROR(IF(INDEX(Suppliers!$I:$I,_xlfn.AGGREGATE(15,6,ROW(Suppliers!$G$2:$G$267)/((Suppliers!$G$2:$G$267&gt;=TODAY())*(Suppliers!$G$2:$G$267&lt;=TODAY()+90)*(Suppliers!$L$2:$L$267&lt;&gt;"Expired")*(Suppliers!$L$2:$L$267&lt;&gt;"Terminate")),1))="","N/A",INDEX(Suppliers!$I:$I,_xlfn.AGGREGATE(15,6,ROW(Suppliers!$G$2:$G$267)/((Suppliers!$G$2:$G$267&gt;=TODAY())*(Suppliers!$G$2:$G$267&lt;=TODAY()+90)*(Suppliers!$L$2:$L$267&lt;&gt;"Expired")*(Suppliers!$L$2:$L$267&lt;&gt;"Terminate")),1))),"")</f>
        <v>No</v>
      </c>
      <c r="G8" s="16">
        <f t="array" aca="1" ref="G8" ca="1">IFERROR(INDEX(Suppliers!$G:$G,_xlfn.AGGREGATE(15,6,ROW(Suppliers!$G$2:$G$267)/((Suppliers!$G$2:$G$267&gt;=TODAY())*(Suppliers!$G$2:$G$267&lt;=TODAY()+90)*(Suppliers!$L$2:$L$267&lt;&gt;"Expired")*(Suppliers!$L$2:$L$267&lt;&gt;"Terminate")),1)),"")</f>
        <v>46173</v>
      </c>
      <c r="H8" s="17">
        <f t="array" aca="1" ref="H8" ca="1">IFERROR(INDEX(Suppliers!$G:$G,_xlfn.AGGREGATE(15,6,ROW(Suppliers!$G$2:$G$267)/((Suppliers!$G$2:$G$267&gt;=TODAY())*(Suppliers!$G$2:$G$267&lt;=TODAY()+90)*(Suppliers!$L$2:$L$267&lt;&gt;"Expired")*(Suppliers!$L$2:$L$267&lt;&gt;"Terminate")),1))-TODAY(),"")</f>
        <v>13</v>
      </c>
      <c r="I8" s="14" t="str">
        <f t="array" aca="1" ref="I8" ca="1">IFERROR(INDEX(Suppliers!$L:$L,_xlfn.AGGREGATE(15,6,ROW(Suppliers!$G$2:$G$267)/((Suppliers!$G$2:$G$267&gt;=TODAY())*(Suppliers!$G$2:$G$267&lt;=TODAY()+90)*(Suppliers!$L$2:$L$267&lt;&gt;"Expired")*(Suppliers!$L$2:$L$267&lt;&gt;"Terminate")),1)),"")</f>
        <v>Review</v>
      </c>
    </row>
    <row r="9" spans="1:9" ht="15" customHeight="1" x14ac:dyDescent="0.35">
      <c r="A9" s="14" t="str">
        <f t="array" aca="1" ref="A9" ca="1">IFERROR(INDEX(Suppliers!$A:$A,_xlfn.AGGREGATE(15,6,ROW(Suppliers!$G$2:$G$267)/((Suppliers!$G$2:$G$267&gt;=TODAY())*(Suppliers!$G$2:$G$267&lt;=TODAY()+90)*(Suppliers!$L$2:$L$267&lt;&gt;"Expired")*(Suppliers!$L$2:$L$267&lt;&gt;"Terminate")),2)),"")</f>
        <v>Iota Insurance Group</v>
      </c>
      <c r="B9" s="14" t="str">
        <f t="array" aca="1" ref="B9" ca="1">IFERROR(INDEX(Suppliers!$B:$B,_xlfn.AGGREGATE(15,6,ROW(Suppliers!$G$2:$G$267)/((Suppliers!$G$2:$G$267&gt;=TODAY())*(Suppliers!$G$2:$G$267&lt;=TODAY()+90)*(Suppliers!$L$2:$L$267&lt;&gt;"Expired")*(Suppliers!$L$2:$L$267&lt;&gt;"Terminate")),2)),"")</f>
        <v>other</v>
      </c>
      <c r="C9" s="15">
        <f t="array" aca="1" ref="C9" ca="1">IFERROR(INDEX(Suppliers!$C:$C,_xlfn.AGGREGATE(15,6,ROW(Suppliers!$G$2:$G$267)/((Suppliers!$G$2:$G$267&gt;=TODAY())*(Suppliers!$G$2:$G$267&lt;=TODAY()+90)*(Suppliers!$L$2:$L$267&lt;&gt;"Expired")*(Suppliers!$L$2:$L$267&lt;&gt;"Terminate")),2)),"")</f>
        <v>780</v>
      </c>
      <c r="D9" s="15">
        <f t="array" aca="1" ref="D9" ca="1">IFERROR(INDEX(Suppliers!$D:$D,_xlfn.AGGREGATE(15,6,ROW(Suppliers!$G$2:$G$267)/((Suppliers!$G$2:$G$267&gt;=TODAY())*(Suppliers!$G$2:$G$267&lt;=TODAY()+90)*(Suppliers!$L$2:$L$267&lt;&gt;"Expired")*(Suppliers!$L$2:$L$267&lt;&gt;"Terminate")),2)),"")</f>
        <v>780</v>
      </c>
      <c r="E9" s="14" t="str">
        <f t="array" aca="1" ref="E9" ca="1">IFERROR(INDEX(Suppliers!$E:$E,_xlfn.AGGREGATE(15,6,ROW(Suppliers!$G$2:$G$267)/((Suppliers!$G$2:$G$267&gt;=TODAY())*(Suppliers!$G$2:$G$267&lt;=TODAY()+90)*(Suppliers!$L$2:$L$267&lt;&gt;"Expired")*(Suppliers!$L$2:$L$267&lt;&gt;"Terminate")),2)),"")</f>
        <v>Annual</v>
      </c>
      <c r="F9" s="14">
        <f t="array" aca="1" ref="F9" ca="1">IFERROR(IF(INDEX(Suppliers!$I:$I,_xlfn.AGGREGATE(15,6,ROW(Suppliers!$G$2:$G$267)/((Suppliers!$G$2:$G$267&gt;=TODAY())*(Suppliers!$G$2:$G$267&lt;=TODAY()+90)*(Suppliers!$L$2:$L$267&lt;&gt;"Expired")*(Suppliers!$L$2:$L$267&lt;&gt;"Terminate")),1))="","N/A",INDEX(Suppliers!$I:$I,_xlfn.AGGREGATE(15,6,ROW(Suppliers!$G$2:$G$267)/((Suppliers!$G$2:$G$267&gt;=TODAY())*(Suppliers!$G$2:$G$267&lt;=TODAY()+90)*(Suppliers!$L$2:$L$267&lt;&gt;"Expired")*(Suppliers!$L$2:$L$267&lt;&gt;"Terminate")),2))),"")</f>
        <v>0</v>
      </c>
      <c r="G9" s="16">
        <f t="array" aca="1" ref="G9" ca="1">IFERROR(INDEX(Suppliers!$G:$G,_xlfn.AGGREGATE(15,6,ROW(Suppliers!$G$2:$G$267)/((Suppliers!$G$2:$G$267&gt;=TODAY())*(Suppliers!$G$2:$G$267&lt;=TODAY()+90)*(Suppliers!$L$2:$L$267&lt;&gt;"Expired")*(Suppliers!$L$2:$L$267&lt;&gt;"Terminate")),2)),"")</f>
        <v>46203</v>
      </c>
      <c r="H9" s="17">
        <f t="array" aca="1" ref="H9" ca="1">IFERROR(INDEX(Suppliers!$G:$G,_xlfn.AGGREGATE(15,6,ROW(Suppliers!$G$2:$G$267)/((Suppliers!$G$2:$G$267&gt;=TODAY())*(Suppliers!$G$2:$G$267&lt;=TODAY()+90)*(Suppliers!$L$2:$L$267&lt;&gt;"Expired")*(Suppliers!$L$2:$L$267&lt;&gt;"Terminate")),2))-TODAY(),"")</f>
        <v>43</v>
      </c>
      <c r="I9" s="14" t="str">
        <f t="array" aca="1" ref="I9" ca="1">IFERROR(INDEX(Suppliers!$L:$L,_xlfn.AGGREGATE(15,6,ROW(Suppliers!$G$2:$G$267)/((Suppliers!$G$2:$G$267&gt;=TODAY())*(Suppliers!$G$2:$G$267&lt;=TODAY()+90)*(Suppliers!$L$2:$L$267&lt;&gt;"Expired")*(Suppliers!$L$2:$L$267&lt;&gt;"Terminate")),2)),"")</f>
        <v>Active</v>
      </c>
    </row>
    <row r="10" spans="1:9" ht="15" customHeight="1" x14ac:dyDescent="0.35">
      <c r="A10" s="14" t="str">
        <f t="array" aca="1" ref="A10" ca="1">IFERROR(INDEX(Suppliers!$A:$A,_xlfn.AGGREGATE(15,6,ROW(Suppliers!$G$2:$G$267)/((Suppliers!$G$2:$G$267&gt;=TODAY())*(Suppliers!$G$2:$G$267&lt;=TODAY()+90)*(Suppliers!$L$2:$L$267&lt;&gt;"Expired")*(Suppliers!$L$2:$L$267&lt;&gt;"Terminate")),3)),"")</f>
        <v>Xi Marketing Platform</v>
      </c>
      <c r="B10" s="14" t="str">
        <f t="array" aca="1" ref="B10" ca="1">IFERROR(INDEX(Suppliers!$B:$B,_xlfn.AGGREGATE(15,6,ROW(Suppliers!$G$2:$G$267)/((Suppliers!$G$2:$G$267&gt;=TODAY())*(Suppliers!$G$2:$G$267&lt;=TODAY()+90)*(Suppliers!$L$2:$L$267&lt;&gt;"Expired")*(Suppliers!$L$2:$L$267&lt;&gt;"Terminate")),3)),"")</f>
        <v>saas</v>
      </c>
      <c r="C10" s="15">
        <f t="array" aca="1" ref="C10" ca="1">IFERROR(INDEX(Suppliers!$C:$C,_xlfn.AGGREGATE(15,6,ROW(Suppliers!$G$2:$G$267)/((Suppliers!$G$2:$G$267&gt;=TODAY())*(Suppliers!$G$2:$G$267&lt;=TODAY()+90)*(Suppliers!$L$2:$L$267&lt;&gt;"Expired")*(Suppliers!$L$2:$L$267&lt;&gt;"Terminate")),3)),"")</f>
        <v>1050.42</v>
      </c>
      <c r="D10" s="15">
        <f t="array" aca="1" ref="D10" ca="1">IFERROR(INDEX(Suppliers!$D:$D,_xlfn.AGGREGATE(15,6,ROW(Suppliers!$G$2:$G$267)/((Suppliers!$G$2:$G$267&gt;=TODAY())*(Suppliers!$G$2:$G$267&lt;=TODAY()+90)*(Suppliers!$L$2:$L$267&lt;&gt;"Expired")*(Suppliers!$L$2:$L$267&lt;&gt;"Terminate")),3)),"")</f>
        <v>1250</v>
      </c>
      <c r="E10" s="14" t="str">
        <f t="array" aca="1" ref="E10" ca="1">IFERROR(INDEX(Suppliers!$E:$E,_xlfn.AGGREGATE(15,6,ROW(Suppliers!$G$2:$G$267)/((Suppliers!$G$2:$G$267&gt;=TODAY())*(Suppliers!$G$2:$G$267&lt;=TODAY()+90)*(Suppliers!$L$2:$L$267&lt;&gt;"Expired")*(Suppliers!$L$2:$L$267&lt;&gt;"Terminate")),3)),"")</f>
        <v>Monthly</v>
      </c>
      <c r="F10" s="14" t="str">
        <f t="array" aca="1" ref="F10" ca="1">IFERROR(IF(INDEX(Suppliers!$I:$I,_xlfn.AGGREGATE(15,6,ROW(Suppliers!$G$2:$G$267)/((Suppliers!$G$2:$G$267&gt;=TODAY())*(Suppliers!$G$2:$G$267&lt;=TODAY()+90)*(Suppliers!$L$2:$L$267&lt;&gt;"Expired")*(Suppliers!$L$2:$L$267&lt;&gt;"Terminate")),1))="","N/A",INDEX(Suppliers!$I:$I,_xlfn.AGGREGATE(15,6,ROW(Suppliers!$G$2:$G$267)/((Suppliers!$G$2:$G$267&gt;=TODAY())*(Suppliers!$G$2:$G$267&lt;=TODAY()+90)*(Suppliers!$L$2:$L$267&lt;&gt;"Expired")*(Suppliers!$L$2:$L$267&lt;&gt;"Terminate")),3))),"")</f>
        <v>No</v>
      </c>
      <c r="G10" s="16">
        <f t="array" aca="1" ref="G10" ca="1">IFERROR(INDEX(Suppliers!$G:$G,_xlfn.AGGREGATE(15,6,ROW(Suppliers!$G$2:$G$267)/((Suppliers!$G$2:$G$267&gt;=TODAY())*(Suppliers!$G$2:$G$267&lt;=TODAY()+90)*(Suppliers!$L$2:$L$267&lt;&gt;"Expired")*(Suppliers!$L$2:$L$267&lt;&gt;"Terminate")),3)),"")</f>
        <v>46188</v>
      </c>
      <c r="H10" s="17">
        <f t="array" aca="1" ref="H10" ca="1">IFERROR(INDEX(Suppliers!$G:$G,_xlfn.AGGREGATE(15,6,ROW(Suppliers!$G$2:$G$267)/((Suppliers!$G$2:$G$267&gt;=TODAY())*(Suppliers!$G$2:$G$267&lt;=TODAY()+90)*(Suppliers!$L$2:$L$267&lt;&gt;"Expired")*(Suppliers!$L$2:$L$267&lt;&gt;"Terminate")),3))-TODAY(),"")</f>
        <v>28</v>
      </c>
      <c r="I10" s="14" t="str">
        <f t="array" aca="1" ref="I10" ca="1">IFERROR(INDEX(Suppliers!$L:$L,_xlfn.AGGREGATE(15,6,ROW(Suppliers!$G$2:$G$267)/((Suppliers!$G$2:$G$267&gt;=TODAY())*(Suppliers!$G$2:$G$267&lt;=TODAY()+90)*(Suppliers!$L$2:$L$267&lt;&gt;"Expired")*(Suppliers!$L$2:$L$267&lt;&gt;"Terminate")),3)),"")</f>
        <v>Active</v>
      </c>
    </row>
    <row r="11" spans="1:9" ht="15" customHeight="1" x14ac:dyDescent="0.35">
      <c r="A11" s="14" t="str">
        <f t="array" aca="1" ref="A11" ca="1">IFERROR(INDEX(Suppliers!$A:$A,_xlfn.AGGREGATE(15,6,ROW(Suppliers!$G$2:$G$267)/((Suppliers!$G$2:$G$267&gt;=TODAY())*(Suppliers!$G$2:$G$267&lt;=TODAY()+90)*(Suppliers!$L$2:$L$267&lt;&gt;"Expired")*(Suppliers!$L$2:$L$267&lt;&gt;"Terminate")),4)),"")</f>
        <v/>
      </c>
      <c r="B11" s="14" t="str">
        <f t="array" aca="1" ref="B11" ca="1">IFERROR(INDEX(Suppliers!$B:$B,_xlfn.AGGREGATE(15,6,ROW(Suppliers!$G$2:$G$267)/((Suppliers!$G$2:$G$267&gt;=TODAY())*(Suppliers!$G$2:$G$267&lt;=TODAY()+90)*(Suppliers!$L$2:$L$267&lt;&gt;"Expired")*(Suppliers!$L$2:$L$267&lt;&gt;"Terminate")),4)),"")</f>
        <v/>
      </c>
      <c r="C11" s="15" t="str">
        <f t="array" aca="1" ref="C11" ca="1">IFERROR(INDEX(Suppliers!$C:$C,_xlfn.AGGREGATE(15,6,ROW(Suppliers!$G$2:$G$267)/((Suppliers!$G$2:$G$267&gt;=TODAY())*(Suppliers!$G$2:$G$267&lt;=TODAY()+90)*(Suppliers!$L$2:$L$267&lt;&gt;"Expired")*(Suppliers!$L$2:$L$267&lt;&gt;"Terminate")),4)),"")</f>
        <v/>
      </c>
      <c r="D11" s="15" t="str">
        <f t="array" aca="1" ref="D11" ca="1">IFERROR(INDEX(Suppliers!$D:$D,_xlfn.AGGREGATE(15,6,ROW(Suppliers!$G$2:$G$267)/((Suppliers!$G$2:$G$267&gt;=TODAY())*(Suppliers!$G$2:$G$267&lt;=TODAY()+90)*(Suppliers!$L$2:$L$267&lt;&gt;"Expired")*(Suppliers!$L$2:$L$267&lt;&gt;"Terminate")),4)),"")</f>
        <v/>
      </c>
      <c r="E11" s="14" t="str">
        <f t="array" aca="1" ref="E11" ca="1">IFERROR(INDEX(Suppliers!$E:$E,_xlfn.AGGREGATE(15,6,ROW(Suppliers!$G$2:$G$267)/((Suppliers!$G$2:$G$267&gt;=TODAY())*(Suppliers!$G$2:$G$267&lt;=TODAY()+90)*(Suppliers!$L$2:$L$267&lt;&gt;"Expired")*(Suppliers!$L$2:$L$267&lt;&gt;"Terminate")),4)),"")</f>
        <v/>
      </c>
      <c r="F11" s="14" t="str">
        <f t="array" aca="1" ref="F11" ca="1">IFERROR(IF(INDEX(Suppliers!$I:$I,_xlfn.AGGREGATE(15,6,ROW(Suppliers!$G$2:$G$267)/((Suppliers!$G$2:$G$267&gt;=TODAY())*(Suppliers!$G$2:$G$267&lt;=TODAY()+90)*(Suppliers!$L$2:$L$267&lt;&gt;"Expired")*(Suppliers!$L$2:$L$267&lt;&gt;"Terminate")),1))="","N/A",INDEX(Suppliers!$I:$I,_xlfn.AGGREGATE(15,6,ROW(Suppliers!$G$2:$G$267)/((Suppliers!$G$2:$G$267&gt;=TODAY())*(Suppliers!$G$2:$G$267&lt;=TODAY()+90)*(Suppliers!$L$2:$L$267&lt;&gt;"Expired")*(Suppliers!$L$2:$L$267&lt;&gt;"Terminate")),4))),"")</f>
        <v/>
      </c>
      <c r="G11" s="16" t="str">
        <f t="array" aca="1" ref="G11" ca="1">IFERROR(INDEX(Suppliers!$G:$G,_xlfn.AGGREGATE(15,6,ROW(Suppliers!$G$2:$G$267)/((Suppliers!$G$2:$G$267&gt;=TODAY())*(Suppliers!$G$2:$G$267&lt;=TODAY()+90)*(Suppliers!$L$2:$L$267&lt;&gt;"Expired")*(Suppliers!$L$2:$L$267&lt;&gt;"Terminate")),4)),"")</f>
        <v/>
      </c>
      <c r="H11" s="17" t="str">
        <f t="array" aca="1" ref="H11" ca="1">IFERROR(INDEX(Suppliers!$G:$G,_xlfn.AGGREGATE(15,6,ROW(Suppliers!$G$2:$G$267)/((Suppliers!$G$2:$G$267&gt;=TODAY())*(Suppliers!$G$2:$G$267&lt;=TODAY()+90)*(Suppliers!$L$2:$L$267&lt;&gt;"Expired")*(Suppliers!$L$2:$L$267&lt;&gt;"Terminate")),4))-TODAY(),"")</f>
        <v/>
      </c>
      <c r="I11" s="14" t="str">
        <f t="array" aca="1" ref="I11" ca="1">IFERROR(INDEX(Suppliers!$L:$L,_xlfn.AGGREGATE(15,6,ROW(Suppliers!$G$2:$G$267)/((Suppliers!$G$2:$G$267&gt;=TODAY())*(Suppliers!$G$2:$G$267&lt;=TODAY()+90)*(Suppliers!$L$2:$L$267&lt;&gt;"Expired")*(Suppliers!$L$2:$L$267&lt;&gt;"Terminate")),4)),"")</f>
        <v/>
      </c>
    </row>
    <row r="12" spans="1:9" ht="15" customHeight="1" x14ac:dyDescent="0.35">
      <c r="A12" s="14" t="str">
        <f t="array" aca="1" ref="A12" ca="1">IFERROR(INDEX(Suppliers!$A:$A,_xlfn.AGGREGATE(15,6,ROW(Suppliers!$G$2:$G$267)/((Suppliers!$G$2:$G$267&gt;=TODAY())*(Suppliers!$G$2:$G$267&lt;=TODAY()+90)*(Suppliers!$L$2:$L$267&lt;&gt;"Expired")*(Suppliers!$L$2:$L$267&lt;&gt;"Terminate")),5)),"")</f>
        <v/>
      </c>
      <c r="B12" s="14" t="str">
        <f t="array" aca="1" ref="B12" ca="1">IFERROR(INDEX(Suppliers!$B:$B,_xlfn.AGGREGATE(15,6,ROW(Suppliers!$G$2:$G$267)/((Suppliers!$G$2:$G$267&gt;=TODAY())*(Suppliers!$G$2:$G$267&lt;=TODAY()+90)*(Suppliers!$L$2:$L$267&lt;&gt;"Expired")*(Suppliers!$L$2:$L$267&lt;&gt;"Terminate")),5)),"")</f>
        <v/>
      </c>
      <c r="C12" s="15" t="str">
        <f t="array" aca="1" ref="C12" ca="1">IFERROR(INDEX(Suppliers!$C:$C,_xlfn.AGGREGATE(15,6,ROW(Suppliers!$G$2:$G$267)/((Suppliers!$G$2:$G$267&gt;=TODAY())*(Suppliers!$G$2:$G$267&lt;=TODAY()+90)*(Suppliers!$L$2:$L$267&lt;&gt;"Expired")*(Suppliers!$L$2:$L$267&lt;&gt;"Terminate")),5)),"")</f>
        <v/>
      </c>
      <c r="D12" s="15" t="str">
        <f t="array" aca="1" ref="D12" ca="1">IFERROR(INDEX(Suppliers!$D:$D,_xlfn.AGGREGATE(15,6,ROW(Suppliers!$G$2:$G$267)/((Suppliers!$G$2:$G$267&gt;=TODAY())*(Suppliers!$G$2:$G$267&lt;=TODAY()+90)*(Suppliers!$L$2:$L$267&lt;&gt;"Expired")*(Suppliers!$L$2:$L$267&lt;&gt;"Terminate")),5)),"")</f>
        <v/>
      </c>
      <c r="E12" s="14" t="str">
        <f t="array" aca="1" ref="E12" ca="1">IFERROR(INDEX(Suppliers!$E:$E,_xlfn.AGGREGATE(15,6,ROW(Suppliers!$G$2:$G$267)/((Suppliers!$G$2:$G$267&gt;=TODAY())*(Suppliers!$G$2:$G$267&lt;=TODAY()+90)*(Suppliers!$L$2:$L$267&lt;&gt;"Expired")*(Suppliers!$L$2:$L$267&lt;&gt;"Terminate")),5)),"")</f>
        <v/>
      </c>
      <c r="F12" s="14" t="str">
        <f t="array" aca="1" ref="F12" ca="1">IFERROR(IF(INDEX(Suppliers!$I:$I,_xlfn.AGGREGATE(15,6,ROW(Suppliers!$G$2:$G$267)/((Suppliers!$G$2:$G$267&gt;=TODAY())*(Suppliers!$G$2:$G$267&lt;=TODAY()+90)*(Suppliers!$L$2:$L$267&lt;&gt;"Expired")*(Suppliers!$L$2:$L$267&lt;&gt;"Terminate")),1))="","N/A",INDEX(Suppliers!$I:$I,_xlfn.AGGREGATE(15,6,ROW(Suppliers!$G$2:$G$267)/((Suppliers!$G$2:$G$267&gt;=TODAY())*(Suppliers!$G$2:$G$267&lt;=TODAY()+90)*(Suppliers!$L$2:$L$267&lt;&gt;"Expired")*(Suppliers!$L$2:$L$267&lt;&gt;"Terminate")),5))),"")</f>
        <v/>
      </c>
      <c r="G12" s="16" t="str">
        <f t="array" aca="1" ref="G12" ca="1">IFERROR(INDEX(Suppliers!$G:$G,_xlfn.AGGREGATE(15,6,ROW(Suppliers!$G$2:$G$267)/((Suppliers!$G$2:$G$267&gt;=TODAY())*(Suppliers!$G$2:$G$267&lt;=TODAY()+90)*(Suppliers!$L$2:$L$267&lt;&gt;"Expired")*(Suppliers!$L$2:$L$267&lt;&gt;"Terminate")),5)),"")</f>
        <v/>
      </c>
      <c r="H12" s="17" t="str">
        <f t="array" aca="1" ref="H12" ca="1">IFERROR(INDEX(Suppliers!$G:$G,_xlfn.AGGREGATE(15,6,ROW(Suppliers!$G$2:$G$267)/((Suppliers!$G$2:$G$267&gt;=TODAY())*(Suppliers!$G$2:$G$267&lt;=TODAY()+90)*(Suppliers!$L$2:$L$267&lt;&gt;"Expired")*(Suppliers!$L$2:$L$267&lt;&gt;"Terminate")),5))-TODAY(),"")</f>
        <v/>
      </c>
      <c r="I12" s="14" t="str">
        <f t="array" aca="1" ref="I12" ca="1">IFERROR(INDEX(Suppliers!$L:$L,_xlfn.AGGREGATE(15,6,ROW(Suppliers!$G$2:$G$267)/((Suppliers!$G$2:$G$267&gt;=TODAY())*(Suppliers!$G$2:$G$267&lt;=TODAY()+90)*(Suppliers!$L$2:$L$267&lt;&gt;"Expired")*(Suppliers!$L$2:$L$267&lt;&gt;"Terminate")),5)),"")</f>
        <v/>
      </c>
    </row>
    <row r="13" spans="1:9" ht="15" customHeight="1" x14ac:dyDescent="0.35">
      <c r="A13" s="14" t="str">
        <f t="array" aca="1" ref="A13" ca="1">IFERROR(INDEX(Suppliers!$A:$A,_xlfn.AGGREGATE(15,6,ROW(Suppliers!$G$2:$G$267)/((Suppliers!$G$2:$G$267&gt;=TODAY())*(Suppliers!$G$2:$G$267&lt;=TODAY()+90)*(Suppliers!$L$2:$L$267&lt;&gt;"Expired")*(Suppliers!$L$2:$L$267&lt;&gt;"Terminate")),6)),"")</f>
        <v/>
      </c>
      <c r="B13" s="14" t="str">
        <f t="array" aca="1" ref="B13" ca="1">IFERROR(INDEX(Suppliers!$B:$B,_xlfn.AGGREGATE(15,6,ROW(Suppliers!$G$2:$G$267)/((Suppliers!$G$2:$G$267&gt;=TODAY())*(Suppliers!$G$2:$G$267&lt;=TODAY()+90)*(Suppliers!$L$2:$L$267&lt;&gt;"Expired")*(Suppliers!$L$2:$L$267&lt;&gt;"Terminate")),6)),"")</f>
        <v/>
      </c>
      <c r="C13" s="15" t="str">
        <f t="array" aca="1" ref="C13" ca="1">IFERROR(INDEX(Suppliers!$C:$C,_xlfn.AGGREGATE(15,6,ROW(Suppliers!$G$2:$G$267)/((Suppliers!$G$2:$G$267&gt;=TODAY())*(Suppliers!$G$2:$G$267&lt;=TODAY()+90)*(Suppliers!$L$2:$L$267&lt;&gt;"Expired")*(Suppliers!$L$2:$L$267&lt;&gt;"Terminate")),6)),"")</f>
        <v/>
      </c>
      <c r="D13" s="15" t="str">
        <f t="array" aca="1" ref="D13" ca="1">IFERROR(INDEX(Suppliers!$D:$D,_xlfn.AGGREGATE(15,6,ROW(Suppliers!$G$2:$G$267)/((Suppliers!$G$2:$G$267&gt;=TODAY())*(Suppliers!$G$2:$G$267&lt;=TODAY()+90)*(Suppliers!$L$2:$L$267&lt;&gt;"Expired")*(Suppliers!$L$2:$L$267&lt;&gt;"Terminate")),6)),"")</f>
        <v/>
      </c>
      <c r="E13" s="14" t="str">
        <f t="array" aca="1" ref="E13" ca="1">IFERROR(INDEX(Suppliers!$E:$E,_xlfn.AGGREGATE(15,6,ROW(Suppliers!$G$2:$G$267)/((Suppliers!$G$2:$G$267&gt;=TODAY())*(Suppliers!$G$2:$G$267&lt;=TODAY()+90)*(Suppliers!$L$2:$L$267&lt;&gt;"Expired")*(Suppliers!$L$2:$L$267&lt;&gt;"Terminate")),6)),"")</f>
        <v/>
      </c>
      <c r="F13" s="14" t="str">
        <f t="array" aca="1" ref="F13" ca="1">IFERROR(IF(INDEX(Suppliers!$I:$I,_xlfn.AGGREGATE(15,6,ROW(Suppliers!$G$2:$G$267)/((Suppliers!$G$2:$G$267&gt;=TODAY())*(Suppliers!$G$2:$G$267&lt;=TODAY()+90)*(Suppliers!$L$2:$L$267&lt;&gt;"Expired")*(Suppliers!$L$2:$L$267&lt;&gt;"Terminate")),1))="","N/A",INDEX(Suppliers!$I:$I,_xlfn.AGGREGATE(15,6,ROW(Suppliers!$G$2:$G$267)/((Suppliers!$G$2:$G$267&gt;=TODAY())*(Suppliers!$G$2:$G$267&lt;=TODAY()+90)*(Suppliers!$L$2:$L$267&lt;&gt;"Expired")*(Suppliers!$L$2:$L$267&lt;&gt;"Terminate")),6))),"")</f>
        <v/>
      </c>
      <c r="G13" s="16" t="str">
        <f t="array" aca="1" ref="G13" ca="1">IFERROR(INDEX(Suppliers!$G:$G,_xlfn.AGGREGATE(15,6,ROW(Suppliers!$G$2:$G$267)/((Suppliers!$G$2:$G$267&gt;=TODAY())*(Suppliers!$G$2:$G$267&lt;=TODAY()+90)*(Suppliers!$L$2:$L$267&lt;&gt;"Expired")*(Suppliers!$L$2:$L$267&lt;&gt;"Terminate")),6)),"")</f>
        <v/>
      </c>
      <c r="H13" s="17" t="str">
        <f t="array" aca="1" ref="H13" ca="1">IFERROR(INDEX(Suppliers!$G:$G,_xlfn.AGGREGATE(15,6,ROW(Suppliers!$G$2:$G$267)/((Suppliers!$G$2:$G$267&gt;=TODAY())*(Suppliers!$G$2:$G$267&lt;=TODAY()+90)*(Suppliers!$L$2:$L$267&lt;&gt;"Expired")*(Suppliers!$L$2:$L$267&lt;&gt;"Terminate")),6))-TODAY(),"")</f>
        <v/>
      </c>
      <c r="I13" s="14" t="str">
        <f t="array" aca="1" ref="I13" ca="1">IFERROR(INDEX(Suppliers!$L:$L,_xlfn.AGGREGATE(15,6,ROW(Suppliers!$G$2:$G$267)/((Suppliers!$G$2:$G$267&gt;=TODAY())*(Suppliers!$G$2:$G$267&lt;=TODAY()+90)*(Suppliers!$L$2:$L$267&lt;&gt;"Expired")*(Suppliers!$L$2:$L$267&lt;&gt;"Terminate")),6)),"")</f>
        <v/>
      </c>
    </row>
    <row r="14" spans="1:9" ht="15" customHeight="1" x14ac:dyDescent="0.35">
      <c r="A14" s="14" t="str">
        <f t="array" aca="1" ref="A14" ca="1">IFERROR(INDEX(Suppliers!$A:$A,_xlfn.AGGREGATE(15,6,ROW(Suppliers!$G$2:$G$267)/((Suppliers!$G$2:$G$267&gt;=TODAY())*(Suppliers!$G$2:$G$267&lt;=TODAY()+90)*(Suppliers!$L$2:$L$267&lt;&gt;"Expired")*(Suppliers!$L$2:$L$267&lt;&gt;"Terminate")),7)),"")</f>
        <v/>
      </c>
      <c r="B14" s="14" t="str">
        <f t="array" aca="1" ref="B14" ca="1">IFERROR(INDEX(Suppliers!$B:$B,_xlfn.AGGREGATE(15,6,ROW(Suppliers!$G$2:$G$267)/((Suppliers!$G$2:$G$267&gt;=TODAY())*(Suppliers!$G$2:$G$267&lt;=TODAY()+90)*(Suppliers!$L$2:$L$267&lt;&gt;"Expired")*(Suppliers!$L$2:$L$267&lt;&gt;"Terminate")),7)),"")</f>
        <v/>
      </c>
      <c r="C14" s="15" t="str">
        <f t="array" aca="1" ref="C14" ca="1">IFERROR(INDEX(Suppliers!$C:$C,_xlfn.AGGREGATE(15,6,ROW(Suppliers!$G$2:$G$267)/((Suppliers!$G$2:$G$267&gt;=TODAY())*(Suppliers!$G$2:$G$267&lt;=TODAY()+90)*(Suppliers!$L$2:$L$267&lt;&gt;"Expired")*(Suppliers!$L$2:$L$267&lt;&gt;"Terminate")),7)),"")</f>
        <v/>
      </c>
      <c r="D14" s="15" t="str">
        <f t="array" aca="1" ref="D14" ca="1">IFERROR(INDEX(Suppliers!$D:$D,_xlfn.AGGREGATE(15,6,ROW(Suppliers!$G$2:$G$267)/((Suppliers!$G$2:$G$267&gt;=TODAY())*(Suppliers!$G$2:$G$267&lt;=TODAY()+90)*(Suppliers!$L$2:$L$267&lt;&gt;"Expired")*(Suppliers!$L$2:$L$267&lt;&gt;"Terminate")),7)),"")</f>
        <v/>
      </c>
      <c r="E14" s="14" t="str">
        <f t="array" aca="1" ref="E14" ca="1">IFERROR(INDEX(Suppliers!$E:$E,_xlfn.AGGREGATE(15,6,ROW(Suppliers!$G$2:$G$267)/((Suppliers!$G$2:$G$267&gt;=TODAY())*(Suppliers!$G$2:$G$267&lt;=TODAY()+90)*(Suppliers!$L$2:$L$267&lt;&gt;"Expired")*(Suppliers!$L$2:$L$267&lt;&gt;"Terminate")),7)),"")</f>
        <v/>
      </c>
      <c r="F14" s="14" t="str">
        <f t="array" aca="1" ref="F14" ca="1">IFERROR(IF(INDEX(Suppliers!$I:$I,_xlfn.AGGREGATE(15,6,ROW(Suppliers!$G$2:$G$267)/((Suppliers!$G$2:$G$267&gt;=TODAY())*(Suppliers!$G$2:$G$267&lt;=TODAY()+90)*(Suppliers!$L$2:$L$267&lt;&gt;"Expired")*(Suppliers!$L$2:$L$267&lt;&gt;"Terminate")),1))="","N/A",INDEX(Suppliers!$I:$I,_xlfn.AGGREGATE(15,6,ROW(Suppliers!$G$2:$G$267)/((Suppliers!$G$2:$G$267&gt;=TODAY())*(Suppliers!$G$2:$G$267&lt;=TODAY()+90)*(Suppliers!$L$2:$L$267&lt;&gt;"Expired")*(Suppliers!$L$2:$L$267&lt;&gt;"Terminate")),7))),"")</f>
        <v/>
      </c>
      <c r="G14" s="16" t="str">
        <f t="array" aca="1" ref="G14" ca="1">IFERROR(INDEX(Suppliers!$G:$G,_xlfn.AGGREGATE(15,6,ROW(Suppliers!$G$2:$G$267)/((Suppliers!$G$2:$G$267&gt;=TODAY())*(Suppliers!$G$2:$G$267&lt;=TODAY()+90)*(Suppliers!$L$2:$L$267&lt;&gt;"Expired")*(Suppliers!$L$2:$L$267&lt;&gt;"Terminate")),7)),"")</f>
        <v/>
      </c>
      <c r="H14" s="17" t="str">
        <f t="array" aca="1" ref="H14" ca="1">IFERROR(INDEX(Suppliers!$G:$G,_xlfn.AGGREGATE(15,6,ROW(Suppliers!$G$2:$G$267)/((Suppliers!$G$2:$G$267&gt;=TODAY())*(Suppliers!$G$2:$G$267&lt;=TODAY()+90)*(Suppliers!$L$2:$L$267&lt;&gt;"Expired")*(Suppliers!$L$2:$L$267&lt;&gt;"Terminate")),7))-TODAY(),"")</f>
        <v/>
      </c>
      <c r="I14" s="14" t="str">
        <f t="array" aca="1" ref="I14" ca="1">IFERROR(INDEX(Suppliers!$L:$L,_xlfn.AGGREGATE(15,6,ROW(Suppliers!$G$2:$G$267)/((Suppliers!$G$2:$G$267&gt;=TODAY())*(Suppliers!$G$2:$G$267&lt;=TODAY()+90)*(Suppliers!$L$2:$L$267&lt;&gt;"Expired")*(Suppliers!$L$2:$L$267&lt;&gt;"Terminate")),7)),"")</f>
        <v/>
      </c>
    </row>
    <row r="15" spans="1:9" ht="15" customHeight="1" x14ac:dyDescent="0.35">
      <c r="A15" s="14" t="str">
        <f t="array" aca="1" ref="A15" ca="1">IFERROR(INDEX(Suppliers!$A:$A,_xlfn.AGGREGATE(15,6,ROW(Suppliers!$G$2:$G$267)/((Suppliers!$G$2:$G$267&gt;=TODAY())*(Suppliers!$G$2:$G$267&lt;=TODAY()+90)*(Suppliers!$L$2:$L$267&lt;&gt;"Expired")*(Suppliers!$L$2:$L$267&lt;&gt;"Terminate")),8)),"")</f>
        <v/>
      </c>
      <c r="B15" s="14" t="str">
        <f t="array" aca="1" ref="B15" ca="1">IFERROR(INDEX(Suppliers!$B:$B,_xlfn.AGGREGATE(15,6,ROW(Suppliers!$G$2:$G$267)/((Suppliers!$G$2:$G$267&gt;=TODAY())*(Suppliers!$G$2:$G$267&lt;=TODAY()+90)*(Suppliers!$L$2:$L$267&lt;&gt;"Expired")*(Suppliers!$L$2:$L$267&lt;&gt;"Terminate")),8)),"")</f>
        <v/>
      </c>
      <c r="C15" s="15" t="str">
        <f t="array" aca="1" ref="C15" ca="1">IFERROR(INDEX(Suppliers!$C:$C,_xlfn.AGGREGATE(15,6,ROW(Suppliers!$G$2:$G$267)/((Suppliers!$G$2:$G$267&gt;=TODAY())*(Suppliers!$G$2:$G$267&lt;=TODAY()+90)*(Suppliers!$L$2:$L$267&lt;&gt;"Expired")*(Suppliers!$L$2:$L$267&lt;&gt;"Terminate")),8)),"")</f>
        <v/>
      </c>
      <c r="D15" s="15" t="str">
        <f t="array" aca="1" ref="D15" ca="1">IFERROR(INDEX(Suppliers!$D:$D,_xlfn.AGGREGATE(15,6,ROW(Suppliers!$G$2:$G$267)/((Suppliers!$G$2:$G$267&gt;=TODAY())*(Suppliers!$G$2:$G$267&lt;=TODAY()+90)*(Suppliers!$L$2:$L$267&lt;&gt;"Expired")*(Suppliers!$L$2:$L$267&lt;&gt;"Terminate")),8)),"")</f>
        <v/>
      </c>
      <c r="E15" s="14" t="str">
        <f t="array" aca="1" ref="E15" ca="1">IFERROR(INDEX(Suppliers!$E:$E,_xlfn.AGGREGATE(15,6,ROW(Suppliers!$G$2:$G$267)/((Suppliers!$G$2:$G$267&gt;=TODAY())*(Suppliers!$G$2:$G$267&lt;=TODAY()+90)*(Suppliers!$L$2:$L$267&lt;&gt;"Expired")*(Suppliers!$L$2:$L$267&lt;&gt;"Terminate")),8)),"")</f>
        <v/>
      </c>
      <c r="F15" s="14" t="str">
        <f t="array" aca="1" ref="F15" ca="1">IFERROR(IF(INDEX(Suppliers!$I:$I,_xlfn.AGGREGATE(15,6,ROW(Suppliers!$G$2:$G$267)/((Suppliers!$G$2:$G$267&gt;=TODAY())*(Suppliers!$G$2:$G$267&lt;=TODAY()+90)*(Suppliers!$L$2:$L$267&lt;&gt;"Expired")*(Suppliers!$L$2:$L$267&lt;&gt;"Terminate")),1))="","N/A",INDEX(Suppliers!$I:$I,_xlfn.AGGREGATE(15,6,ROW(Suppliers!$G$2:$G$267)/((Suppliers!$G$2:$G$267&gt;=TODAY())*(Suppliers!$G$2:$G$267&lt;=TODAY()+90)*(Suppliers!$L$2:$L$267&lt;&gt;"Expired")*(Suppliers!$L$2:$L$267&lt;&gt;"Terminate")),8))),"")</f>
        <v/>
      </c>
      <c r="G15" s="16" t="str">
        <f t="array" aca="1" ref="G15" ca="1">IFERROR(INDEX(Suppliers!$G:$G,_xlfn.AGGREGATE(15,6,ROW(Suppliers!$G$2:$G$267)/((Suppliers!$G$2:$G$267&gt;=TODAY())*(Suppliers!$G$2:$G$267&lt;=TODAY()+90)*(Suppliers!$L$2:$L$267&lt;&gt;"Expired")*(Suppliers!$L$2:$L$267&lt;&gt;"Terminate")),8)),"")</f>
        <v/>
      </c>
      <c r="H15" s="17" t="str">
        <f t="array" aca="1" ref="H15" ca="1">IFERROR(INDEX(Suppliers!$G:$G,_xlfn.AGGREGATE(15,6,ROW(Suppliers!$G$2:$G$267)/((Suppliers!$G$2:$G$267&gt;=TODAY())*(Suppliers!$G$2:$G$267&lt;=TODAY()+90)*(Suppliers!$L$2:$L$267&lt;&gt;"Expired")*(Suppliers!$L$2:$L$267&lt;&gt;"Terminate")),8))-TODAY(),"")</f>
        <v/>
      </c>
      <c r="I15" s="14" t="str">
        <f t="array" aca="1" ref="I15" ca="1">IFERROR(INDEX(Suppliers!$L:$L,_xlfn.AGGREGATE(15,6,ROW(Suppliers!$G$2:$G$267)/((Suppliers!$G$2:$G$267&gt;=TODAY())*(Suppliers!$G$2:$G$267&lt;=TODAY()+90)*(Suppliers!$L$2:$L$267&lt;&gt;"Expired")*(Suppliers!$L$2:$L$267&lt;&gt;"Terminate")),8)),"")</f>
        <v/>
      </c>
    </row>
    <row r="16" spans="1:9" ht="15" customHeight="1" x14ac:dyDescent="0.35">
      <c r="A16" s="14" t="str">
        <f t="array" aca="1" ref="A16" ca="1">IFERROR(INDEX(Suppliers!$A:$A,_xlfn.AGGREGATE(15,6,ROW(Suppliers!$G$2:$G$267)/((Suppliers!$G$2:$G$267&gt;=TODAY())*(Suppliers!$G$2:$G$267&lt;=TODAY()+90)*(Suppliers!$L$2:$L$267&lt;&gt;"Expired")*(Suppliers!$L$2:$L$267&lt;&gt;"Terminate")),9)),"")</f>
        <v/>
      </c>
      <c r="B16" s="14" t="str">
        <f t="array" aca="1" ref="B16" ca="1">IFERROR(INDEX(Suppliers!$B:$B,_xlfn.AGGREGATE(15,6,ROW(Suppliers!$G$2:$G$267)/((Suppliers!$G$2:$G$267&gt;=TODAY())*(Suppliers!$G$2:$G$267&lt;=TODAY()+90)*(Suppliers!$L$2:$L$267&lt;&gt;"Expired")*(Suppliers!$L$2:$L$267&lt;&gt;"Terminate")),9)),"")</f>
        <v/>
      </c>
      <c r="C16" s="15" t="str">
        <f t="array" aca="1" ref="C16" ca="1">IFERROR(INDEX(Suppliers!$C:$C,_xlfn.AGGREGATE(15,6,ROW(Suppliers!$G$2:$G$267)/((Suppliers!$G$2:$G$267&gt;=TODAY())*(Suppliers!$G$2:$G$267&lt;=TODAY()+90)*(Suppliers!$L$2:$L$267&lt;&gt;"Expired")*(Suppliers!$L$2:$L$267&lt;&gt;"Terminate")),9)),"")</f>
        <v/>
      </c>
      <c r="D16" s="15" t="str">
        <f t="array" aca="1" ref="D16" ca="1">IFERROR(INDEX(Suppliers!$D:$D,_xlfn.AGGREGATE(15,6,ROW(Suppliers!$G$2:$G$267)/((Suppliers!$G$2:$G$267&gt;=TODAY())*(Suppliers!$G$2:$G$267&lt;=TODAY()+90)*(Suppliers!$L$2:$L$267&lt;&gt;"Expired")*(Suppliers!$L$2:$L$267&lt;&gt;"Terminate")),9)),"")</f>
        <v/>
      </c>
      <c r="E16" s="14" t="str">
        <f t="array" aca="1" ref="E16" ca="1">IFERROR(INDEX(Suppliers!$E:$E,_xlfn.AGGREGATE(15,6,ROW(Suppliers!$G$2:$G$267)/((Suppliers!$G$2:$G$267&gt;=TODAY())*(Suppliers!$G$2:$G$267&lt;=TODAY()+90)*(Suppliers!$L$2:$L$267&lt;&gt;"Expired")*(Suppliers!$L$2:$L$267&lt;&gt;"Terminate")),9)),"")</f>
        <v/>
      </c>
      <c r="F16" s="14" t="str">
        <f t="array" aca="1" ref="F16" ca="1">IFERROR(IF(INDEX(Suppliers!$I:$I,_xlfn.AGGREGATE(15,6,ROW(Suppliers!$G$2:$G$267)/((Suppliers!$G$2:$G$267&gt;=TODAY())*(Suppliers!$G$2:$G$267&lt;=TODAY()+90)*(Suppliers!$L$2:$L$267&lt;&gt;"Expired")*(Suppliers!$L$2:$L$267&lt;&gt;"Terminate")),1))="","N/A",INDEX(Suppliers!$I:$I,_xlfn.AGGREGATE(15,6,ROW(Suppliers!$G$2:$G$267)/((Suppliers!$G$2:$G$267&gt;=TODAY())*(Suppliers!$G$2:$G$267&lt;=TODAY()+90)*(Suppliers!$L$2:$L$267&lt;&gt;"Expired")*(Suppliers!$L$2:$L$267&lt;&gt;"Terminate")),9))),"")</f>
        <v/>
      </c>
      <c r="G16" s="16" t="str">
        <f t="array" aca="1" ref="G16" ca="1">IFERROR(INDEX(Suppliers!$G:$G,_xlfn.AGGREGATE(15,6,ROW(Suppliers!$G$2:$G$267)/((Suppliers!$G$2:$G$267&gt;=TODAY())*(Suppliers!$G$2:$G$267&lt;=TODAY()+90)*(Suppliers!$L$2:$L$267&lt;&gt;"Expired")*(Suppliers!$L$2:$L$267&lt;&gt;"Terminate")),9)),"")</f>
        <v/>
      </c>
      <c r="H16" s="17" t="str">
        <f t="array" aca="1" ref="H16" ca="1">IFERROR(INDEX(Suppliers!$G:$G,_xlfn.AGGREGATE(15,6,ROW(Suppliers!$G$2:$G$267)/((Suppliers!$G$2:$G$267&gt;=TODAY())*(Suppliers!$G$2:$G$267&lt;=TODAY()+90)*(Suppliers!$L$2:$L$267&lt;&gt;"Expired")*(Suppliers!$L$2:$L$267&lt;&gt;"Terminate")),9))-TODAY(),"")</f>
        <v/>
      </c>
      <c r="I16" s="14" t="str">
        <f t="array" aca="1" ref="I16" ca="1">IFERROR(INDEX(Suppliers!$L:$L,_xlfn.AGGREGATE(15,6,ROW(Suppliers!$G$2:$G$267)/((Suppliers!$G$2:$G$267&gt;=TODAY())*(Suppliers!$G$2:$G$267&lt;=TODAY()+90)*(Suppliers!$L$2:$L$267&lt;&gt;"Expired")*(Suppliers!$L$2:$L$267&lt;&gt;"Terminate")),9)),"")</f>
        <v/>
      </c>
    </row>
    <row r="17" spans="1:9" ht="15" customHeight="1" x14ac:dyDescent="0.35">
      <c r="A17" s="14" t="str">
        <f t="array" aca="1" ref="A17" ca="1">IFERROR(INDEX(Suppliers!$A:$A,_xlfn.AGGREGATE(15,6,ROW(Suppliers!$G$2:$G$267)/((Suppliers!$G$2:$G$267&gt;=TODAY())*(Suppliers!$G$2:$G$267&lt;=TODAY()+90)*(Suppliers!$L$2:$L$267&lt;&gt;"Expired")*(Suppliers!$L$2:$L$267&lt;&gt;"Terminate")),10)),"")</f>
        <v/>
      </c>
      <c r="B17" s="14" t="str">
        <f t="array" aca="1" ref="B17" ca="1">IFERROR(INDEX(Suppliers!$B:$B,_xlfn.AGGREGATE(15,6,ROW(Suppliers!$G$2:$G$267)/((Suppliers!$G$2:$G$267&gt;=TODAY())*(Suppliers!$G$2:$G$267&lt;=TODAY()+90)*(Suppliers!$L$2:$L$267&lt;&gt;"Expired")*(Suppliers!$L$2:$L$267&lt;&gt;"Terminate")),10)),"")</f>
        <v/>
      </c>
      <c r="C17" s="15" t="str">
        <f t="array" aca="1" ref="C17" ca="1">IFERROR(INDEX(Suppliers!$C:$C,_xlfn.AGGREGATE(15,6,ROW(Suppliers!$G$2:$G$267)/((Suppliers!$G$2:$G$267&gt;=TODAY())*(Suppliers!$G$2:$G$267&lt;=TODAY()+90)*(Suppliers!$L$2:$L$267&lt;&gt;"Expired")*(Suppliers!$L$2:$L$267&lt;&gt;"Terminate")),10)),"")</f>
        <v/>
      </c>
      <c r="D17" s="15" t="str">
        <f t="array" aca="1" ref="D17" ca="1">IFERROR(INDEX(Suppliers!$D:$D,_xlfn.AGGREGATE(15,6,ROW(Suppliers!$G$2:$G$267)/((Suppliers!$G$2:$G$267&gt;=TODAY())*(Suppliers!$G$2:$G$267&lt;=TODAY()+90)*(Suppliers!$L$2:$L$267&lt;&gt;"Expired")*(Suppliers!$L$2:$L$267&lt;&gt;"Terminate")),10)),"")</f>
        <v/>
      </c>
      <c r="E17" s="14" t="str">
        <f t="array" aca="1" ref="E17" ca="1">IFERROR(INDEX(Suppliers!$E:$E,_xlfn.AGGREGATE(15,6,ROW(Suppliers!$G$2:$G$267)/((Suppliers!$G$2:$G$267&gt;=TODAY())*(Suppliers!$G$2:$G$267&lt;=TODAY()+90)*(Suppliers!$L$2:$L$267&lt;&gt;"Expired")*(Suppliers!$L$2:$L$267&lt;&gt;"Terminate")),10)),"")</f>
        <v/>
      </c>
      <c r="F17" s="14" t="str">
        <f t="array" aca="1" ref="F17" ca="1">IFERROR(IF(INDEX(Suppliers!$I:$I,_xlfn.AGGREGATE(15,6,ROW(Suppliers!$G$2:$G$267)/((Suppliers!$G$2:$G$267&gt;=TODAY())*(Suppliers!$G$2:$G$267&lt;=TODAY()+90)*(Suppliers!$L$2:$L$267&lt;&gt;"Expired")*(Suppliers!$L$2:$L$267&lt;&gt;"Terminate")),1))="","N/A",INDEX(Suppliers!$I:$I,_xlfn.AGGREGATE(15,6,ROW(Suppliers!$G$2:$G$267)/((Suppliers!$G$2:$G$267&gt;=TODAY())*(Suppliers!$G$2:$G$267&lt;=TODAY()+90)*(Suppliers!$L$2:$L$267&lt;&gt;"Expired")*(Suppliers!$L$2:$L$267&lt;&gt;"Terminate")),10))),"")</f>
        <v/>
      </c>
      <c r="G17" s="16" t="str">
        <f t="array" aca="1" ref="G17" ca="1">IFERROR(INDEX(Suppliers!$G:$G,_xlfn.AGGREGATE(15,6,ROW(Suppliers!$G$2:$G$267)/((Suppliers!$G$2:$G$267&gt;=TODAY())*(Suppliers!$G$2:$G$267&lt;=TODAY()+90)*(Suppliers!$L$2:$L$267&lt;&gt;"Expired")*(Suppliers!$L$2:$L$267&lt;&gt;"Terminate")),10)),"")</f>
        <v/>
      </c>
      <c r="H17" s="17" t="str">
        <f t="array" aca="1" ref="H17" ca="1">IFERROR(INDEX(Suppliers!$G:$G,_xlfn.AGGREGATE(15,6,ROW(Suppliers!$G$2:$G$267)/((Suppliers!$G$2:$G$267&gt;=TODAY())*(Suppliers!$G$2:$G$267&lt;=TODAY()+90)*(Suppliers!$L$2:$L$267&lt;&gt;"Expired")*(Suppliers!$L$2:$L$267&lt;&gt;"Terminate")),10))-TODAY(),"")</f>
        <v/>
      </c>
      <c r="I17" s="14" t="str">
        <f t="array" aca="1" ref="I17" ca="1">IFERROR(INDEX(Suppliers!$L:$L,_xlfn.AGGREGATE(15,6,ROW(Suppliers!$G$2:$G$267)/((Suppliers!$G$2:$G$267&gt;=TODAY())*(Suppliers!$G$2:$G$267&lt;=TODAY()+90)*(Suppliers!$L$2:$L$267&lt;&gt;"Expired")*(Suppliers!$L$2:$L$267&lt;&gt;"Terminate")),10)),"")</f>
        <v/>
      </c>
    </row>
    <row r="18" spans="1:9" ht="15" customHeight="1" x14ac:dyDescent="0.35">
      <c r="A18" s="14" t="str">
        <f t="array" aca="1" ref="A18" ca="1">IFERROR(INDEX(Suppliers!$A:$A,_xlfn.AGGREGATE(15,6,ROW(Suppliers!$G$2:$G$267)/((Suppliers!$G$2:$G$267&gt;=TODAY())*(Suppliers!$G$2:$G$267&lt;=TODAY()+90)*(Suppliers!$L$2:$L$267&lt;&gt;"Expired")*(Suppliers!$L$2:$L$267&lt;&gt;"Terminate")),11)),"")</f>
        <v/>
      </c>
      <c r="B18" s="14" t="str">
        <f t="array" aca="1" ref="B18" ca="1">IFERROR(INDEX(Suppliers!$B:$B,_xlfn.AGGREGATE(15,6,ROW(Suppliers!$G$2:$G$267)/((Suppliers!$G$2:$G$267&gt;=TODAY())*(Suppliers!$G$2:$G$267&lt;=TODAY()+90)*(Suppliers!$L$2:$L$267&lt;&gt;"Expired")*(Suppliers!$L$2:$L$267&lt;&gt;"Terminate")),11)),"")</f>
        <v/>
      </c>
      <c r="C18" s="15" t="str">
        <f t="array" aca="1" ref="C18" ca="1">IFERROR(INDEX(Suppliers!$C:$C,_xlfn.AGGREGATE(15,6,ROW(Suppliers!$G$2:$G$267)/((Suppliers!$G$2:$G$267&gt;=TODAY())*(Suppliers!$G$2:$G$267&lt;=TODAY()+90)*(Suppliers!$L$2:$L$267&lt;&gt;"Expired")*(Suppliers!$L$2:$L$267&lt;&gt;"Terminate")),11)),"")</f>
        <v/>
      </c>
      <c r="D18" s="15" t="str">
        <f t="array" aca="1" ref="D18" ca="1">IFERROR(INDEX(Suppliers!$D:$D,_xlfn.AGGREGATE(15,6,ROW(Suppliers!$G$2:$G$267)/((Suppliers!$G$2:$G$267&gt;=TODAY())*(Suppliers!$G$2:$G$267&lt;=TODAY()+90)*(Suppliers!$L$2:$L$267&lt;&gt;"Expired")*(Suppliers!$L$2:$L$267&lt;&gt;"Terminate")),11)),"")</f>
        <v/>
      </c>
      <c r="E18" s="14" t="str">
        <f t="array" aca="1" ref="E18" ca="1">IFERROR(INDEX(Suppliers!$E:$E,_xlfn.AGGREGATE(15,6,ROW(Suppliers!$G$2:$G$267)/((Suppliers!$G$2:$G$267&gt;=TODAY())*(Suppliers!$G$2:$G$267&lt;=TODAY()+90)*(Suppliers!$L$2:$L$267&lt;&gt;"Expired")*(Suppliers!$L$2:$L$267&lt;&gt;"Terminate")),11)),"")</f>
        <v/>
      </c>
      <c r="F18" s="14" t="str">
        <f t="array" aca="1" ref="F18" ca="1">IFERROR(IF(INDEX(Suppliers!$I:$I,_xlfn.AGGREGATE(15,6,ROW(Suppliers!$G$2:$G$267)/((Suppliers!$G$2:$G$267&gt;=TODAY())*(Suppliers!$G$2:$G$267&lt;=TODAY()+90)*(Suppliers!$L$2:$L$267&lt;&gt;"Expired")*(Suppliers!$L$2:$L$267&lt;&gt;"Terminate")),1))="","N/A",INDEX(Suppliers!$I:$I,_xlfn.AGGREGATE(15,6,ROW(Suppliers!$G$2:$G$267)/((Suppliers!$G$2:$G$267&gt;=TODAY())*(Suppliers!$G$2:$G$267&lt;=TODAY()+90)*(Suppliers!$L$2:$L$267&lt;&gt;"Expired")*(Suppliers!$L$2:$L$267&lt;&gt;"Terminate")),11))),"")</f>
        <v/>
      </c>
      <c r="G18" s="16" t="str">
        <f t="array" aca="1" ref="G18" ca="1">IFERROR(INDEX(Suppliers!$G:$G,_xlfn.AGGREGATE(15,6,ROW(Suppliers!$G$2:$G$267)/((Suppliers!$G$2:$G$267&gt;=TODAY())*(Suppliers!$G$2:$G$267&lt;=TODAY()+90)*(Suppliers!$L$2:$L$267&lt;&gt;"Expired")*(Suppliers!$L$2:$L$267&lt;&gt;"Terminate")),11)),"")</f>
        <v/>
      </c>
      <c r="H18" s="17" t="str">
        <f t="array" aca="1" ref="H18" ca="1">IFERROR(INDEX(Suppliers!$G:$G,_xlfn.AGGREGATE(15,6,ROW(Suppliers!$G$2:$G$267)/((Suppliers!$G$2:$G$267&gt;=TODAY())*(Suppliers!$G$2:$G$267&lt;=TODAY()+90)*(Suppliers!$L$2:$L$267&lt;&gt;"Expired")*(Suppliers!$L$2:$L$267&lt;&gt;"Terminate")),11))-TODAY(),"")</f>
        <v/>
      </c>
      <c r="I18" s="14" t="str">
        <f t="array" aca="1" ref="I18" ca="1">IFERROR(INDEX(Suppliers!$L:$L,_xlfn.AGGREGATE(15,6,ROW(Suppliers!$G$2:$G$267)/((Suppliers!$G$2:$G$267&gt;=TODAY())*(Suppliers!$G$2:$G$267&lt;=TODAY()+90)*(Suppliers!$L$2:$L$267&lt;&gt;"Expired")*(Suppliers!$L$2:$L$267&lt;&gt;"Terminate")),11)),"")</f>
        <v/>
      </c>
    </row>
    <row r="19" spans="1:9" ht="15" customHeight="1" x14ac:dyDescent="0.35">
      <c r="A19" s="14" t="str">
        <f t="array" aca="1" ref="A19" ca="1">IFERROR(INDEX(Suppliers!$A:$A,_xlfn.AGGREGATE(15,6,ROW(Suppliers!$G$2:$G$267)/((Suppliers!$G$2:$G$267&gt;=TODAY())*(Suppliers!$G$2:$G$267&lt;=TODAY()+90)*(Suppliers!$L$2:$L$267&lt;&gt;"Expired")*(Suppliers!$L$2:$L$267&lt;&gt;"Terminate")),12)),"")</f>
        <v/>
      </c>
      <c r="B19" s="14" t="str">
        <f t="array" aca="1" ref="B19" ca="1">IFERROR(INDEX(Suppliers!$B:$B,_xlfn.AGGREGATE(15,6,ROW(Suppliers!$G$2:$G$267)/((Suppliers!$G$2:$G$267&gt;=TODAY())*(Suppliers!$G$2:$G$267&lt;=TODAY()+90)*(Suppliers!$L$2:$L$267&lt;&gt;"Expired")*(Suppliers!$L$2:$L$267&lt;&gt;"Terminate")),12)),"")</f>
        <v/>
      </c>
      <c r="C19" s="15" t="str">
        <f t="array" aca="1" ref="C19" ca="1">IFERROR(INDEX(Suppliers!$C:$C,_xlfn.AGGREGATE(15,6,ROW(Suppliers!$G$2:$G$267)/((Suppliers!$G$2:$G$267&gt;=TODAY())*(Suppliers!$G$2:$G$267&lt;=TODAY()+90)*(Suppliers!$L$2:$L$267&lt;&gt;"Expired")*(Suppliers!$L$2:$L$267&lt;&gt;"Terminate")),12)),"")</f>
        <v/>
      </c>
      <c r="D19" s="15" t="str">
        <f t="array" aca="1" ref="D19" ca="1">IFERROR(INDEX(Suppliers!$D:$D,_xlfn.AGGREGATE(15,6,ROW(Suppliers!$G$2:$G$267)/((Suppliers!$G$2:$G$267&gt;=TODAY())*(Suppliers!$G$2:$G$267&lt;=TODAY()+90)*(Suppliers!$L$2:$L$267&lt;&gt;"Expired")*(Suppliers!$L$2:$L$267&lt;&gt;"Terminate")),12)),"")</f>
        <v/>
      </c>
      <c r="E19" s="14" t="str">
        <f t="array" aca="1" ref="E19" ca="1">IFERROR(INDEX(Suppliers!$E:$E,_xlfn.AGGREGATE(15,6,ROW(Suppliers!$G$2:$G$267)/((Suppliers!$G$2:$G$267&gt;=TODAY())*(Suppliers!$G$2:$G$267&lt;=TODAY()+90)*(Suppliers!$L$2:$L$267&lt;&gt;"Expired")*(Suppliers!$L$2:$L$267&lt;&gt;"Terminate")),12)),"")</f>
        <v/>
      </c>
      <c r="F19" s="14" t="str">
        <f t="array" aca="1" ref="F19" ca="1">IFERROR(IF(INDEX(Suppliers!$I:$I,_xlfn.AGGREGATE(15,6,ROW(Suppliers!$G$2:$G$267)/((Suppliers!$G$2:$G$267&gt;=TODAY())*(Suppliers!$G$2:$G$267&lt;=TODAY()+90)*(Suppliers!$L$2:$L$267&lt;&gt;"Expired")*(Suppliers!$L$2:$L$267&lt;&gt;"Terminate")),1))="","N/A",INDEX(Suppliers!$I:$I,_xlfn.AGGREGATE(15,6,ROW(Suppliers!$G$2:$G$267)/((Suppliers!$G$2:$G$267&gt;=TODAY())*(Suppliers!$G$2:$G$267&lt;=TODAY()+90)*(Suppliers!$L$2:$L$267&lt;&gt;"Expired")*(Suppliers!$L$2:$L$267&lt;&gt;"Terminate")),12))),"")</f>
        <v/>
      </c>
      <c r="G19" s="16" t="str">
        <f t="array" aca="1" ref="G19" ca="1">IFERROR(INDEX(Suppliers!$G:$G,_xlfn.AGGREGATE(15,6,ROW(Suppliers!$G$2:$G$267)/((Suppliers!$G$2:$G$267&gt;=TODAY())*(Suppliers!$G$2:$G$267&lt;=TODAY()+90)*(Suppliers!$L$2:$L$267&lt;&gt;"Expired")*(Suppliers!$L$2:$L$267&lt;&gt;"Terminate")),12)),"")</f>
        <v/>
      </c>
      <c r="H19" s="17" t="str">
        <f t="array" aca="1" ref="H19" ca="1">IFERROR(INDEX(Suppliers!$G:$G,_xlfn.AGGREGATE(15,6,ROW(Suppliers!$G$2:$G$267)/((Suppliers!$G$2:$G$267&gt;=TODAY())*(Suppliers!$G$2:$G$267&lt;=TODAY()+90)*(Suppliers!$L$2:$L$267&lt;&gt;"Expired")*(Suppliers!$L$2:$L$267&lt;&gt;"Terminate")),12))-TODAY(),"")</f>
        <v/>
      </c>
      <c r="I19" s="14" t="str">
        <f t="array" aca="1" ref="I19" ca="1">IFERROR(INDEX(Suppliers!$L:$L,_xlfn.AGGREGATE(15,6,ROW(Suppliers!$G$2:$G$267)/((Suppliers!$G$2:$G$267&gt;=TODAY())*(Suppliers!$G$2:$G$267&lt;=TODAY()+90)*(Suppliers!$L$2:$L$267&lt;&gt;"Expired")*(Suppliers!$L$2:$L$267&lt;&gt;"Terminate")),12)),"")</f>
        <v/>
      </c>
    </row>
    <row r="20" spans="1:9" ht="15" customHeight="1" x14ac:dyDescent="0.35">
      <c r="A20" s="14" t="str">
        <f t="array" aca="1" ref="A20" ca="1">IFERROR(INDEX(Suppliers!$A:$A,_xlfn.AGGREGATE(15,6,ROW(Suppliers!$G$2:$G$267)/((Suppliers!$G$2:$G$267&gt;=TODAY())*(Suppliers!$G$2:$G$267&lt;=TODAY()+90)*(Suppliers!$L$2:$L$267&lt;&gt;"Expired")*(Suppliers!$L$2:$L$267&lt;&gt;"Terminate")),13)),"")</f>
        <v/>
      </c>
      <c r="B20" s="14" t="str">
        <f t="array" aca="1" ref="B20" ca="1">IFERROR(INDEX(Suppliers!$B:$B,_xlfn.AGGREGATE(15,6,ROW(Suppliers!$G$2:$G$267)/((Suppliers!$G$2:$G$267&gt;=TODAY())*(Suppliers!$G$2:$G$267&lt;=TODAY()+90)*(Suppliers!$L$2:$L$267&lt;&gt;"Expired")*(Suppliers!$L$2:$L$267&lt;&gt;"Terminate")),13)),"")</f>
        <v/>
      </c>
      <c r="C20" s="15" t="str">
        <f t="array" aca="1" ref="C20" ca="1">IFERROR(INDEX(Suppliers!$C:$C,_xlfn.AGGREGATE(15,6,ROW(Suppliers!$G$2:$G$267)/((Suppliers!$G$2:$G$267&gt;=TODAY())*(Suppliers!$G$2:$G$267&lt;=TODAY()+90)*(Suppliers!$L$2:$L$267&lt;&gt;"Expired")*(Suppliers!$L$2:$L$267&lt;&gt;"Terminate")),13)),"")</f>
        <v/>
      </c>
      <c r="D20" s="15" t="str">
        <f t="array" aca="1" ref="D20" ca="1">IFERROR(INDEX(Suppliers!$D:$D,_xlfn.AGGREGATE(15,6,ROW(Suppliers!$G$2:$G$267)/((Suppliers!$G$2:$G$267&gt;=TODAY())*(Suppliers!$G$2:$G$267&lt;=TODAY()+90)*(Suppliers!$L$2:$L$267&lt;&gt;"Expired")*(Suppliers!$L$2:$L$267&lt;&gt;"Terminate")),13)),"")</f>
        <v/>
      </c>
      <c r="E20" s="14" t="str">
        <f t="array" aca="1" ref="E20" ca="1">IFERROR(INDEX(Suppliers!$E:$E,_xlfn.AGGREGATE(15,6,ROW(Suppliers!$G$2:$G$267)/((Suppliers!$G$2:$G$267&gt;=TODAY())*(Suppliers!$G$2:$G$267&lt;=TODAY()+90)*(Suppliers!$L$2:$L$267&lt;&gt;"Expired")*(Suppliers!$L$2:$L$267&lt;&gt;"Terminate")),13)),"")</f>
        <v/>
      </c>
      <c r="F20" s="14" t="str">
        <f t="array" aca="1" ref="F20" ca="1">IFERROR(IF(INDEX(Suppliers!$I:$I,_xlfn.AGGREGATE(15,6,ROW(Suppliers!$G$2:$G$267)/((Suppliers!$G$2:$G$267&gt;=TODAY())*(Suppliers!$G$2:$G$267&lt;=TODAY()+90)*(Suppliers!$L$2:$L$267&lt;&gt;"Expired")*(Suppliers!$L$2:$L$267&lt;&gt;"Terminate")),1))="","N/A",INDEX(Suppliers!$I:$I,_xlfn.AGGREGATE(15,6,ROW(Suppliers!$G$2:$G$267)/((Suppliers!$G$2:$G$267&gt;=TODAY())*(Suppliers!$G$2:$G$267&lt;=TODAY()+90)*(Suppliers!$L$2:$L$267&lt;&gt;"Expired")*(Suppliers!$L$2:$L$267&lt;&gt;"Terminate")),13))),"")</f>
        <v/>
      </c>
      <c r="G20" s="16" t="str">
        <f t="array" aca="1" ref="G20" ca="1">IFERROR(INDEX(Suppliers!$G:$G,_xlfn.AGGREGATE(15,6,ROW(Suppliers!$G$2:$G$267)/((Suppliers!$G$2:$G$267&gt;=TODAY())*(Suppliers!$G$2:$G$267&lt;=TODAY()+90)*(Suppliers!$L$2:$L$267&lt;&gt;"Expired")*(Suppliers!$L$2:$L$267&lt;&gt;"Terminate")),13)),"")</f>
        <v/>
      </c>
      <c r="H20" s="17" t="str">
        <f t="array" aca="1" ref="H20" ca="1">IFERROR(INDEX(Suppliers!$G:$G,_xlfn.AGGREGATE(15,6,ROW(Suppliers!$G$2:$G$267)/((Suppliers!$G$2:$G$267&gt;=TODAY())*(Suppliers!$G$2:$G$267&lt;=TODAY()+90)*(Suppliers!$L$2:$L$267&lt;&gt;"Expired")*(Suppliers!$L$2:$L$267&lt;&gt;"Terminate")),13))-TODAY(),"")</f>
        <v/>
      </c>
      <c r="I20" s="14" t="str">
        <f t="array" aca="1" ref="I20" ca="1">IFERROR(INDEX(Suppliers!$L:$L,_xlfn.AGGREGATE(15,6,ROW(Suppliers!$G$2:$G$267)/((Suppliers!$G$2:$G$267&gt;=TODAY())*(Suppliers!$G$2:$G$267&lt;=TODAY()+90)*(Suppliers!$L$2:$L$267&lt;&gt;"Expired")*(Suppliers!$L$2:$L$267&lt;&gt;"Terminate")),13)),"")</f>
        <v/>
      </c>
    </row>
    <row r="21" spans="1:9" ht="15" customHeight="1" x14ac:dyDescent="0.35">
      <c r="A21" s="14" t="str">
        <f t="array" aca="1" ref="A21" ca="1">IFERROR(INDEX(Suppliers!$A:$A,_xlfn.AGGREGATE(15,6,ROW(Suppliers!$G$2:$G$267)/((Suppliers!$G$2:$G$267&gt;=TODAY())*(Suppliers!$G$2:$G$267&lt;=TODAY()+90)*(Suppliers!$L$2:$L$267&lt;&gt;"Expired")*(Suppliers!$L$2:$L$267&lt;&gt;"Terminate")),14)),"")</f>
        <v/>
      </c>
      <c r="B21" s="14" t="str">
        <f t="array" aca="1" ref="B21" ca="1">IFERROR(INDEX(Suppliers!$B:$B,_xlfn.AGGREGATE(15,6,ROW(Suppliers!$G$2:$G$267)/((Suppliers!$G$2:$G$267&gt;=TODAY())*(Suppliers!$G$2:$G$267&lt;=TODAY()+90)*(Suppliers!$L$2:$L$267&lt;&gt;"Expired")*(Suppliers!$L$2:$L$267&lt;&gt;"Terminate")),14)),"")</f>
        <v/>
      </c>
      <c r="C21" s="15" t="str">
        <f t="array" aca="1" ref="C21" ca="1">IFERROR(INDEX(Suppliers!$C:$C,_xlfn.AGGREGATE(15,6,ROW(Suppliers!$G$2:$G$267)/((Suppliers!$G$2:$G$267&gt;=TODAY())*(Suppliers!$G$2:$G$267&lt;=TODAY()+90)*(Suppliers!$L$2:$L$267&lt;&gt;"Expired")*(Suppliers!$L$2:$L$267&lt;&gt;"Terminate")),14)),"")</f>
        <v/>
      </c>
      <c r="D21" s="15" t="str">
        <f t="array" aca="1" ref="D21" ca="1">IFERROR(INDEX(Suppliers!$D:$D,_xlfn.AGGREGATE(15,6,ROW(Suppliers!$G$2:$G$267)/((Suppliers!$G$2:$G$267&gt;=TODAY())*(Suppliers!$G$2:$G$267&lt;=TODAY()+90)*(Suppliers!$L$2:$L$267&lt;&gt;"Expired")*(Suppliers!$L$2:$L$267&lt;&gt;"Terminate")),14)),"")</f>
        <v/>
      </c>
      <c r="E21" s="14" t="str">
        <f t="array" aca="1" ref="E21" ca="1">IFERROR(INDEX(Suppliers!$E:$E,_xlfn.AGGREGATE(15,6,ROW(Suppliers!$G$2:$G$267)/((Suppliers!$G$2:$G$267&gt;=TODAY())*(Suppliers!$G$2:$G$267&lt;=TODAY()+90)*(Suppliers!$L$2:$L$267&lt;&gt;"Expired")*(Suppliers!$L$2:$L$267&lt;&gt;"Terminate")),14)),"")</f>
        <v/>
      </c>
      <c r="F21" s="14" t="str">
        <f t="array" aca="1" ref="F21" ca="1">IFERROR(IF(INDEX(Suppliers!$I:$I,_xlfn.AGGREGATE(15,6,ROW(Suppliers!$G$2:$G$267)/((Suppliers!$G$2:$G$267&gt;=TODAY())*(Suppliers!$G$2:$G$267&lt;=TODAY()+90)*(Suppliers!$L$2:$L$267&lt;&gt;"Expired")*(Suppliers!$L$2:$L$267&lt;&gt;"Terminate")),1))="","N/A",INDEX(Suppliers!$I:$I,_xlfn.AGGREGATE(15,6,ROW(Suppliers!$G$2:$G$267)/((Suppliers!$G$2:$G$267&gt;=TODAY())*(Suppliers!$G$2:$G$267&lt;=TODAY()+90)*(Suppliers!$L$2:$L$267&lt;&gt;"Expired")*(Suppliers!$L$2:$L$267&lt;&gt;"Terminate")),14))),"")</f>
        <v/>
      </c>
      <c r="G21" s="16" t="str">
        <f t="array" aca="1" ref="G21" ca="1">IFERROR(INDEX(Suppliers!$G:$G,_xlfn.AGGREGATE(15,6,ROW(Suppliers!$G$2:$G$267)/((Suppliers!$G$2:$G$267&gt;=TODAY())*(Suppliers!$G$2:$G$267&lt;=TODAY()+90)*(Suppliers!$L$2:$L$267&lt;&gt;"Expired")*(Suppliers!$L$2:$L$267&lt;&gt;"Terminate")),14)),"")</f>
        <v/>
      </c>
      <c r="H21" s="17" t="str">
        <f t="array" aca="1" ref="H21" ca="1">IFERROR(INDEX(Suppliers!$G:$G,_xlfn.AGGREGATE(15,6,ROW(Suppliers!$G$2:$G$267)/((Suppliers!$G$2:$G$267&gt;=TODAY())*(Suppliers!$G$2:$G$267&lt;=TODAY()+90)*(Suppliers!$L$2:$L$267&lt;&gt;"Expired")*(Suppliers!$L$2:$L$267&lt;&gt;"Terminate")),14))-TODAY(),"")</f>
        <v/>
      </c>
      <c r="I21" s="14" t="str">
        <f t="array" aca="1" ref="I21" ca="1">IFERROR(INDEX(Suppliers!$L:$L,_xlfn.AGGREGATE(15,6,ROW(Suppliers!$G$2:$G$267)/((Suppliers!$G$2:$G$267&gt;=TODAY())*(Suppliers!$G$2:$G$267&lt;=TODAY()+90)*(Suppliers!$L$2:$L$267&lt;&gt;"Expired")*(Suppliers!$L$2:$L$267&lt;&gt;"Terminate")),14)),"")</f>
        <v/>
      </c>
    </row>
    <row r="22" spans="1:9" ht="15" customHeight="1" x14ac:dyDescent="0.35">
      <c r="A22" s="14" t="str">
        <f t="array" aca="1" ref="A22" ca="1">IFERROR(INDEX(Suppliers!$A:$A,_xlfn.AGGREGATE(15,6,ROW(Suppliers!$G$2:$G$267)/((Suppliers!$G$2:$G$267&gt;=TODAY())*(Suppliers!$G$2:$G$267&lt;=TODAY()+90)*(Suppliers!$L$2:$L$267&lt;&gt;"Expired")*(Suppliers!$L$2:$L$267&lt;&gt;"Terminate")),15)),"")</f>
        <v/>
      </c>
      <c r="B22" s="14" t="str">
        <f t="array" aca="1" ref="B22" ca="1">IFERROR(INDEX(Suppliers!$B:$B,_xlfn.AGGREGATE(15,6,ROW(Suppliers!$G$2:$G$267)/((Suppliers!$G$2:$G$267&gt;=TODAY())*(Suppliers!$G$2:$G$267&lt;=TODAY()+90)*(Suppliers!$L$2:$L$267&lt;&gt;"Expired")*(Suppliers!$L$2:$L$267&lt;&gt;"Terminate")),15)),"")</f>
        <v/>
      </c>
      <c r="C22" s="15" t="str">
        <f t="array" aca="1" ref="C22" ca="1">IFERROR(INDEX(Suppliers!$C:$C,_xlfn.AGGREGATE(15,6,ROW(Suppliers!$G$2:$G$267)/((Suppliers!$G$2:$G$267&gt;=TODAY())*(Suppliers!$G$2:$G$267&lt;=TODAY()+90)*(Suppliers!$L$2:$L$267&lt;&gt;"Expired")*(Suppliers!$L$2:$L$267&lt;&gt;"Terminate")),15)),"")</f>
        <v/>
      </c>
      <c r="D22" s="15" t="str">
        <f t="array" aca="1" ref="D22" ca="1">IFERROR(INDEX(Suppliers!$D:$D,_xlfn.AGGREGATE(15,6,ROW(Suppliers!$G$2:$G$267)/((Suppliers!$G$2:$G$267&gt;=TODAY())*(Suppliers!$G$2:$G$267&lt;=TODAY()+90)*(Suppliers!$L$2:$L$267&lt;&gt;"Expired")*(Suppliers!$L$2:$L$267&lt;&gt;"Terminate")),15)),"")</f>
        <v/>
      </c>
      <c r="E22" s="14" t="str">
        <f t="array" aca="1" ref="E22" ca="1">IFERROR(INDEX(Suppliers!$E:$E,_xlfn.AGGREGATE(15,6,ROW(Suppliers!$G$2:$G$267)/((Suppliers!$G$2:$G$267&gt;=TODAY())*(Suppliers!$G$2:$G$267&lt;=TODAY()+90)*(Suppliers!$L$2:$L$267&lt;&gt;"Expired")*(Suppliers!$L$2:$L$267&lt;&gt;"Terminate")),15)),"")</f>
        <v/>
      </c>
      <c r="F22" s="14" t="str">
        <f t="array" aca="1" ref="F22" ca="1">IFERROR(IF(INDEX(Suppliers!$I:$I,_xlfn.AGGREGATE(15,6,ROW(Suppliers!$G$2:$G$267)/((Suppliers!$G$2:$G$267&gt;=TODAY())*(Suppliers!$G$2:$G$267&lt;=TODAY()+90)*(Suppliers!$L$2:$L$267&lt;&gt;"Expired")*(Suppliers!$L$2:$L$267&lt;&gt;"Terminate")),1))="","N/A",INDEX(Suppliers!$I:$I,_xlfn.AGGREGATE(15,6,ROW(Suppliers!$G$2:$G$267)/((Suppliers!$G$2:$G$267&gt;=TODAY())*(Suppliers!$G$2:$G$267&lt;=TODAY()+90)*(Suppliers!$L$2:$L$267&lt;&gt;"Expired")*(Suppliers!$L$2:$L$267&lt;&gt;"Terminate")),15))),"")</f>
        <v/>
      </c>
      <c r="G22" s="16" t="str">
        <f t="array" aca="1" ref="G22" ca="1">IFERROR(INDEX(Suppliers!$G:$G,_xlfn.AGGREGATE(15,6,ROW(Suppliers!$G$2:$G$267)/((Suppliers!$G$2:$G$267&gt;=TODAY())*(Suppliers!$G$2:$G$267&lt;=TODAY()+90)*(Suppliers!$L$2:$L$267&lt;&gt;"Expired")*(Suppliers!$L$2:$L$267&lt;&gt;"Terminate")),15)),"")</f>
        <v/>
      </c>
      <c r="H22" s="17" t="str">
        <f t="array" aca="1" ref="H22" ca="1">IFERROR(INDEX(Suppliers!$G:$G,_xlfn.AGGREGATE(15,6,ROW(Suppliers!$G$2:$G$267)/((Suppliers!$G$2:$G$267&gt;=TODAY())*(Suppliers!$G$2:$G$267&lt;=TODAY()+90)*(Suppliers!$L$2:$L$267&lt;&gt;"Expired")*(Suppliers!$L$2:$L$267&lt;&gt;"Terminate")),15))-TODAY(),"")</f>
        <v/>
      </c>
      <c r="I22" s="14" t="str">
        <f t="array" aca="1" ref="I22" ca="1">IFERROR(INDEX(Suppliers!$L:$L,_xlfn.AGGREGATE(15,6,ROW(Suppliers!$G$2:$G$267)/((Suppliers!$G$2:$G$267&gt;=TODAY())*(Suppliers!$G$2:$G$267&lt;=TODAY()+90)*(Suppliers!$L$2:$L$267&lt;&gt;"Expired")*(Suppliers!$L$2:$L$267&lt;&gt;"Terminate")),15)),"")</f>
        <v/>
      </c>
    </row>
  </sheetData>
  <mergeCells count="11">
    <mergeCell ref="E2:G2"/>
    <mergeCell ref="B3:D3"/>
    <mergeCell ref="H2:I2"/>
    <mergeCell ref="A5:I5"/>
    <mergeCell ref="A1:F1"/>
    <mergeCell ref="H1:I1"/>
    <mergeCell ref="A2:A3"/>
    <mergeCell ref="E3:G3"/>
    <mergeCell ref="A4:I4"/>
    <mergeCell ref="B2:D2"/>
    <mergeCell ref="H3:I3"/>
  </mergeCells>
  <conditionalFormatting sqref="A8:I22">
    <cfRule type="expression" dxfId="16" priority="5">
      <formula>AND($A8&lt;&gt;"",$H8&lt;=30)</formula>
    </cfRule>
    <cfRule type="expression" dxfId="15" priority="6">
      <formula>AND($A8&lt;&gt;"",$H8&gt;30,$H8&lt;=90)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Dashboard">
                <anchor moveWithCells="1" sizeWithCells="1">
                  <from>
                    <xdr:col>6</xdr:col>
                    <xdr:colOff>12700</xdr:colOff>
                    <xdr:row>0</xdr:row>
                    <xdr:rowOff>19050</xdr:rowOff>
                  </from>
                  <to>
                    <xdr:col>6</xdr:col>
                    <xdr:colOff>946150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9"/>
  <sheetViews>
    <sheetView showGridLines="0" zoomScale="85" zoomScaleNormal="85" workbookViewId="0">
      <pane ySplit="1" topLeftCell="A2" activePane="bottomLeft" state="frozen"/>
      <selection pane="bottomLeft" activeCell="A40" sqref="A40"/>
    </sheetView>
  </sheetViews>
  <sheetFormatPr defaultColWidth="8.6328125" defaultRowHeight="14.5" x14ac:dyDescent="0.35"/>
  <cols>
    <col min="1" max="1" width="66.26953125" customWidth="1"/>
    <col min="2" max="2" width="14" customWidth="1"/>
    <col min="3" max="7" width="12" customWidth="1"/>
    <col min="8" max="8" width="11" customWidth="1"/>
    <col min="9" max="9" width="12" customWidth="1"/>
    <col min="10" max="11" width="14" customWidth="1"/>
    <col min="12" max="12" width="10" customWidth="1"/>
    <col min="13" max="13" width="52" customWidth="1"/>
    <col min="14" max="14" width="13" hidden="1" customWidth="1"/>
  </cols>
  <sheetData>
    <row r="1" spans="1:14" ht="19.5" customHeight="1" x14ac:dyDescent="0.35">
      <c r="A1" s="3" t="s">
        <v>6</v>
      </c>
      <c r="B1" s="3" t="s">
        <v>7</v>
      </c>
      <c r="C1" s="3" t="s">
        <v>8</v>
      </c>
      <c r="D1" s="3" t="s">
        <v>9</v>
      </c>
      <c r="E1" s="3" t="s">
        <v>10</v>
      </c>
      <c r="F1" s="3" t="s">
        <v>15</v>
      </c>
      <c r="G1" s="3" t="s">
        <v>16</v>
      </c>
      <c r="H1" s="3" t="s">
        <v>17</v>
      </c>
      <c r="I1" s="3" t="s">
        <v>11</v>
      </c>
      <c r="J1" s="3" t="s">
        <v>12</v>
      </c>
      <c r="K1" s="3" t="s">
        <v>18</v>
      </c>
      <c r="L1" s="3" t="s">
        <v>14</v>
      </c>
      <c r="M1" s="3" t="s">
        <v>19</v>
      </c>
      <c r="N1" s="6" t="s">
        <v>20</v>
      </c>
    </row>
    <row r="2" spans="1:14" ht="15" customHeight="1" x14ac:dyDescent="0.35">
      <c r="A2" s="4" t="s">
        <v>21</v>
      </c>
      <c r="B2" s="4" t="s">
        <v>22</v>
      </c>
      <c r="C2" s="7">
        <v>840.34</v>
      </c>
      <c r="D2" s="7">
        <v>1000</v>
      </c>
      <c r="E2" s="4" t="s">
        <v>23</v>
      </c>
      <c r="F2" s="5">
        <v>45306</v>
      </c>
      <c r="G2" s="5">
        <v>46387</v>
      </c>
      <c r="H2" s="4">
        <v>90</v>
      </c>
      <c r="I2" s="4" t="s">
        <v>24</v>
      </c>
      <c r="J2" s="5">
        <f t="shared" ref="J2:J21" si="0">IF(AND(G2&lt;&gt;"",H2&lt;&gt;""),G2-H2,"")</f>
        <v>46297</v>
      </c>
      <c r="K2" s="5">
        <f t="shared" ref="K2:K20" ca="1" si="1">IF(OR(F2="",E2=""),"",IFERROR(IF(E2="Annual",DATE(YEAR(TODAY())+IF(DATE(YEAR(TODAY()),MONTH(F2),DAY(F2))&lt;TODAY(),1,0),MONTH(F2),DAY(F2)),IF(E2="Quarterly",EDATE(F2,(INT(DATEDIF(F2,TODAY(),"M")/3)+1)*3),IF(E2="Semi-annual",EDATE(F2,(INT(DATEDIF(F2,TODAY(),"M")/6)+1)*6),IF(E2="Monthly",EDATE(F2,DATEDIF(F2,TODAY(),"M")+1),IF(E2="One-time","",""))))),""))</f>
        <v>46188</v>
      </c>
      <c r="L2" s="4" t="s">
        <v>25</v>
      </c>
      <c r="M2" s="4" t="s">
        <v>26</v>
      </c>
      <c r="N2" t="str">
        <f t="shared" ref="N2:N21" ca="1" si="2">IF(ISNUMBER(J2),IF(AND(J2-TODAY()&gt;=0,J2-TODAY()&lt;=90,L2&lt;&gt;"Expired",L2&lt;&gt;"Terminate"),ROW(),""),"")</f>
        <v/>
      </c>
    </row>
    <row r="3" spans="1:14" ht="15" customHeight="1" x14ac:dyDescent="0.35">
      <c r="A3" s="4" t="s">
        <v>27</v>
      </c>
      <c r="B3" s="4" t="s">
        <v>22</v>
      </c>
      <c r="C3" s="7">
        <v>504.2</v>
      </c>
      <c r="D3" s="7">
        <v>600</v>
      </c>
      <c r="E3" s="4" t="s">
        <v>28</v>
      </c>
      <c r="F3" s="5">
        <v>45078</v>
      </c>
      <c r="G3" s="5">
        <v>46173</v>
      </c>
      <c r="H3" s="4">
        <v>60</v>
      </c>
      <c r="I3" s="4" t="s">
        <v>29</v>
      </c>
      <c r="J3" s="5">
        <f t="shared" si="0"/>
        <v>46113</v>
      </c>
      <c r="K3" s="5">
        <f t="shared" ca="1" si="1"/>
        <v>46174</v>
      </c>
      <c r="L3" s="4" t="s">
        <v>30</v>
      </c>
      <c r="M3" s="4" t="s">
        <v>31</v>
      </c>
      <c r="N3" t="str">
        <f t="shared" ca="1" si="2"/>
        <v/>
      </c>
    </row>
    <row r="4" spans="1:14" ht="15" customHeight="1" x14ac:dyDescent="0.35">
      <c r="A4" s="4" t="s">
        <v>32</v>
      </c>
      <c r="B4" s="4" t="s">
        <v>33</v>
      </c>
      <c r="C4" s="7">
        <v>2100</v>
      </c>
      <c r="D4" s="7">
        <v>2499</v>
      </c>
      <c r="E4" s="4" t="s">
        <v>23</v>
      </c>
      <c r="F4" s="5">
        <v>45352</v>
      </c>
      <c r="G4" s="5"/>
      <c r="H4" s="4">
        <v>30</v>
      </c>
      <c r="I4" s="4" t="s">
        <v>29</v>
      </c>
      <c r="J4" s="5" t="str">
        <f t="shared" si="0"/>
        <v/>
      </c>
      <c r="K4" s="5">
        <f t="shared" ca="1" si="1"/>
        <v>46174</v>
      </c>
      <c r="L4" s="4" t="s">
        <v>25</v>
      </c>
      <c r="M4" s="4" t="s">
        <v>34</v>
      </c>
      <c r="N4" t="str">
        <f t="shared" ca="1" si="2"/>
        <v/>
      </c>
    </row>
    <row r="5" spans="1:14" ht="15" customHeight="1" x14ac:dyDescent="0.35">
      <c r="A5" s="4" t="s">
        <v>35</v>
      </c>
      <c r="B5" s="4" t="s">
        <v>36</v>
      </c>
      <c r="C5" s="7">
        <v>1176.47</v>
      </c>
      <c r="D5" s="7">
        <v>1400</v>
      </c>
      <c r="E5" s="4" t="s">
        <v>23</v>
      </c>
      <c r="F5" s="5">
        <v>44805</v>
      </c>
      <c r="G5" s="5">
        <v>46265</v>
      </c>
      <c r="H5" s="4">
        <v>90</v>
      </c>
      <c r="I5" s="4" t="s">
        <v>24</v>
      </c>
      <c r="J5" s="5">
        <f t="shared" si="0"/>
        <v>46175</v>
      </c>
      <c r="K5" s="5">
        <f t="shared" ca="1" si="1"/>
        <v>46174</v>
      </c>
      <c r="L5" s="4" t="s">
        <v>25</v>
      </c>
      <c r="M5" s="4" t="s">
        <v>37</v>
      </c>
      <c r="N5">
        <f t="shared" ca="1" si="2"/>
        <v>5</v>
      </c>
    </row>
    <row r="6" spans="1:14" ht="15" customHeight="1" x14ac:dyDescent="0.35">
      <c r="A6" s="4" t="s">
        <v>38</v>
      </c>
      <c r="B6" s="4" t="s">
        <v>39</v>
      </c>
      <c r="C6" s="7">
        <v>420.17</v>
      </c>
      <c r="D6" s="7">
        <v>500</v>
      </c>
      <c r="E6" s="4" t="s">
        <v>23</v>
      </c>
      <c r="F6" s="5">
        <v>44927</v>
      </c>
      <c r="G6" s="5"/>
      <c r="H6" s="4">
        <v>30</v>
      </c>
      <c r="I6" s="4" t="s">
        <v>24</v>
      </c>
      <c r="J6" s="5" t="str">
        <f t="shared" si="0"/>
        <v/>
      </c>
      <c r="K6" s="5">
        <f t="shared" ca="1" si="1"/>
        <v>46174</v>
      </c>
      <c r="L6" s="4" t="s">
        <v>25</v>
      </c>
      <c r="M6" s="4" t="s">
        <v>40</v>
      </c>
      <c r="N6" t="str">
        <f t="shared" ca="1" si="2"/>
        <v/>
      </c>
    </row>
    <row r="7" spans="1:14" ht="15" customHeight="1" x14ac:dyDescent="0.35">
      <c r="A7" s="4" t="s">
        <v>41</v>
      </c>
      <c r="B7" s="4" t="s">
        <v>22</v>
      </c>
      <c r="C7" s="7">
        <v>252.1</v>
      </c>
      <c r="D7" s="7">
        <v>300</v>
      </c>
      <c r="E7" s="4" t="s">
        <v>42</v>
      </c>
      <c r="F7" s="5">
        <v>45017</v>
      </c>
      <c r="G7" s="5">
        <v>46477</v>
      </c>
      <c r="H7" s="4">
        <v>30</v>
      </c>
      <c r="I7" s="4" t="s">
        <v>24</v>
      </c>
      <c r="J7" s="5">
        <f t="shared" si="0"/>
        <v>46447</v>
      </c>
      <c r="K7" s="5">
        <f t="shared" ca="1" si="1"/>
        <v>46204</v>
      </c>
      <c r="L7" s="4" t="s">
        <v>25</v>
      </c>
      <c r="M7" s="4" t="s">
        <v>43</v>
      </c>
      <c r="N7" t="str">
        <f t="shared" ca="1" si="2"/>
        <v/>
      </c>
    </row>
    <row r="8" spans="1:14" ht="15" customHeight="1" x14ac:dyDescent="0.35">
      <c r="A8" s="4" t="s">
        <v>44</v>
      </c>
      <c r="B8" s="4" t="s">
        <v>33</v>
      </c>
      <c r="C8" s="7">
        <v>5882.35</v>
      </c>
      <c r="D8" s="7">
        <v>7000</v>
      </c>
      <c r="E8" s="4" t="s">
        <v>23</v>
      </c>
      <c r="F8" s="5">
        <v>44562</v>
      </c>
      <c r="G8" s="5"/>
      <c r="H8" s="4">
        <v>60</v>
      </c>
      <c r="I8" s="4" t="s">
        <v>29</v>
      </c>
      <c r="J8" s="5" t="str">
        <f t="shared" si="0"/>
        <v/>
      </c>
      <c r="K8" s="5">
        <f t="shared" ca="1" si="1"/>
        <v>46174</v>
      </c>
      <c r="L8" s="4" t="s">
        <v>25</v>
      </c>
      <c r="M8" s="4" t="s">
        <v>45</v>
      </c>
      <c r="N8" t="str">
        <f t="shared" ca="1" si="2"/>
        <v/>
      </c>
    </row>
    <row r="9" spans="1:14" ht="15" customHeight="1" x14ac:dyDescent="0.35">
      <c r="A9" s="4" t="s">
        <v>46</v>
      </c>
      <c r="B9" s="4" t="s">
        <v>22</v>
      </c>
      <c r="C9" s="7">
        <v>1260.5</v>
      </c>
      <c r="D9" s="7">
        <v>1500</v>
      </c>
      <c r="E9" s="4" t="s">
        <v>28</v>
      </c>
      <c r="F9" s="5">
        <v>45292</v>
      </c>
      <c r="G9" s="5">
        <v>46387</v>
      </c>
      <c r="H9" s="4">
        <v>90</v>
      </c>
      <c r="I9" s="4" t="s">
        <v>29</v>
      </c>
      <c r="J9" s="5">
        <f t="shared" si="0"/>
        <v>46297</v>
      </c>
      <c r="K9" s="5">
        <f t="shared" ca="1" si="1"/>
        <v>46388</v>
      </c>
      <c r="L9" s="4" t="s">
        <v>25</v>
      </c>
      <c r="M9" s="4" t="s">
        <v>47</v>
      </c>
      <c r="N9" t="str">
        <f t="shared" ca="1" si="2"/>
        <v/>
      </c>
    </row>
    <row r="10" spans="1:14" ht="15" customHeight="1" x14ac:dyDescent="0.35">
      <c r="A10" s="4" t="s">
        <v>48</v>
      </c>
      <c r="B10" s="4" t="s">
        <v>49</v>
      </c>
      <c r="C10" s="7">
        <v>780</v>
      </c>
      <c r="D10" s="7">
        <v>780</v>
      </c>
      <c r="E10" s="4" t="s">
        <v>28</v>
      </c>
      <c r="F10" s="5">
        <v>45108</v>
      </c>
      <c r="G10" s="5">
        <v>46203</v>
      </c>
      <c r="H10" s="4">
        <v>30</v>
      </c>
      <c r="I10" s="4"/>
      <c r="J10" s="5">
        <f t="shared" si="0"/>
        <v>46173</v>
      </c>
      <c r="K10" s="5">
        <f t="shared" ca="1" si="1"/>
        <v>46204</v>
      </c>
      <c r="L10" s="4" t="s">
        <v>25</v>
      </c>
      <c r="M10" s="4" t="s">
        <v>50</v>
      </c>
      <c r="N10">
        <f t="shared" ca="1" si="2"/>
        <v>10</v>
      </c>
    </row>
    <row r="11" spans="1:14" ht="15" customHeight="1" x14ac:dyDescent="0.35">
      <c r="A11" s="4" t="s">
        <v>51</v>
      </c>
      <c r="B11" s="4" t="s">
        <v>33</v>
      </c>
      <c r="C11" s="7">
        <v>462.18</v>
      </c>
      <c r="D11" s="7">
        <v>550</v>
      </c>
      <c r="E11" s="4" t="s">
        <v>23</v>
      </c>
      <c r="F11" s="5">
        <v>44256</v>
      </c>
      <c r="G11" s="5"/>
      <c r="H11" s="4">
        <v>90</v>
      </c>
      <c r="I11" s="4" t="s">
        <v>29</v>
      </c>
      <c r="J11" s="5" t="str">
        <f t="shared" si="0"/>
        <v/>
      </c>
      <c r="K11" s="5">
        <f t="shared" ca="1" si="1"/>
        <v>46174</v>
      </c>
      <c r="L11" s="4" t="s">
        <v>25</v>
      </c>
      <c r="M11" s="4" t="s">
        <v>52</v>
      </c>
      <c r="N11" t="str">
        <f t="shared" ca="1" si="2"/>
        <v/>
      </c>
    </row>
    <row r="12" spans="1:14" ht="15" customHeight="1" x14ac:dyDescent="0.35">
      <c r="A12" s="4" t="s">
        <v>53</v>
      </c>
      <c r="B12" s="4" t="s">
        <v>33</v>
      </c>
      <c r="C12" s="7">
        <v>2857.98</v>
      </c>
      <c r="D12" s="7">
        <v>3400</v>
      </c>
      <c r="E12" s="4" t="s">
        <v>23</v>
      </c>
      <c r="F12" s="5">
        <v>45170</v>
      </c>
      <c r="G12" s="5"/>
      <c r="H12" s="4">
        <v>30</v>
      </c>
      <c r="I12" s="4" t="s">
        <v>29</v>
      </c>
      <c r="J12" s="5" t="str">
        <f t="shared" si="0"/>
        <v/>
      </c>
      <c r="K12" s="5">
        <f t="shared" ca="1" si="1"/>
        <v>46174</v>
      </c>
      <c r="L12" s="4" t="s">
        <v>25</v>
      </c>
      <c r="M12" s="4" t="s">
        <v>54</v>
      </c>
      <c r="N12" t="str">
        <f t="shared" ca="1" si="2"/>
        <v/>
      </c>
    </row>
    <row r="13" spans="1:14" ht="15" customHeight="1" x14ac:dyDescent="0.35">
      <c r="A13" s="4" t="s">
        <v>55</v>
      </c>
      <c r="B13" s="4" t="s">
        <v>33</v>
      </c>
      <c r="C13" s="7">
        <v>150</v>
      </c>
      <c r="D13" s="7">
        <v>178</v>
      </c>
      <c r="E13" s="4" t="s">
        <v>23</v>
      </c>
      <c r="F13" s="5">
        <v>44927</v>
      </c>
      <c r="G13" s="5"/>
      <c r="H13" s="4">
        <v>14</v>
      </c>
      <c r="I13" s="4" t="s">
        <v>29</v>
      </c>
      <c r="J13" s="5" t="str">
        <f t="shared" si="0"/>
        <v/>
      </c>
      <c r="K13" s="5">
        <f t="shared" ca="1" si="1"/>
        <v>46174</v>
      </c>
      <c r="L13" s="4" t="s">
        <v>25</v>
      </c>
      <c r="M13" s="4" t="s">
        <v>56</v>
      </c>
      <c r="N13" t="str">
        <f t="shared" ca="1" si="2"/>
        <v/>
      </c>
    </row>
    <row r="14" spans="1:14" ht="15" customHeight="1" x14ac:dyDescent="0.35">
      <c r="A14" s="4" t="s">
        <v>57</v>
      </c>
      <c r="B14" s="4" t="s">
        <v>22</v>
      </c>
      <c r="C14" s="7">
        <v>588.24</v>
      </c>
      <c r="D14" s="7">
        <v>700</v>
      </c>
      <c r="E14" s="4" t="s">
        <v>23</v>
      </c>
      <c r="F14" s="5">
        <v>45323</v>
      </c>
      <c r="G14" s="5"/>
      <c r="H14" s="4">
        <v>30</v>
      </c>
      <c r="I14" s="4" t="s">
        <v>24</v>
      </c>
      <c r="J14" s="5" t="str">
        <f t="shared" si="0"/>
        <v/>
      </c>
      <c r="K14" s="5">
        <f t="shared" ca="1" si="1"/>
        <v>46174</v>
      </c>
      <c r="L14" s="4" t="s">
        <v>25</v>
      </c>
      <c r="M14" s="4" t="s">
        <v>58</v>
      </c>
      <c r="N14" t="str">
        <f t="shared" ca="1" si="2"/>
        <v/>
      </c>
    </row>
    <row r="15" spans="1:14" ht="15" customHeight="1" x14ac:dyDescent="0.35">
      <c r="A15" s="4" t="s">
        <v>59</v>
      </c>
      <c r="B15" s="4" t="s">
        <v>22</v>
      </c>
      <c r="C15" s="7">
        <v>1050.42</v>
      </c>
      <c r="D15" s="7">
        <v>1250</v>
      </c>
      <c r="E15" s="4" t="s">
        <v>23</v>
      </c>
      <c r="F15" s="5">
        <v>45444</v>
      </c>
      <c r="G15" s="5">
        <v>46188</v>
      </c>
      <c r="H15" s="4">
        <v>60</v>
      </c>
      <c r="I15" s="4" t="s">
        <v>29</v>
      </c>
      <c r="J15" s="5">
        <f t="shared" si="0"/>
        <v>46128</v>
      </c>
      <c r="K15" s="5">
        <f t="shared" ca="1" si="1"/>
        <v>46174</v>
      </c>
      <c r="L15" s="4" t="s">
        <v>25</v>
      </c>
      <c r="M15" s="4" t="s">
        <v>60</v>
      </c>
      <c r="N15" t="str">
        <f t="shared" ca="1" si="2"/>
        <v/>
      </c>
    </row>
    <row r="16" spans="1:14" ht="15" customHeight="1" x14ac:dyDescent="0.35">
      <c r="A16" s="4" t="s">
        <v>61</v>
      </c>
      <c r="B16" s="4" t="s">
        <v>33</v>
      </c>
      <c r="C16" s="7">
        <v>2268.91</v>
      </c>
      <c r="D16" s="7">
        <v>2700</v>
      </c>
      <c r="E16" s="4" t="s">
        <v>42</v>
      </c>
      <c r="F16" s="5">
        <v>44835</v>
      </c>
      <c r="G16" s="5"/>
      <c r="H16" s="4">
        <v>60</v>
      </c>
      <c r="I16" s="4" t="s">
        <v>29</v>
      </c>
      <c r="J16" s="5" t="str">
        <f t="shared" si="0"/>
        <v/>
      </c>
      <c r="K16" s="5">
        <f t="shared" ca="1" si="1"/>
        <v>46204</v>
      </c>
      <c r="L16" s="4" t="s">
        <v>25</v>
      </c>
      <c r="M16" s="4" t="s">
        <v>62</v>
      </c>
      <c r="N16" t="str">
        <f t="shared" ca="1" si="2"/>
        <v/>
      </c>
    </row>
    <row r="17" spans="1:14" ht="15" customHeight="1" x14ac:dyDescent="0.35">
      <c r="A17" s="4" t="s">
        <v>63</v>
      </c>
      <c r="B17" s="4" t="s">
        <v>33</v>
      </c>
      <c r="C17" s="7">
        <v>336.13</v>
      </c>
      <c r="D17" s="7">
        <v>400</v>
      </c>
      <c r="E17" s="4" t="s">
        <v>23</v>
      </c>
      <c r="F17" s="5">
        <v>45047</v>
      </c>
      <c r="G17" s="5">
        <v>46507</v>
      </c>
      <c r="H17" s="4">
        <v>30</v>
      </c>
      <c r="I17" s="4" t="s">
        <v>24</v>
      </c>
      <c r="J17" s="5">
        <f t="shared" si="0"/>
        <v>46477</v>
      </c>
      <c r="K17" s="5">
        <f t="shared" ca="1" si="1"/>
        <v>46174</v>
      </c>
      <c r="L17" s="4" t="s">
        <v>25</v>
      </c>
      <c r="M17" s="4" t="s">
        <v>64</v>
      </c>
      <c r="N17" t="str">
        <f t="shared" ca="1" si="2"/>
        <v/>
      </c>
    </row>
    <row r="18" spans="1:14" ht="15" customHeight="1" x14ac:dyDescent="0.35">
      <c r="A18" s="4" t="s">
        <v>65</v>
      </c>
      <c r="B18" s="4" t="s">
        <v>39</v>
      </c>
      <c r="C18" s="7"/>
      <c r="D18" s="7"/>
      <c r="E18" s="4" t="s">
        <v>23</v>
      </c>
      <c r="F18" s="5">
        <v>44562</v>
      </c>
      <c r="G18" s="5"/>
      <c r="H18" s="4">
        <v>90</v>
      </c>
      <c r="I18" s="4" t="s">
        <v>29</v>
      </c>
      <c r="J18" s="5" t="str">
        <f t="shared" si="0"/>
        <v/>
      </c>
      <c r="K18" s="5">
        <f t="shared" ca="1" si="1"/>
        <v>46174</v>
      </c>
      <c r="L18" s="4" t="s">
        <v>25</v>
      </c>
      <c r="M18" s="4" t="s">
        <v>66</v>
      </c>
      <c r="N18" t="str">
        <f t="shared" ca="1" si="2"/>
        <v/>
      </c>
    </row>
    <row r="19" spans="1:14" ht="15" customHeight="1" x14ac:dyDescent="0.35">
      <c r="A19" s="4" t="s">
        <v>67</v>
      </c>
      <c r="B19" s="4" t="s">
        <v>33</v>
      </c>
      <c r="C19" s="7">
        <v>210.08</v>
      </c>
      <c r="D19" s="7">
        <v>250</v>
      </c>
      <c r="E19" s="4" t="s">
        <v>23</v>
      </c>
      <c r="F19" s="5">
        <v>44986</v>
      </c>
      <c r="G19" s="5"/>
      <c r="H19" s="4">
        <v>30</v>
      </c>
      <c r="I19" s="4" t="s">
        <v>29</v>
      </c>
      <c r="J19" s="5" t="str">
        <f t="shared" si="0"/>
        <v/>
      </c>
      <c r="K19" s="5">
        <f t="shared" ca="1" si="1"/>
        <v>46174</v>
      </c>
      <c r="L19" s="4" t="s">
        <v>25</v>
      </c>
      <c r="M19" s="4" t="s">
        <v>68</v>
      </c>
      <c r="N19" t="str">
        <f t="shared" ca="1" si="2"/>
        <v/>
      </c>
    </row>
    <row r="20" spans="1:14" ht="15" customHeight="1" x14ac:dyDescent="0.35">
      <c r="A20" s="4" t="s">
        <v>69</v>
      </c>
      <c r="B20" s="4" t="s">
        <v>22</v>
      </c>
      <c r="C20" s="7">
        <v>605.04</v>
      </c>
      <c r="D20" s="7">
        <v>720</v>
      </c>
      <c r="E20" s="4" t="s">
        <v>28</v>
      </c>
      <c r="F20" s="5">
        <v>45413</v>
      </c>
      <c r="G20" s="5">
        <v>46507</v>
      </c>
      <c r="H20" s="4">
        <v>60</v>
      </c>
      <c r="I20" s="4" t="s">
        <v>24</v>
      </c>
      <c r="J20" s="5">
        <f t="shared" si="0"/>
        <v>46447</v>
      </c>
      <c r="K20" s="5">
        <f t="shared" ca="1" si="1"/>
        <v>46508</v>
      </c>
      <c r="L20" s="4" t="s">
        <v>25</v>
      </c>
      <c r="M20" s="4" t="s">
        <v>70</v>
      </c>
      <c r="N20" t="str">
        <f t="shared" ca="1" si="2"/>
        <v/>
      </c>
    </row>
    <row r="21" spans="1:14" ht="15" customHeight="1" x14ac:dyDescent="0.35">
      <c r="A21" s="4" t="s">
        <v>71</v>
      </c>
      <c r="B21" s="4" t="s">
        <v>22</v>
      </c>
      <c r="C21" s="7">
        <v>126.05</v>
      </c>
      <c r="D21" s="7">
        <v>150</v>
      </c>
      <c r="E21" s="4" t="s">
        <v>23</v>
      </c>
      <c r="F21" s="5">
        <v>45292</v>
      </c>
      <c r="G21" s="5"/>
      <c r="H21" s="4">
        <v>30</v>
      </c>
      <c r="I21" s="4" t="s">
        <v>24</v>
      </c>
      <c r="J21" s="5" t="str">
        <f t="shared" si="0"/>
        <v/>
      </c>
      <c r="K21" s="5">
        <v>46219</v>
      </c>
      <c r="L21" s="4" t="s">
        <v>25</v>
      </c>
      <c r="M21" s="4" t="s">
        <v>72</v>
      </c>
      <c r="N21" t="str">
        <f t="shared" ca="1" si="2"/>
        <v/>
      </c>
    </row>
    <row r="22" spans="1:14" ht="15" customHeight="1" x14ac:dyDescent="0.35">
      <c r="A22" s="4"/>
      <c r="B22" s="4"/>
      <c r="C22" s="7"/>
      <c r="D22" s="7"/>
      <c r="E22" s="4"/>
      <c r="F22" s="5"/>
      <c r="G22" s="5"/>
      <c r="H22" s="4"/>
      <c r="I22" s="4"/>
      <c r="J22" s="5"/>
      <c r="K22" s="5"/>
      <c r="L22" s="4"/>
      <c r="M22" s="4"/>
    </row>
    <row r="23" spans="1:14" ht="15" customHeight="1" x14ac:dyDescent="0.35">
      <c r="A23" s="4"/>
      <c r="B23" s="4"/>
      <c r="C23" s="7"/>
      <c r="D23" s="7"/>
      <c r="E23" s="4"/>
      <c r="F23" s="5"/>
      <c r="G23" s="5"/>
      <c r="H23" s="4"/>
      <c r="I23" s="4"/>
      <c r="J23" s="5"/>
      <c r="K23" s="5"/>
      <c r="L23" s="4"/>
      <c r="M23" s="4"/>
    </row>
    <row r="24" spans="1:14" ht="15" customHeight="1" x14ac:dyDescent="0.35">
      <c r="A24" s="4"/>
      <c r="B24" s="4"/>
      <c r="C24" s="7"/>
      <c r="D24" s="7"/>
      <c r="E24" s="4"/>
      <c r="F24" s="5"/>
      <c r="G24" s="5"/>
      <c r="H24" s="4"/>
      <c r="I24" s="4"/>
      <c r="J24" s="5"/>
      <c r="K24" s="5"/>
      <c r="L24" s="4"/>
      <c r="M24" s="4"/>
    </row>
    <row r="25" spans="1:14" ht="15" customHeight="1" x14ac:dyDescent="0.35">
      <c r="A25" s="4"/>
      <c r="B25" s="4"/>
      <c r="C25" s="7"/>
      <c r="D25" s="7"/>
      <c r="E25" s="4"/>
      <c r="F25" s="5"/>
      <c r="G25" s="5"/>
      <c r="H25" s="4"/>
      <c r="I25" s="4"/>
      <c r="J25" s="5"/>
      <c r="K25" s="5"/>
      <c r="L25" s="4"/>
      <c r="M25" s="4"/>
    </row>
    <row r="26" spans="1:14" ht="15" customHeight="1" x14ac:dyDescent="0.35">
      <c r="A26" s="4"/>
      <c r="B26" s="4"/>
      <c r="C26" s="7"/>
      <c r="D26" s="7"/>
      <c r="E26" s="4"/>
      <c r="F26" s="5"/>
      <c r="G26" s="5"/>
      <c r="H26" s="4"/>
      <c r="I26" s="4"/>
      <c r="J26" s="5"/>
      <c r="K26" s="5"/>
      <c r="L26" s="4"/>
      <c r="M26" s="4"/>
    </row>
    <row r="27" spans="1:14" ht="15" customHeight="1" x14ac:dyDescent="0.35">
      <c r="A27" s="4"/>
      <c r="B27" s="4"/>
      <c r="C27" s="7"/>
      <c r="D27" s="7"/>
      <c r="E27" s="4"/>
      <c r="F27" s="5"/>
      <c r="G27" s="5"/>
      <c r="H27" s="4"/>
      <c r="I27" s="4"/>
      <c r="J27" s="5"/>
      <c r="K27" s="5"/>
      <c r="L27" s="4"/>
      <c r="M27" s="4"/>
    </row>
    <row r="28" spans="1:14" ht="15" customHeight="1" x14ac:dyDescent="0.35">
      <c r="A28" s="4"/>
      <c r="B28" s="4"/>
      <c r="C28" s="7"/>
      <c r="D28" s="7"/>
      <c r="E28" s="4"/>
      <c r="F28" s="5"/>
      <c r="G28" s="5"/>
      <c r="H28" s="4"/>
      <c r="I28" s="4"/>
      <c r="J28" s="5"/>
      <c r="K28" s="5"/>
      <c r="L28" s="4"/>
      <c r="M28" s="4"/>
    </row>
    <row r="29" spans="1:14" ht="15" customHeight="1" x14ac:dyDescent="0.35">
      <c r="A29" s="4"/>
      <c r="B29" s="4"/>
      <c r="C29" s="7"/>
      <c r="D29" s="7"/>
      <c r="E29" s="4"/>
      <c r="F29" s="5"/>
      <c r="G29" s="5"/>
      <c r="H29" s="4"/>
      <c r="I29" s="4"/>
      <c r="J29" s="5"/>
      <c r="K29" s="5"/>
      <c r="L29" s="4"/>
      <c r="M29" s="4"/>
    </row>
    <row r="30" spans="1:14" ht="15" customHeight="1" x14ac:dyDescent="0.35">
      <c r="A30" s="4"/>
      <c r="B30" s="4"/>
      <c r="C30" s="7"/>
      <c r="D30" s="7"/>
      <c r="E30" s="4"/>
      <c r="F30" s="5"/>
      <c r="G30" s="5"/>
      <c r="H30" s="4"/>
      <c r="I30" s="4"/>
      <c r="J30" s="5"/>
      <c r="K30" s="5"/>
      <c r="L30" s="4"/>
      <c r="M30" s="4"/>
    </row>
    <row r="31" spans="1:14" ht="15" customHeight="1" x14ac:dyDescent="0.35">
      <c r="A31" s="4"/>
      <c r="B31" s="4"/>
      <c r="C31" s="7"/>
      <c r="D31" s="7"/>
      <c r="E31" s="4"/>
      <c r="F31" s="5"/>
      <c r="G31" s="5"/>
      <c r="H31" s="4"/>
      <c r="I31" s="4"/>
      <c r="J31" s="5"/>
      <c r="K31" s="5"/>
      <c r="L31" s="4"/>
      <c r="M31" s="4"/>
    </row>
    <row r="32" spans="1:14" ht="15" customHeight="1" x14ac:dyDescent="0.35">
      <c r="A32" s="4"/>
      <c r="B32" s="4"/>
      <c r="C32" s="7"/>
      <c r="D32" s="7"/>
      <c r="E32" s="4"/>
      <c r="F32" s="5"/>
      <c r="G32" s="5"/>
      <c r="H32" s="4"/>
      <c r="I32" s="4"/>
      <c r="J32" s="5"/>
      <c r="K32" s="5"/>
      <c r="L32" s="4"/>
      <c r="M32" s="4"/>
    </row>
    <row r="33" spans="1:13" ht="15" customHeight="1" x14ac:dyDescent="0.35">
      <c r="A33" s="4"/>
      <c r="B33" s="4"/>
      <c r="C33" s="7"/>
      <c r="D33" s="7"/>
      <c r="E33" s="4"/>
      <c r="F33" s="5"/>
      <c r="G33" s="5"/>
      <c r="H33" s="4"/>
      <c r="I33" s="4"/>
      <c r="J33" s="5"/>
      <c r="K33" s="5"/>
      <c r="L33" s="4"/>
      <c r="M33" s="4"/>
    </row>
    <row r="34" spans="1:13" ht="15" customHeight="1" x14ac:dyDescent="0.35">
      <c r="A34" s="4"/>
      <c r="B34" s="4"/>
      <c r="C34" s="7"/>
      <c r="D34" s="7"/>
      <c r="E34" s="4"/>
      <c r="F34" s="5"/>
      <c r="G34" s="5"/>
      <c r="H34" s="4"/>
      <c r="I34" s="4"/>
      <c r="J34" s="5"/>
      <c r="K34" s="5"/>
      <c r="L34" s="4"/>
      <c r="M34" s="4"/>
    </row>
    <row r="35" spans="1:13" ht="15" customHeight="1" x14ac:dyDescent="0.35">
      <c r="A35" s="4"/>
      <c r="B35" s="4"/>
      <c r="C35" s="7"/>
      <c r="D35" s="7"/>
      <c r="E35" s="4"/>
      <c r="F35" s="5"/>
      <c r="G35" s="5"/>
      <c r="H35" s="4"/>
      <c r="I35" s="4"/>
      <c r="J35" s="5"/>
      <c r="K35" s="5"/>
      <c r="L35" s="4"/>
      <c r="M35" s="4"/>
    </row>
    <row r="36" spans="1:13" ht="15" customHeight="1" x14ac:dyDescent="0.35">
      <c r="A36" s="4"/>
      <c r="B36" s="4"/>
      <c r="C36" s="7"/>
      <c r="D36" s="7"/>
      <c r="E36" s="4"/>
      <c r="F36" s="5"/>
      <c r="G36" s="5"/>
      <c r="H36" s="4"/>
      <c r="I36" s="4"/>
      <c r="J36" s="5"/>
      <c r="K36" s="5"/>
      <c r="L36" s="4"/>
      <c r="M36" s="4"/>
    </row>
    <row r="37" spans="1:13" ht="15" customHeight="1" x14ac:dyDescent="0.35">
      <c r="A37" s="4"/>
      <c r="B37" s="4"/>
      <c r="C37" s="7"/>
      <c r="D37" s="7"/>
      <c r="E37" s="4"/>
      <c r="F37" s="5"/>
      <c r="G37" s="5"/>
      <c r="H37" s="4"/>
      <c r="I37" s="4"/>
      <c r="J37" s="5"/>
      <c r="K37" s="5"/>
      <c r="L37" s="4"/>
      <c r="M37" s="4"/>
    </row>
    <row r="38" spans="1:13" ht="15" customHeight="1" x14ac:dyDescent="0.35">
      <c r="A38" s="4"/>
      <c r="B38" s="4"/>
      <c r="C38" s="7"/>
      <c r="D38" s="7"/>
      <c r="E38" s="4"/>
      <c r="F38" s="5"/>
      <c r="G38" s="5"/>
      <c r="H38" s="4"/>
      <c r="I38" s="4"/>
      <c r="J38" s="5"/>
      <c r="K38" s="5"/>
      <c r="L38" s="4"/>
      <c r="M38" s="4"/>
    </row>
    <row r="39" spans="1:13" ht="15" customHeight="1" x14ac:dyDescent="0.35">
      <c r="A39" s="4"/>
      <c r="B39" s="4"/>
      <c r="C39" s="7"/>
      <c r="D39" s="7"/>
      <c r="E39" s="4"/>
      <c r="F39" s="5"/>
      <c r="G39" s="5"/>
      <c r="H39" s="4"/>
      <c r="I39" s="4"/>
      <c r="J39" s="5"/>
      <c r="K39" s="5"/>
      <c r="L39" s="4"/>
      <c r="M39" s="4"/>
    </row>
    <row r="40" spans="1:13" ht="15" customHeight="1" x14ac:dyDescent="0.35">
      <c r="A40" s="4"/>
      <c r="B40" s="4"/>
      <c r="C40" s="7"/>
      <c r="D40" s="7"/>
      <c r="E40" s="4"/>
      <c r="F40" s="5"/>
      <c r="G40" s="5"/>
      <c r="H40" s="4"/>
      <c r="I40" s="4"/>
      <c r="J40" s="5"/>
      <c r="K40" s="5"/>
      <c r="L40" s="4"/>
      <c r="M40" s="4"/>
    </row>
    <row r="41" spans="1:13" ht="15" customHeight="1" x14ac:dyDescent="0.35">
      <c r="A41" s="4"/>
      <c r="B41" s="4"/>
      <c r="C41" s="7"/>
      <c r="D41" s="7"/>
      <c r="E41" s="4"/>
      <c r="F41" s="5"/>
      <c r="G41" s="5"/>
      <c r="H41" s="4"/>
      <c r="I41" s="4"/>
      <c r="J41" s="5"/>
      <c r="K41" s="5"/>
      <c r="L41" s="4"/>
      <c r="M41" s="4"/>
    </row>
    <row r="42" spans="1:13" ht="15" customHeight="1" x14ac:dyDescent="0.35">
      <c r="A42" s="4"/>
      <c r="B42" s="4"/>
      <c r="C42" s="7"/>
      <c r="D42" s="7"/>
      <c r="E42" s="4"/>
      <c r="F42" s="5"/>
      <c r="G42" s="5"/>
      <c r="H42" s="4"/>
      <c r="I42" s="4"/>
      <c r="J42" s="5"/>
      <c r="K42" s="5"/>
      <c r="L42" s="4"/>
      <c r="M42" s="4"/>
    </row>
    <row r="43" spans="1:13" ht="15" customHeight="1" x14ac:dyDescent="0.35">
      <c r="A43" s="4"/>
      <c r="B43" s="4"/>
      <c r="C43" s="7"/>
      <c r="D43" s="7"/>
      <c r="E43" s="4"/>
      <c r="F43" s="5"/>
      <c r="G43" s="5"/>
      <c r="H43" s="4"/>
      <c r="I43" s="4"/>
      <c r="J43" s="5"/>
      <c r="K43" s="5"/>
      <c r="L43" s="4"/>
      <c r="M43" s="4"/>
    </row>
    <row r="44" spans="1:13" ht="15" customHeight="1" x14ac:dyDescent="0.35">
      <c r="A44" s="4"/>
      <c r="B44" s="4"/>
      <c r="C44" s="7"/>
      <c r="D44" s="7"/>
      <c r="E44" s="4"/>
      <c r="F44" s="5"/>
      <c r="G44" s="5"/>
      <c r="H44" s="4"/>
      <c r="I44" s="4"/>
      <c r="J44" s="5"/>
      <c r="K44" s="5"/>
      <c r="L44" s="4"/>
      <c r="M44" s="4"/>
    </row>
    <row r="45" spans="1:13" ht="15" customHeight="1" x14ac:dyDescent="0.35">
      <c r="A45" s="4"/>
      <c r="B45" s="4"/>
      <c r="C45" s="7"/>
      <c r="D45" s="7"/>
      <c r="E45" s="4"/>
      <c r="F45" s="5"/>
      <c r="G45" s="5"/>
      <c r="H45" s="4"/>
      <c r="I45" s="4"/>
      <c r="J45" s="5"/>
      <c r="K45" s="5"/>
      <c r="L45" s="4"/>
      <c r="M45" s="4"/>
    </row>
    <row r="46" spans="1:13" ht="15" customHeight="1" x14ac:dyDescent="0.35">
      <c r="A46" s="4"/>
      <c r="B46" s="4"/>
      <c r="C46" s="7"/>
      <c r="D46" s="7"/>
      <c r="E46" s="4"/>
      <c r="F46" s="5"/>
      <c r="G46" s="5"/>
      <c r="H46" s="4"/>
      <c r="I46" s="4"/>
      <c r="J46" s="5"/>
      <c r="K46" s="5"/>
      <c r="L46" s="4"/>
      <c r="M46" s="4"/>
    </row>
    <row r="47" spans="1:13" ht="15" customHeight="1" x14ac:dyDescent="0.35">
      <c r="A47" s="4"/>
      <c r="B47" s="4"/>
      <c r="C47" s="7"/>
      <c r="D47" s="7"/>
      <c r="E47" s="4"/>
      <c r="F47" s="5"/>
      <c r="G47" s="5"/>
      <c r="H47" s="4"/>
      <c r="I47" s="4"/>
      <c r="J47" s="5"/>
      <c r="K47" s="5"/>
      <c r="L47" s="4"/>
      <c r="M47" s="4"/>
    </row>
    <row r="48" spans="1:13" ht="15" customHeight="1" x14ac:dyDescent="0.35">
      <c r="A48" s="4"/>
      <c r="B48" s="4"/>
      <c r="C48" s="7"/>
      <c r="D48" s="7"/>
      <c r="E48" s="4"/>
      <c r="F48" s="5"/>
      <c r="G48" s="5"/>
      <c r="H48" s="4"/>
      <c r="I48" s="4"/>
      <c r="J48" s="5"/>
      <c r="K48" s="5"/>
      <c r="L48" s="4"/>
      <c r="M48" s="4"/>
    </row>
    <row r="49" spans="1:13" ht="15" customHeight="1" x14ac:dyDescent="0.35">
      <c r="A49" s="4"/>
      <c r="B49" s="4"/>
      <c r="C49" s="7"/>
      <c r="D49" s="7"/>
      <c r="E49" s="4"/>
      <c r="F49" s="5"/>
      <c r="G49" s="5"/>
      <c r="H49" s="4"/>
      <c r="I49" s="4"/>
      <c r="J49" s="5"/>
      <c r="K49" s="5"/>
      <c r="L49" s="4"/>
      <c r="M49" s="4"/>
    </row>
    <row r="50" spans="1:13" ht="15" customHeight="1" x14ac:dyDescent="0.35">
      <c r="A50" s="4"/>
      <c r="B50" s="4"/>
      <c r="C50" s="7"/>
      <c r="D50" s="7"/>
      <c r="E50" s="4"/>
      <c r="F50" s="5"/>
      <c r="G50" s="5"/>
      <c r="H50" s="4"/>
      <c r="I50" s="4"/>
      <c r="J50" s="5"/>
      <c r="K50" s="5"/>
      <c r="L50" s="4"/>
      <c r="M50" s="4"/>
    </row>
    <row r="51" spans="1:13" ht="14" customHeight="1" x14ac:dyDescent="0.35">
      <c r="A51" s="4"/>
      <c r="B51" s="4"/>
      <c r="C51" s="7"/>
      <c r="D51" s="7"/>
      <c r="E51" s="4"/>
      <c r="F51" s="5"/>
      <c r="G51" s="5"/>
      <c r="H51" s="4"/>
      <c r="I51" s="4"/>
      <c r="J51" s="5"/>
      <c r="K51" s="5"/>
      <c r="L51" s="4"/>
      <c r="M51" s="4"/>
    </row>
    <row r="52" spans="1:13" ht="15" customHeight="1" x14ac:dyDescent="0.35">
      <c r="A52" s="4"/>
      <c r="B52" s="4"/>
      <c r="C52" s="7"/>
      <c r="D52" s="7"/>
      <c r="E52" s="4"/>
      <c r="F52" s="5"/>
      <c r="G52" s="5"/>
      <c r="H52" s="4"/>
      <c r="I52" s="4"/>
      <c r="J52" s="5"/>
      <c r="K52" s="5"/>
      <c r="L52" s="4"/>
      <c r="M52" s="4"/>
    </row>
    <row r="53" spans="1:13" ht="15" customHeight="1" x14ac:dyDescent="0.35">
      <c r="A53" s="4"/>
      <c r="B53" s="4"/>
      <c r="C53" s="7"/>
      <c r="D53" s="7"/>
      <c r="E53" s="4"/>
      <c r="F53" s="5"/>
      <c r="G53" s="5"/>
      <c r="H53" s="4"/>
      <c r="I53" s="4"/>
      <c r="J53" s="5"/>
      <c r="K53" s="5"/>
      <c r="L53" s="4"/>
      <c r="M53" s="4"/>
    </row>
    <row r="54" spans="1:13" ht="15" customHeight="1" x14ac:dyDescent="0.35">
      <c r="A54" s="4"/>
      <c r="B54" s="4"/>
      <c r="C54" s="7"/>
      <c r="D54" s="7"/>
      <c r="E54" s="4"/>
      <c r="F54" s="5"/>
      <c r="G54" s="5"/>
      <c r="H54" s="4"/>
      <c r="I54" s="4"/>
      <c r="J54" s="5"/>
      <c r="K54" s="5"/>
      <c r="L54" s="4"/>
      <c r="M54" s="4"/>
    </row>
    <row r="55" spans="1:13" ht="15" customHeight="1" x14ac:dyDescent="0.35">
      <c r="A55" s="4"/>
      <c r="B55" s="4"/>
      <c r="C55" s="7"/>
      <c r="D55" s="7"/>
      <c r="E55" s="4"/>
      <c r="F55" s="5"/>
      <c r="G55" s="5"/>
      <c r="H55" s="4"/>
      <c r="I55" s="4"/>
      <c r="J55" s="5"/>
      <c r="K55" s="5"/>
      <c r="L55" s="4"/>
      <c r="M55" s="4"/>
    </row>
    <row r="56" spans="1:13" ht="15" customHeight="1" x14ac:dyDescent="0.35">
      <c r="A56" s="4"/>
      <c r="B56" s="4"/>
      <c r="C56" s="7"/>
      <c r="D56" s="7"/>
      <c r="E56" s="4"/>
      <c r="F56" s="5"/>
      <c r="G56" s="5"/>
      <c r="H56" s="4"/>
      <c r="I56" s="4"/>
      <c r="J56" s="5"/>
      <c r="K56" s="5"/>
      <c r="L56" s="4"/>
      <c r="M56" s="4"/>
    </row>
    <row r="57" spans="1:13" ht="15" customHeight="1" x14ac:dyDescent="0.35">
      <c r="A57" s="4"/>
      <c r="B57" s="4"/>
      <c r="C57" s="7"/>
      <c r="D57" s="7"/>
      <c r="E57" s="4"/>
      <c r="F57" s="5"/>
      <c r="G57" s="5"/>
      <c r="H57" s="4"/>
      <c r="I57" s="4"/>
      <c r="J57" s="5"/>
      <c r="K57" s="5"/>
      <c r="L57" s="4"/>
      <c r="M57" s="4"/>
    </row>
    <row r="58" spans="1:13" ht="15" customHeight="1" x14ac:dyDescent="0.35">
      <c r="A58" s="4"/>
      <c r="B58" s="4"/>
      <c r="C58" s="7"/>
      <c r="D58" s="7"/>
      <c r="E58" s="4"/>
      <c r="F58" s="5"/>
      <c r="G58" s="5"/>
      <c r="H58" s="4"/>
      <c r="I58" s="4"/>
      <c r="J58" s="5"/>
      <c r="K58" s="5"/>
      <c r="L58" s="4"/>
      <c r="M58" s="4"/>
    </row>
    <row r="59" spans="1:13" x14ac:dyDescent="0.35">
      <c r="A59" s="4"/>
      <c r="B59" s="4"/>
      <c r="C59" s="7"/>
      <c r="D59" s="7"/>
      <c r="E59" s="4"/>
      <c r="F59" s="5"/>
      <c r="G59" s="5"/>
      <c r="H59" s="4"/>
      <c r="I59" s="4"/>
      <c r="J59" s="5"/>
      <c r="K59" s="5"/>
      <c r="L59" s="4"/>
      <c r="M59" s="19"/>
    </row>
  </sheetData>
  <autoFilter ref="A1:M1" xr:uid="{00000000-0009-0000-0000-000001000000}"/>
  <conditionalFormatting sqref="A2:M59">
    <cfRule type="expression" dxfId="14" priority="3">
      <formula>$L2="Draft"</formula>
    </cfRule>
    <cfRule type="expression" dxfId="13" priority="4">
      <formula>$L2="Expired"</formula>
    </cfRule>
  </conditionalFormatting>
  <conditionalFormatting sqref="I2:I59">
    <cfRule type="expression" dxfId="12" priority="9">
      <formula>$I2="Yes"</formula>
    </cfRule>
  </conditionalFormatting>
  <conditionalFormatting sqref="J2:J59">
    <cfRule type="expression" dxfId="11" priority="6">
      <formula>AND(J2&lt;&gt;"",ISNUMBER(J2),J2-TODAY()&gt;30,J2-TODAY()&lt;=60)</formula>
    </cfRule>
  </conditionalFormatting>
  <conditionalFormatting sqref="J2:K59">
    <cfRule type="expression" dxfId="10" priority="5">
      <formula>AND(J2&lt;&gt;"",ISNUMBER(J2),J2-TODAY()&lt;=30,J2-TODAY()&gt;=0)</formula>
    </cfRule>
  </conditionalFormatting>
  <conditionalFormatting sqref="K2:K59">
    <cfRule type="expression" dxfId="9" priority="8">
      <formula>AND(K2&lt;&gt;"",ISNUMBER(K2),K2-TODAY()&gt;30,K2-TODAY()&lt;=90)</formula>
    </cfRule>
  </conditionalFormatting>
  <conditionalFormatting sqref="J59:K59">
    <cfRule type="expression" dxfId="8" priority="1">
      <formula>AND(J59&lt;&gt;"",ISNUMBER(J59),J59-TODAY()&lt;=30,J59-TODAY()&gt;=0)</formula>
    </cfRule>
  </conditionalFormatting>
  <dataValidations count="4">
    <dataValidation type="list" allowBlank="1" sqref="B2:B59" xr:uid="{00000000-0002-0000-0100-000000000000}">
      <formula1>"SaaS,Consulting,Insurance,Telecom,Utility,Lease,Facility,Legal,Other"</formula1>
      <formula2>0</formula2>
    </dataValidation>
    <dataValidation type="list" allowBlank="1" sqref="L2:L59" xr:uid="{00000000-0002-0000-0100-000001000000}">
      <formula1>"Draft,Active,Review,Terminate,Expired"</formula1>
      <formula2>0</formula2>
    </dataValidation>
    <dataValidation type="list" allowBlank="1" sqref="E2:E59" xr:uid="{00000000-0002-0000-0100-000002000000}">
      <formula1>"Monthly,Quarterly,Semi-annual,Annual,One-time"</formula1>
      <formula2>0</formula2>
    </dataValidation>
    <dataValidation type="list" allowBlank="1" sqref="I2:I59" xr:uid="{00000000-0002-0000-0100-000003000000}">
      <formula1>"Yes,No"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2"/>
  <sheetViews>
    <sheetView showGridLines="0" zoomScaleNormal="100" workbookViewId="0">
      <pane ySplit="1" topLeftCell="A2" activePane="bottomLeft" state="frozen"/>
      <selection pane="bottomLeft" activeCell="K4" sqref="K4"/>
    </sheetView>
  </sheetViews>
  <sheetFormatPr defaultColWidth="8.6328125" defaultRowHeight="14.5" x14ac:dyDescent="0.35"/>
  <cols>
    <col min="1" max="1" width="30" customWidth="1"/>
    <col min="2" max="2" width="14" customWidth="1"/>
    <col min="3" max="7" width="12" customWidth="1"/>
    <col min="8" max="8" width="11" customWidth="1"/>
    <col min="9" max="9" width="12" customWidth="1"/>
    <col min="10" max="11" width="14" customWidth="1"/>
    <col min="12" max="12" width="10" customWidth="1"/>
    <col min="13" max="13" width="52" customWidth="1"/>
    <col min="14" max="14" width="13" hidden="1" customWidth="1"/>
  </cols>
  <sheetData>
    <row r="1" spans="1:14" ht="19.5" customHeight="1" x14ac:dyDescent="0.35">
      <c r="A1" s="3" t="s">
        <v>6</v>
      </c>
      <c r="B1" s="3" t="s">
        <v>7</v>
      </c>
      <c r="C1" s="3" t="s">
        <v>8</v>
      </c>
      <c r="D1" s="3" t="s">
        <v>9</v>
      </c>
      <c r="E1" s="3" t="s">
        <v>10</v>
      </c>
      <c r="F1" s="3" t="s">
        <v>15</v>
      </c>
      <c r="G1" s="3" t="s">
        <v>16</v>
      </c>
      <c r="H1" s="3" t="s">
        <v>17</v>
      </c>
      <c r="I1" s="3" t="s">
        <v>11</v>
      </c>
      <c r="J1" s="3" t="s">
        <v>12</v>
      </c>
      <c r="K1" s="3" t="s">
        <v>18</v>
      </c>
      <c r="L1" s="3" t="s">
        <v>14</v>
      </c>
      <c r="M1" s="3" t="s">
        <v>19</v>
      </c>
      <c r="N1" s="6" t="s">
        <v>20</v>
      </c>
    </row>
    <row r="2" spans="1:14" ht="15" customHeight="1" x14ac:dyDescent="0.35">
      <c r="A2" s="4" t="s">
        <v>73</v>
      </c>
      <c r="B2" s="4" t="s">
        <v>74</v>
      </c>
      <c r="C2" s="7">
        <v>8403.36</v>
      </c>
      <c r="D2" s="7">
        <v>10000</v>
      </c>
      <c r="E2" s="4" t="s">
        <v>23</v>
      </c>
      <c r="F2" s="5">
        <v>45658</v>
      </c>
      <c r="G2" s="5">
        <v>46387</v>
      </c>
      <c r="H2" s="4">
        <v>90</v>
      </c>
      <c r="I2" s="4" t="s">
        <v>29</v>
      </c>
      <c r="J2" s="5"/>
      <c r="K2" s="5"/>
      <c r="L2" s="4" t="s">
        <v>25</v>
      </c>
      <c r="M2" s="4" t="s">
        <v>75</v>
      </c>
    </row>
    <row r="3" spans="1:14" ht="15" customHeight="1" x14ac:dyDescent="0.35">
      <c r="A3" s="4"/>
      <c r="B3" s="4"/>
      <c r="C3" s="7"/>
      <c r="D3" s="7"/>
      <c r="E3" s="4"/>
      <c r="F3" s="5"/>
      <c r="G3" s="5"/>
      <c r="H3" s="4"/>
      <c r="I3" s="4"/>
      <c r="J3" s="5"/>
      <c r="K3" s="5"/>
      <c r="L3" s="4"/>
      <c r="M3" s="4"/>
    </row>
    <row r="4" spans="1:14" ht="15" customHeight="1" x14ac:dyDescent="0.35">
      <c r="A4" s="4"/>
      <c r="B4" s="4"/>
      <c r="C4" s="7"/>
      <c r="D4" s="7"/>
      <c r="E4" s="4"/>
      <c r="F4" s="5"/>
      <c r="G4" s="5"/>
      <c r="H4" s="4"/>
      <c r="I4" s="4"/>
      <c r="J4" s="5"/>
      <c r="K4" s="5"/>
      <c r="L4" s="4"/>
      <c r="M4" s="4"/>
    </row>
    <row r="5" spans="1:14" ht="15" customHeight="1" x14ac:dyDescent="0.35">
      <c r="A5" s="4"/>
      <c r="B5" s="4"/>
      <c r="C5" s="7"/>
      <c r="D5" s="7"/>
      <c r="E5" s="4"/>
      <c r="F5" s="5"/>
      <c r="G5" s="5"/>
      <c r="H5" s="4"/>
      <c r="I5" s="4"/>
      <c r="J5" s="5"/>
      <c r="K5" s="5"/>
      <c r="L5" s="4"/>
      <c r="M5" s="4"/>
    </row>
    <row r="6" spans="1:14" ht="15" customHeight="1" x14ac:dyDescent="0.35">
      <c r="A6" s="4"/>
      <c r="B6" s="4"/>
      <c r="C6" s="7"/>
      <c r="D6" s="7"/>
      <c r="E6" s="4"/>
      <c r="F6" s="5"/>
      <c r="G6" s="5"/>
      <c r="H6" s="4"/>
      <c r="I6" s="4"/>
      <c r="J6" s="5"/>
      <c r="K6" s="5"/>
      <c r="L6" s="4"/>
      <c r="M6" s="4"/>
    </row>
    <row r="7" spans="1:14" ht="15" customHeight="1" x14ac:dyDescent="0.35">
      <c r="A7" s="4"/>
      <c r="B7" s="4"/>
      <c r="C7" s="7"/>
      <c r="D7" s="7"/>
      <c r="E7" s="4"/>
      <c r="F7" s="5"/>
      <c r="G7" s="5"/>
      <c r="H7" s="4"/>
      <c r="I7" s="4"/>
      <c r="J7" s="5"/>
      <c r="K7" s="5"/>
      <c r="L7" s="4"/>
      <c r="M7" s="4"/>
    </row>
    <row r="8" spans="1:14" ht="15" customHeight="1" x14ac:dyDescent="0.35">
      <c r="A8" s="4"/>
      <c r="B8" s="4"/>
      <c r="C8" s="7"/>
      <c r="D8" s="7"/>
      <c r="E8" s="4"/>
      <c r="F8" s="5"/>
      <c r="G8" s="5"/>
      <c r="H8" s="4"/>
      <c r="I8" s="4"/>
      <c r="J8" s="5"/>
      <c r="K8" s="5"/>
      <c r="L8" s="4"/>
      <c r="M8" s="4"/>
    </row>
    <row r="9" spans="1:14" ht="15" customHeight="1" x14ac:dyDescent="0.35">
      <c r="A9" s="4"/>
      <c r="B9" s="4"/>
      <c r="C9" s="7"/>
      <c r="D9" s="7"/>
      <c r="E9" s="4"/>
      <c r="F9" s="5"/>
      <c r="G9" s="5"/>
      <c r="H9" s="4"/>
      <c r="I9" s="4"/>
      <c r="J9" s="5"/>
      <c r="K9" s="5"/>
      <c r="L9" s="4"/>
      <c r="M9" s="4"/>
    </row>
    <row r="10" spans="1:14" ht="15" customHeight="1" x14ac:dyDescent="0.35">
      <c r="A10" s="4"/>
      <c r="B10" s="4"/>
      <c r="C10" s="7"/>
      <c r="D10" s="7"/>
      <c r="E10" s="4"/>
      <c r="F10" s="5"/>
      <c r="G10" s="5"/>
      <c r="H10" s="4"/>
      <c r="I10" s="4"/>
      <c r="J10" s="5"/>
      <c r="K10" s="5"/>
      <c r="L10" s="4"/>
      <c r="M10" s="4"/>
    </row>
    <row r="11" spans="1:14" ht="15" customHeight="1" x14ac:dyDescent="0.35">
      <c r="A11" s="4"/>
      <c r="B11" s="4"/>
      <c r="C11" s="7"/>
      <c r="D11" s="7"/>
      <c r="E11" s="4"/>
      <c r="F11" s="5"/>
      <c r="G11" s="5"/>
      <c r="H11" s="4"/>
      <c r="I11" s="4"/>
      <c r="J11" s="5"/>
      <c r="K11" s="5"/>
      <c r="L11" s="4"/>
      <c r="M11" s="4"/>
    </row>
    <row r="12" spans="1:14" ht="15" customHeight="1" x14ac:dyDescent="0.35">
      <c r="A12" s="4"/>
      <c r="B12" s="4"/>
      <c r="C12" s="7"/>
      <c r="D12" s="7"/>
      <c r="E12" s="4"/>
      <c r="F12" s="5"/>
      <c r="G12" s="5"/>
      <c r="H12" s="4"/>
      <c r="I12" s="4"/>
      <c r="J12" s="5"/>
      <c r="K12" s="5"/>
      <c r="L12" s="4"/>
      <c r="M12" s="4"/>
    </row>
    <row r="13" spans="1:14" ht="15" customHeight="1" x14ac:dyDescent="0.35">
      <c r="A13" s="4"/>
      <c r="B13" s="4"/>
      <c r="C13" s="7"/>
      <c r="D13" s="7"/>
      <c r="E13" s="4"/>
      <c r="F13" s="5"/>
      <c r="G13" s="5"/>
      <c r="H13" s="4"/>
      <c r="I13" s="4"/>
      <c r="J13" s="5"/>
      <c r="K13" s="5"/>
      <c r="L13" s="4"/>
      <c r="M13" s="4"/>
    </row>
    <row r="14" spans="1:14" ht="15" customHeight="1" x14ac:dyDescent="0.35">
      <c r="A14" s="4"/>
      <c r="B14" s="4"/>
      <c r="C14" s="7"/>
      <c r="D14" s="7"/>
      <c r="E14" s="4"/>
      <c r="F14" s="5"/>
      <c r="G14" s="5"/>
      <c r="H14" s="4"/>
      <c r="I14" s="4"/>
      <c r="J14" s="5"/>
      <c r="K14" s="5"/>
      <c r="L14" s="4"/>
      <c r="M14" s="4"/>
    </row>
    <row r="15" spans="1:14" ht="15" customHeight="1" x14ac:dyDescent="0.35">
      <c r="A15" s="4"/>
      <c r="B15" s="4"/>
      <c r="C15" s="7"/>
      <c r="D15" s="7"/>
      <c r="E15" s="4"/>
      <c r="F15" s="5"/>
      <c r="G15" s="5"/>
      <c r="H15" s="4"/>
      <c r="I15" s="4"/>
      <c r="J15" s="5"/>
      <c r="K15" s="5"/>
      <c r="L15" s="4"/>
      <c r="M15" s="4"/>
    </row>
    <row r="16" spans="1:14" ht="15" customHeight="1" x14ac:dyDescent="0.35">
      <c r="A16" s="4"/>
      <c r="B16" s="4"/>
      <c r="C16" s="7"/>
      <c r="D16" s="7"/>
      <c r="E16" s="4"/>
      <c r="F16" s="5"/>
      <c r="G16" s="5"/>
      <c r="H16" s="4"/>
      <c r="I16" s="4"/>
      <c r="J16" s="5"/>
      <c r="K16" s="5"/>
      <c r="L16" s="4"/>
      <c r="M16" s="4"/>
    </row>
    <row r="17" spans="1:13" ht="15" customHeight="1" x14ac:dyDescent="0.35">
      <c r="A17" s="4"/>
      <c r="B17" s="4"/>
      <c r="C17" s="7"/>
      <c r="D17" s="7"/>
      <c r="E17" s="4"/>
      <c r="F17" s="5"/>
      <c r="G17" s="5"/>
      <c r="H17" s="4"/>
      <c r="I17" s="4"/>
      <c r="J17" s="5"/>
      <c r="K17" s="5"/>
      <c r="L17" s="4"/>
      <c r="M17" s="4"/>
    </row>
    <row r="18" spans="1:13" ht="15" customHeight="1" x14ac:dyDescent="0.35">
      <c r="A18" s="4"/>
      <c r="B18" s="4"/>
      <c r="C18" s="7"/>
      <c r="D18" s="7"/>
      <c r="E18" s="4"/>
      <c r="F18" s="5"/>
      <c r="G18" s="5"/>
      <c r="H18" s="4"/>
      <c r="I18" s="4"/>
      <c r="J18" s="5"/>
      <c r="K18" s="5"/>
      <c r="L18" s="4"/>
      <c r="M18" s="4"/>
    </row>
    <row r="19" spans="1:13" ht="15" customHeight="1" x14ac:dyDescent="0.35">
      <c r="A19" s="4"/>
      <c r="B19" s="4"/>
      <c r="C19" s="7"/>
      <c r="D19" s="7"/>
      <c r="E19" s="4"/>
      <c r="F19" s="5"/>
      <c r="G19" s="5"/>
      <c r="H19" s="4"/>
      <c r="I19" s="4"/>
      <c r="J19" s="5"/>
      <c r="K19" s="5"/>
      <c r="L19" s="4"/>
      <c r="M19" s="4"/>
    </row>
    <row r="20" spans="1:13" ht="15" customHeight="1" x14ac:dyDescent="0.35">
      <c r="A20" s="4"/>
      <c r="B20" s="4"/>
      <c r="C20" s="7"/>
      <c r="D20" s="7"/>
      <c r="E20" s="4"/>
      <c r="F20" s="5"/>
      <c r="G20" s="5"/>
      <c r="H20" s="4"/>
      <c r="I20" s="4"/>
      <c r="J20" s="5"/>
      <c r="K20" s="5"/>
      <c r="L20" s="4"/>
      <c r="M20" s="4"/>
    </row>
    <row r="21" spans="1:13" ht="15" customHeight="1" x14ac:dyDescent="0.35">
      <c r="A21" s="4"/>
      <c r="B21" s="4"/>
      <c r="C21" s="7"/>
      <c r="D21" s="7"/>
      <c r="E21" s="4"/>
      <c r="F21" s="5"/>
      <c r="G21" s="5"/>
      <c r="H21" s="4"/>
      <c r="I21" s="4"/>
      <c r="J21" s="5"/>
      <c r="K21" s="5"/>
      <c r="L21" s="4"/>
      <c r="M21" s="4"/>
    </row>
    <row r="22" spans="1:13" ht="15" customHeight="1" x14ac:dyDescent="0.35">
      <c r="A22" s="4"/>
      <c r="B22" s="4"/>
      <c r="C22" s="7"/>
      <c r="D22" s="7"/>
      <c r="E22" s="4"/>
      <c r="F22" s="5"/>
      <c r="G22" s="5"/>
      <c r="H22" s="4"/>
      <c r="I22" s="4"/>
      <c r="J22" s="5"/>
      <c r="K22" s="5"/>
      <c r="L22" s="4"/>
      <c r="M22" s="4"/>
    </row>
  </sheetData>
  <conditionalFormatting sqref="A2:M22">
    <cfRule type="expression" dxfId="7" priority="2">
      <formula>$L2="Draft"</formula>
    </cfRule>
    <cfRule type="expression" dxfId="6" priority="3">
      <formula>$L2="Expired"</formula>
    </cfRule>
  </conditionalFormatting>
  <conditionalFormatting sqref="I2:I22">
    <cfRule type="expression" dxfId="5" priority="8">
      <formula>$I2="Yes"</formula>
    </cfRule>
  </conditionalFormatting>
  <conditionalFormatting sqref="J2:J22">
    <cfRule type="expression" dxfId="4" priority="5">
      <formula>AND(J2&lt;&gt;"",ISNUMBER(J2),J2-TODAY()&gt;30,J2-TODAY()&lt;=60)</formula>
    </cfRule>
  </conditionalFormatting>
  <conditionalFormatting sqref="J2:K22">
    <cfRule type="expression" dxfId="3" priority="4">
      <formula>AND(J2&lt;&gt;"",ISNUMBER(J2),J2-TODAY()&lt;=30,J2-TODAY()&gt;=0)</formula>
    </cfRule>
  </conditionalFormatting>
  <conditionalFormatting sqref="K2:K22">
    <cfRule type="expression" dxfId="2" priority="7">
      <formula>AND(K2&lt;&gt;"",ISNUMBER(K2),K2-TODAY()&gt;30,K2-TODAY()&lt;=90)</formula>
    </cfRule>
  </conditionalFormatting>
  <dataValidations count="4">
    <dataValidation type="list" allowBlank="1" sqref="B2:B22" xr:uid="{00000000-0002-0000-0200-000000000000}">
      <formula1>"SaaS,Consulting,Insurance,Telecom,Utility,Lease,Facility,Legal,Other"</formula1>
      <formula2>0</formula2>
    </dataValidation>
    <dataValidation type="list" allowBlank="1" sqref="L2:L22" xr:uid="{00000000-0002-0000-0200-000001000000}">
      <formula1>"Draft,Active,Review,Terminate,Expired"</formula1>
      <formula2>0</formula2>
    </dataValidation>
    <dataValidation type="list" allowBlank="1" sqref="E2:E22" xr:uid="{00000000-0002-0000-0200-000002000000}">
      <formula1>"Monthly,Quarterly,Semi-annual,Annual,One-time"</formula1>
      <formula2>0</formula2>
    </dataValidation>
    <dataValidation type="list" allowBlank="1" sqref="I2:I22" xr:uid="{00000000-0002-0000-0200-000003000000}">
      <formula1>"Yes,No"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D94"/>
  <sheetViews>
    <sheetView showGridLines="0" tabSelected="1" zoomScale="85" zoomScaleNormal="85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2" sqref="B2"/>
    </sheetView>
  </sheetViews>
  <sheetFormatPr defaultColWidth="8.6328125" defaultRowHeight="14.5" x14ac:dyDescent="0.35"/>
  <cols>
    <col min="1" max="1" width="10" customWidth="1"/>
    <col min="2" max="2" width="37.26953125" customWidth="1"/>
    <col min="3" max="5" width="12" customWidth="1"/>
    <col min="6" max="29" width="10" customWidth="1"/>
  </cols>
  <sheetData>
    <row r="1" spans="1:29" ht="15" customHeight="1" x14ac:dyDescent="0.35">
      <c r="A1" s="8" t="s">
        <v>76</v>
      </c>
      <c r="B1" s="9">
        <v>3</v>
      </c>
      <c r="C1" s="1" t="s">
        <v>77</v>
      </c>
      <c r="D1" s="1" t="s">
        <v>78</v>
      </c>
      <c r="H1" s="18"/>
    </row>
    <row r="3" spans="1:29" ht="19.5" customHeight="1" x14ac:dyDescent="0.35">
      <c r="A3" s="3" t="s">
        <v>79</v>
      </c>
      <c r="B3" s="3" t="s">
        <v>6</v>
      </c>
      <c r="C3" s="3" t="s">
        <v>8</v>
      </c>
      <c r="D3" s="3" t="s">
        <v>9</v>
      </c>
      <c r="E3" s="3" t="s">
        <v>10</v>
      </c>
      <c r="F3" t="str">
        <f ca="1">IF(0&lt;$B$1,TEXT(EDATE(DATE(YEAR(TODAY()),MONTH(TODAY()),1),0),"MMM JJ"),"")</f>
        <v>Mai 26</v>
      </c>
      <c r="G3" t="str">
        <f ca="1">IF(1&lt;$B$1,TEXT(EDATE(DATE(YEAR(TODAY()),MONTH(TODAY()),1),1),"MMM JJ"),"")</f>
        <v>Jun 26</v>
      </c>
      <c r="H3" t="str">
        <f ca="1">IF(2&lt;$B$1,TEXT(EDATE(DATE(YEAR(TODAY()),MONTH(TODAY()),1),2),"MMM JJ"),"")</f>
        <v>Jul 26</v>
      </c>
      <c r="I3" t="str">
        <f ca="1">IF(3&lt;$B$1,TEXT(EDATE(DATE(YEAR(TODAY()),MONTH(TODAY()),1),3),"MMM JJ"),"")</f>
        <v/>
      </c>
      <c r="J3" t="str">
        <f ca="1">IF(4&lt;$B$1,TEXT(EDATE(DATE(YEAR(TODAY()),MONTH(TODAY()),1),4),"MMM JJ"),"")</f>
        <v/>
      </c>
      <c r="K3" t="str">
        <f ca="1">IF(5&lt;$B$1,TEXT(EDATE(DATE(YEAR(TODAY()),MONTH(TODAY()),1),5),"MMM JJ"),"")</f>
        <v/>
      </c>
      <c r="L3" t="str">
        <f ca="1">IF(6&lt;$B$1,TEXT(EDATE(DATE(YEAR(TODAY()),MONTH(TODAY()),1),6),"MMM JJ"),"")</f>
        <v/>
      </c>
      <c r="M3" t="str">
        <f ca="1">IF(7&lt;$B$1,TEXT(EDATE(DATE(YEAR(TODAY()),MONTH(TODAY()),1),7),"MMM JJ"),"")</f>
        <v/>
      </c>
      <c r="N3" t="str">
        <f ca="1">IF(8&lt;$B$1,TEXT(EDATE(DATE(YEAR(TODAY()),MONTH(TODAY()),1),8),"MMM JJ"),"")</f>
        <v/>
      </c>
      <c r="O3" t="str">
        <f ca="1">IF(9&lt;$B$1,TEXT(EDATE(DATE(YEAR(TODAY()),MONTH(TODAY()),1),9),"MMM JJ"),"")</f>
        <v/>
      </c>
      <c r="P3" t="str">
        <f ca="1">IF(10&lt;$B$1,TEXT(EDATE(DATE(YEAR(TODAY()),MONTH(TODAY()),1),10),"MMM JJ"),"")</f>
        <v/>
      </c>
      <c r="Q3" t="str">
        <f ca="1">IF(11&lt;$B$1,TEXT(EDATE(DATE(YEAR(TODAY()),MONTH(TODAY()),1),11),"MMM JJ"),"")</f>
        <v/>
      </c>
    </row>
    <row r="4" spans="1:29" ht="15" customHeight="1" x14ac:dyDescent="0.35">
      <c r="A4" s="4" t="s">
        <v>80</v>
      </c>
      <c r="B4" s="4" t="str">
        <f>IF(Suppliers!A2="","",Suppliers!A2)</f>
        <v>Acme Cloud GmbH</v>
      </c>
      <c r="C4" s="10">
        <f>IF(Suppliers!C2="","",Suppliers!C2)</f>
        <v>840.34</v>
      </c>
      <c r="D4" s="10">
        <f>IF(Suppliers!D2="","",Suppliers!D2)</f>
        <v>1000</v>
      </c>
      <c r="E4" s="4" t="str">
        <f>IF(Suppliers!E2="","",Suppliers!E2)</f>
        <v>Monthly</v>
      </c>
      <c r="F4" s="10">
        <f ca="1">IFERROR(IF(OR(0&gt;=$B$1,Suppliers!A2="",NOT(ISNUMBER(Suppliers!D2)),Suppliers!L2="Expired",Suppliers!L2="Terminate"),"",Suppliers!D2*-1*IF(Suppliers!E2="Monthly",IF(AND(ISNUMBER(Suppliers!G2),(YEAR(EDATE(DATE(YEAR(TODAY()),MONTH(TODAY()),1),0))*12+MONTH(EDATE(DATE(YEAR(TODAY()),MONTH(TODAY()),1),0)))&gt;(YEAR(Suppliers!G2)*12+MONTH(Suppliers!G2))),"",1),IF(Suppliers!E2="Quarterly",IF(MOD((YEAR(EDATE(DATE(YEAR(TODAY()),MONTH(TODAY()),1),0))-YEAR(IF(ISNUMBER(Suppliers!F2),Suppliers!F2,DATE(YEAR(TODAY()),MONTH(TODAY()),1))))*12+MONTH(EDATE(DATE(YEAR(TODAY()),MONTH(TODAY()),1),0))-MONTH(IF(ISNUMBER(Suppliers!F2),Suppliers!F2,DATE(YEAR(TODAY()),MONTH(TODAY()),1))),3)=0,1,0),IF(Suppliers!E2="Semi-annual",IF(MOD((YEAR(EDATE(DATE(YEAR(TODAY()),MONTH(TODAY()),1),0))-YEAR(IF(ISNUMBER(Suppliers!F2),Suppliers!F2,DATE(YEAR(TODAY()),MONTH(TODAY()),1))))*12+MONTH(EDATE(DATE(YEAR(TODAY()),MONTH(TODAY()),1),0))-MONTH(IF(ISNUMBER(Suppliers!F2),Suppliers!F2,DATE(YEAR(TODAY()),MONTH(TODAY()),1))),6)=0,1,0),IF(Suppliers!E2="Annual",IF(MOD((YEAR(EDATE(DATE(YEAR(TODAY()),MONTH(TODAY()),1),0))-YEAR(IF(ISNUMBER(Suppliers!F2),Suppliers!F2,DATE(YEAR(TODAY()),MONTH(TODAY()),1))))*12+MONTH(EDATE(DATE(YEAR(TODAY()),MONTH(TODAY()),1),0))-MONTH(IF(ISNUMBER(Suppliers!F2),Suppliers!F2,DATE(YEAR(TODAY()),MONTH(TODAY()),1))),12)=0,1,0),IF(Suppliers!E2="One-time",IF(0=0,1,0),1)))))),"")</f>
        <v>-1000</v>
      </c>
      <c r="G4" s="10">
        <f ca="1">IFERROR(IF(OR(1&gt;=$B$1,Suppliers!A2="",NOT(ISNUMBER(Suppliers!D2)),Suppliers!L2="Expired",Suppliers!L2="Terminate"),"",Suppliers!D2*-1*IF(Suppliers!E2="Monthly",IF(AND(ISNUMBER(Suppliers!G2),(YEAR(EDATE(DATE(YEAR(TODAY()),MONTH(TODAY()),1),1))*12+MONTH(EDATE(DATE(YEAR(TODAY()),MONTH(TODAY()),1),1)))&gt;(YEAR(Suppliers!G2)*12+MONTH(Suppliers!G2))),"",1),IF(Suppliers!E2="Quarterly",IF(MOD((YEAR(EDATE(DATE(YEAR(TODAY()),MONTH(TODAY()),1),1))-YEAR(IF(ISNUMBER(Suppliers!F2),Suppliers!F2,DATE(YEAR(TODAY()),MONTH(TODAY()),1))))*12+MONTH(EDATE(DATE(YEAR(TODAY()),MONTH(TODAY()),1),1))-MONTH(IF(ISNUMBER(Suppliers!F2),Suppliers!F2,DATE(YEAR(TODAY()),MONTH(TODAY()),1))),3)=0,1,0),IF(Suppliers!E2="Semi-annual",IF(MOD((YEAR(EDATE(DATE(YEAR(TODAY()),MONTH(TODAY()),1),1))-YEAR(IF(ISNUMBER(Suppliers!F2),Suppliers!F2,DATE(YEAR(TODAY()),MONTH(TODAY()),1))))*12+MONTH(EDATE(DATE(YEAR(TODAY()),MONTH(TODAY()),1),1))-MONTH(IF(ISNUMBER(Suppliers!F2),Suppliers!F2,DATE(YEAR(TODAY()),MONTH(TODAY()),1))),6)=0,1,0),IF(Suppliers!E2="Annual",IF(MOD((YEAR(EDATE(DATE(YEAR(TODAY()),MONTH(TODAY()),1),1))-YEAR(IF(ISNUMBER(Suppliers!F2),Suppliers!F2,DATE(YEAR(TODAY()),MONTH(TODAY()),1))))*12+MONTH(EDATE(DATE(YEAR(TODAY()),MONTH(TODAY()),1),1))-MONTH(IF(ISNUMBER(Suppliers!F2),Suppliers!F2,DATE(YEAR(TODAY()),MONTH(TODAY()),1))),12)=0,1,0),IF(Suppliers!E2="One-time",IF(1=0,1,0),1)))))),"")</f>
        <v>-1000</v>
      </c>
      <c r="H4" s="10">
        <f ca="1">IFERROR(IF(OR(2&gt;=$B$1,Suppliers!A2="",NOT(ISNUMBER(Suppliers!D2)),Suppliers!L2="Expired",Suppliers!L2="Terminate"),"",Suppliers!D2*-1*IF(Suppliers!E2="Monthly",IF(AND(ISNUMBER(Suppliers!G2),(YEAR(EDATE(DATE(YEAR(TODAY()),MONTH(TODAY()),1),2))*12+MONTH(EDATE(DATE(YEAR(TODAY()),MONTH(TODAY()),1),2)))&gt;(YEAR(Suppliers!G2)*12+MONTH(Suppliers!G2))),"",1),IF(Suppliers!E2="Quarterly",IF(MOD((YEAR(EDATE(DATE(YEAR(TODAY()),MONTH(TODAY()),1),2))-YEAR(IF(ISNUMBER(Suppliers!F2),Suppliers!F2,DATE(YEAR(TODAY()),MONTH(TODAY()),1))))*12+MONTH(EDATE(DATE(YEAR(TODAY()),MONTH(TODAY()),1),2))-MONTH(IF(ISNUMBER(Suppliers!F2),Suppliers!F2,DATE(YEAR(TODAY()),MONTH(TODAY()),1))),3)=0,1,0),IF(Suppliers!E2="Semi-annual",IF(MOD((YEAR(EDATE(DATE(YEAR(TODAY()),MONTH(TODAY()),1),2))-YEAR(IF(ISNUMBER(Suppliers!F2),Suppliers!F2,DATE(YEAR(TODAY()),MONTH(TODAY()),1))))*12+MONTH(EDATE(DATE(YEAR(TODAY()),MONTH(TODAY()),1),2))-MONTH(IF(ISNUMBER(Suppliers!F2),Suppliers!F2,DATE(YEAR(TODAY()),MONTH(TODAY()),1))),6)=0,1,0),IF(Suppliers!E2="Annual",IF(MOD((YEAR(EDATE(DATE(YEAR(TODAY()),MONTH(TODAY()),1),2))-YEAR(IF(ISNUMBER(Suppliers!F2),Suppliers!F2,DATE(YEAR(TODAY()),MONTH(TODAY()),1))))*12+MONTH(EDATE(DATE(YEAR(TODAY()),MONTH(TODAY()),1),2))-MONTH(IF(ISNUMBER(Suppliers!F2),Suppliers!F2,DATE(YEAR(TODAY()),MONTH(TODAY()),1))),12)=0,1,0),IF(Suppliers!E2="One-time",IF(2=0,1,0),1)))))),"")</f>
        <v>-1000</v>
      </c>
      <c r="I4" s="10" t="str">
        <f ca="1">IFERROR(IF(OR(3&gt;=$B$1,Suppliers!A2="",NOT(ISNUMBER(Suppliers!D2)),Suppliers!L2="Expired",Suppliers!L2="Terminate"),"",Suppliers!D2*-1*IF(Suppliers!E2="Monthly",IF(AND(ISNUMBER(Suppliers!G2),(YEAR(EDATE(DATE(YEAR(TODAY()),MONTH(TODAY()),1),3))*12+MONTH(EDATE(DATE(YEAR(TODAY()),MONTH(TODAY()),1),3)))&gt;(YEAR(Suppliers!G2)*12+MONTH(Suppliers!G2))),"",1),IF(Suppliers!E2="Quarterly",IF(MOD((YEAR(EDATE(DATE(YEAR(TODAY()),MONTH(TODAY()),1),3))-YEAR(IF(ISNUMBER(Suppliers!F2),Suppliers!F2,DATE(YEAR(TODAY()),MONTH(TODAY()),1))))*12+MONTH(EDATE(DATE(YEAR(TODAY()),MONTH(TODAY()),1),3))-MONTH(IF(ISNUMBER(Suppliers!F2),Suppliers!F2,DATE(YEAR(TODAY()),MONTH(TODAY()),1))),3)=0,1,0),IF(Suppliers!E2="Semi-annual",IF(MOD((YEAR(EDATE(DATE(YEAR(TODAY()),MONTH(TODAY()),1),3))-YEAR(IF(ISNUMBER(Suppliers!F2),Suppliers!F2,DATE(YEAR(TODAY()),MONTH(TODAY()),1))))*12+MONTH(EDATE(DATE(YEAR(TODAY()),MONTH(TODAY()),1),3))-MONTH(IF(ISNUMBER(Suppliers!F2),Suppliers!F2,DATE(YEAR(TODAY()),MONTH(TODAY()),1))),6)=0,1,0),IF(Suppliers!E2="Annual",IF(MOD((YEAR(EDATE(DATE(YEAR(TODAY()),MONTH(TODAY()),1),3))-YEAR(IF(ISNUMBER(Suppliers!F2),Suppliers!F2,DATE(YEAR(TODAY()),MONTH(TODAY()),1))))*12+MONTH(EDATE(DATE(YEAR(TODAY()),MONTH(TODAY()),1),3))-MONTH(IF(ISNUMBER(Suppliers!F2),Suppliers!F2,DATE(YEAR(TODAY()),MONTH(TODAY()),1))),12)=0,1,0),IF(Suppliers!E2="One-time",IF(3=0,1,0),1)))))),"")</f>
        <v/>
      </c>
      <c r="J4" s="10" t="str">
        <f ca="1">IFERROR(IF(OR(4&gt;=$B$1,Suppliers!A2="",NOT(ISNUMBER(Suppliers!D2)),Suppliers!L2="Expired",Suppliers!L2="Terminate"),"",Suppliers!D2*-1*IF(Suppliers!E2="Monthly",IF(AND(ISNUMBER(Suppliers!G2),(YEAR(EDATE(DATE(YEAR(TODAY()),MONTH(TODAY()),1),4))*12+MONTH(EDATE(DATE(YEAR(TODAY()),MONTH(TODAY()),1),4)))&gt;(YEAR(Suppliers!G2)*12+MONTH(Suppliers!G2))),"",1),IF(Suppliers!E2="Quarterly",IF(MOD((YEAR(EDATE(DATE(YEAR(TODAY()),MONTH(TODAY()),1),4))-YEAR(IF(ISNUMBER(Suppliers!F2),Suppliers!F2,DATE(YEAR(TODAY()),MONTH(TODAY()),1))))*12+MONTH(EDATE(DATE(YEAR(TODAY()),MONTH(TODAY()),1),4))-MONTH(IF(ISNUMBER(Suppliers!F2),Suppliers!F2,DATE(YEAR(TODAY()),MONTH(TODAY()),1))),3)=0,1,0),IF(Suppliers!E2="Semi-annual",IF(MOD((YEAR(EDATE(DATE(YEAR(TODAY()),MONTH(TODAY()),1),4))-YEAR(IF(ISNUMBER(Suppliers!F2),Suppliers!F2,DATE(YEAR(TODAY()),MONTH(TODAY()),1))))*12+MONTH(EDATE(DATE(YEAR(TODAY()),MONTH(TODAY()),1),4))-MONTH(IF(ISNUMBER(Suppliers!F2),Suppliers!F2,DATE(YEAR(TODAY()),MONTH(TODAY()),1))),6)=0,1,0),IF(Suppliers!E2="Annual",IF(MOD((YEAR(EDATE(DATE(YEAR(TODAY()),MONTH(TODAY()),1),4))-YEAR(IF(ISNUMBER(Suppliers!F2),Suppliers!F2,DATE(YEAR(TODAY()),MONTH(TODAY()),1))))*12+MONTH(EDATE(DATE(YEAR(TODAY()),MONTH(TODAY()),1),4))-MONTH(IF(ISNUMBER(Suppliers!F2),Suppliers!F2,DATE(YEAR(TODAY()),MONTH(TODAY()),1))),12)=0,1,0),IF(Suppliers!E2="One-time",IF(4=0,1,0),1)))))),"")</f>
        <v/>
      </c>
      <c r="K4" s="10" t="str">
        <f ca="1">IFERROR(IF(OR(5&gt;=$B$1,Suppliers!A2="",NOT(ISNUMBER(Suppliers!D2)),Suppliers!L2="Expired",Suppliers!L2="Terminate"),"",Suppliers!D2*-1*IF(Suppliers!E2="Monthly",IF(AND(ISNUMBER(Suppliers!G2),(YEAR(EDATE(DATE(YEAR(TODAY()),MONTH(TODAY()),1),5))*12+MONTH(EDATE(DATE(YEAR(TODAY()),MONTH(TODAY()),1),5)))&gt;(YEAR(Suppliers!G2)*12+MONTH(Suppliers!G2))),"",1),IF(Suppliers!E2="Quarterly",IF(MOD((YEAR(EDATE(DATE(YEAR(TODAY()),MONTH(TODAY()),1),5))-YEAR(IF(ISNUMBER(Suppliers!F2),Suppliers!F2,DATE(YEAR(TODAY()),MONTH(TODAY()),1))))*12+MONTH(EDATE(DATE(YEAR(TODAY()),MONTH(TODAY()),1),5))-MONTH(IF(ISNUMBER(Suppliers!F2),Suppliers!F2,DATE(YEAR(TODAY()),MONTH(TODAY()),1))),3)=0,1,0),IF(Suppliers!E2="Semi-annual",IF(MOD((YEAR(EDATE(DATE(YEAR(TODAY()),MONTH(TODAY()),1),5))-YEAR(IF(ISNUMBER(Suppliers!F2),Suppliers!F2,DATE(YEAR(TODAY()),MONTH(TODAY()),1))))*12+MONTH(EDATE(DATE(YEAR(TODAY()),MONTH(TODAY()),1),5))-MONTH(IF(ISNUMBER(Suppliers!F2),Suppliers!F2,DATE(YEAR(TODAY()),MONTH(TODAY()),1))),6)=0,1,0),IF(Suppliers!E2="Annual",IF(MOD((YEAR(EDATE(DATE(YEAR(TODAY()),MONTH(TODAY()),1),5))-YEAR(IF(ISNUMBER(Suppliers!F2),Suppliers!F2,DATE(YEAR(TODAY()),MONTH(TODAY()),1))))*12+MONTH(EDATE(DATE(YEAR(TODAY()),MONTH(TODAY()),1),5))-MONTH(IF(ISNUMBER(Suppliers!F2),Suppliers!F2,DATE(YEAR(TODAY()),MONTH(TODAY()),1))),12)=0,1,0),IF(Suppliers!E2="One-time",IF(5=0,1,0),1)))))),"")</f>
        <v/>
      </c>
      <c r="L4" s="10" t="str">
        <f ca="1">IFERROR(IF(OR(6&gt;=$B$1,Suppliers!A2="",NOT(ISNUMBER(Suppliers!D2)),Suppliers!L2="Expired",Suppliers!L2="Terminate"),"",Suppliers!D2*-1*IF(Suppliers!E2="Monthly",IF(AND(ISNUMBER(Suppliers!G2),(YEAR(EDATE(DATE(YEAR(TODAY()),MONTH(TODAY()),1),6))*12+MONTH(EDATE(DATE(YEAR(TODAY()),MONTH(TODAY()),1),6)))&gt;(YEAR(Suppliers!G2)*12+MONTH(Suppliers!G2))),"",1),IF(Suppliers!E2="Quarterly",IF(MOD((YEAR(EDATE(DATE(YEAR(TODAY()),MONTH(TODAY()),1),6))-YEAR(IF(ISNUMBER(Suppliers!F2),Suppliers!F2,DATE(YEAR(TODAY()),MONTH(TODAY()),1))))*12+MONTH(EDATE(DATE(YEAR(TODAY()),MONTH(TODAY()),1),6))-MONTH(IF(ISNUMBER(Suppliers!F2),Suppliers!F2,DATE(YEAR(TODAY()),MONTH(TODAY()),1))),3)=0,1,0),IF(Suppliers!E2="Semi-annual",IF(MOD((YEAR(EDATE(DATE(YEAR(TODAY()),MONTH(TODAY()),1),6))-YEAR(IF(ISNUMBER(Suppliers!F2),Suppliers!F2,DATE(YEAR(TODAY()),MONTH(TODAY()),1))))*12+MONTH(EDATE(DATE(YEAR(TODAY()),MONTH(TODAY()),1),6))-MONTH(IF(ISNUMBER(Suppliers!F2),Suppliers!F2,DATE(YEAR(TODAY()),MONTH(TODAY()),1))),6)=0,1,0),IF(Suppliers!E2="Annual",IF(MOD((YEAR(EDATE(DATE(YEAR(TODAY()),MONTH(TODAY()),1),6))-YEAR(IF(ISNUMBER(Suppliers!F2),Suppliers!F2,DATE(YEAR(TODAY()),MONTH(TODAY()),1))))*12+MONTH(EDATE(DATE(YEAR(TODAY()),MONTH(TODAY()),1),6))-MONTH(IF(ISNUMBER(Suppliers!F2),Suppliers!F2,DATE(YEAR(TODAY()),MONTH(TODAY()),1))),12)=0,1,0),IF(Suppliers!E2="One-time",IF(6=0,1,0),1)))))),"")</f>
        <v/>
      </c>
      <c r="M4" s="10" t="str">
        <f ca="1">IFERROR(IF(OR(7&gt;=$B$1,Suppliers!A2="",NOT(ISNUMBER(Suppliers!D2)),Suppliers!L2="Expired",Suppliers!L2="Terminate"),"",Suppliers!D2*-1*IF(Suppliers!E2="Monthly",IF(AND(ISNUMBER(Suppliers!G2),(YEAR(EDATE(DATE(YEAR(TODAY()),MONTH(TODAY()),1),7))*12+MONTH(EDATE(DATE(YEAR(TODAY()),MONTH(TODAY()),1),7)))&gt;(YEAR(Suppliers!G2)*12+MONTH(Suppliers!G2))),"",1),IF(Suppliers!E2="Quarterly",IF(MOD((YEAR(EDATE(DATE(YEAR(TODAY()),MONTH(TODAY()),1),7))-YEAR(IF(ISNUMBER(Suppliers!F2),Suppliers!F2,DATE(YEAR(TODAY()),MONTH(TODAY()),1))))*12+MONTH(EDATE(DATE(YEAR(TODAY()),MONTH(TODAY()),1),7))-MONTH(IF(ISNUMBER(Suppliers!F2),Suppliers!F2,DATE(YEAR(TODAY()),MONTH(TODAY()),1))),3)=0,1,0),IF(Suppliers!E2="Semi-annual",IF(MOD((YEAR(EDATE(DATE(YEAR(TODAY()),MONTH(TODAY()),1),7))-YEAR(IF(ISNUMBER(Suppliers!F2),Suppliers!F2,DATE(YEAR(TODAY()),MONTH(TODAY()),1))))*12+MONTH(EDATE(DATE(YEAR(TODAY()),MONTH(TODAY()),1),7))-MONTH(IF(ISNUMBER(Suppliers!F2),Suppliers!F2,DATE(YEAR(TODAY()),MONTH(TODAY()),1))),6)=0,1,0),IF(Suppliers!E2="Annual",IF(MOD((YEAR(EDATE(DATE(YEAR(TODAY()),MONTH(TODAY()),1),7))-YEAR(IF(ISNUMBER(Suppliers!F2),Suppliers!F2,DATE(YEAR(TODAY()),MONTH(TODAY()),1))))*12+MONTH(EDATE(DATE(YEAR(TODAY()),MONTH(TODAY()),1),7))-MONTH(IF(ISNUMBER(Suppliers!F2),Suppliers!F2,DATE(YEAR(TODAY()),MONTH(TODAY()),1))),12)=0,1,0),IF(Suppliers!E2="One-time",IF(7=0,1,0),1)))))),"")</f>
        <v/>
      </c>
      <c r="N4" s="10" t="str">
        <f ca="1">IFERROR(IF(OR(8&gt;=$B$1,Suppliers!A2="",NOT(ISNUMBER(Suppliers!D2)),Suppliers!L2="Expired",Suppliers!L2="Terminate"),"",Suppliers!D2*-1*IF(Suppliers!E2="Monthly",IF(AND(ISNUMBER(Suppliers!G2),(YEAR(EDATE(DATE(YEAR(TODAY()),MONTH(TODAY()),1),8))*12+MONTH(EDATE(DATE(YEAR(TODAY()),MONTH(TODAY()),1),8)))&gt;(YEAR(Suppliers!G2)*12+MONTH(Suppliers!G2))),"",1),IF(Suppliers!E2="Quarterly",IF(MOD((YEAR(EDATE(DATE(YEAR(TODAY()),MONTH(TODAY()),1),8))-YEAR(IF(ISNUMBER(Suppliers!F2),Suppliers!F2,DATE(YEAR(TODAY()),MONTH(TODAY()),1))))*12+MONTH(EDATE(DATE(YEAR(TODAY()),MONTH(TODAY()),1),8))-MONTH(IF(ISNUMBER(Suppliers!F2),Suppliers!F2,DATE(YEAR(TODAY()),MONTH(TODAY()),1))),3)=0,1,0),IF(Suppliers!E2="Semi-annual",IF(MOD((YEAR(EDATE(DATE(YEAR(TODAY()),MONTH(TODAY()),1),8))-YEAR(IF(ISNUMBER(Suppliers!F2),Suppliers!F2,DATE(YEAR(TODAY()),MONTH(TODAY()),1))))*12+MONTH(EDATE(DATE(YEAR(TODAY()),MONTH(TODAY()),1),8))-MONTH(IF(ISNUMBER(Suppliers!F2),Suppliers!F2,DATE(YEAR(TODAY()),MONTH(TODAY()),1))),6)=0,1,0),IF(Suppliers!E2="Annual",IF(MOD((YEAR(EDATE(DATE(YEAR(TODAY()),MONTH(TODAY()),1),8))-YEAR(IF(ISNUMBER(Suppliers!F2),Suppliers!F2,DATE(YEAR(TODAY()),MONTH(TODAY()),1))))*12+MONTH(EDATE(DATE(YEAR(TODAY()),MONTH(TODAY()),1),8))-MONTH(IF(ISNUMBER(Suppliers!F2),Suppliers!F2,DATE(YEAR(TODAY()),MONTH(TODAY()),1))),12)=0,1,0),IF(Suppliers!E2="One-time",IF(8=0,1,0),1)))))),"")</f>
        <v/>
      </c>
      <c r="O4" s="10" t="str">
        <f ca="1">IFERROR(IF(OR(9&gt;=$B$1,Suppliers!A2="",NOT(ISNUMBER(Suppliers!D2)),Suppliers!L2="Expired",Suppliers!L2="Terminate"),"",Suppliers!D2*-1*IF(Suppliers!E2="Monthly",IF(AND(ISNUMBER(Suppliers!G2),(YEAR(EDATE(DATE(YEAR(TODAY()),MONTH(TODAY()),1),9))*12+MONTH(EDATE(DATE(YEAR(TODAY()),MONTH(TODAY()),1),9)))&gt;(YEAR(Suppliers!G2)*12+MONTH(Suppliers!G2))),"",1),IF(Suppliers!E2="Quarterly",IF(MOD((YEAR(EDATE(DATE(YEAR(TODAY()),MONTH(TODAY()),1),9))-YEAR(IF(ISNUMBER(Suppliers!F2),Suppliers!F2,DATE(YEAR(TODAY()),MONTH(TODAY()),1))))*12+MONTH(EDATE(DATE(YEAR(TODAY()),MONTH(TODAY()),1),9))-MONTH(IF(ISNUMBER(Suppliers!F2),Suppliers!F2,DATE(YEAR(TODAY()),MONTH(TODAY()),1))),3)=0,1,0),IF(Suppliers!E2="Semi-annual",IF(MOD((YEAR(EDATE(DATE(YEAR(TODAY()),MONTH(TODAY()),1),9))-YEAR(IF(ISNUMBER(Suppliers!F2),Suppliers!F2,DATE(YEAR(TODAY()),MONTH(TODAY()),1))))*12+MONTH(EDATE(DATE(YEAR(TODAY()),MONTH(TODAY()),1),9))-MONTH(IF(ISNUMBER(Suppliers!F2),Suppliers!F2,DATE(YEAR(TODAY()),MONTH(TODAY()),1))),6)=0,1,0),IF(Suppliers!E2="Annual",IF(MOD((YEAR(EDATE(DATE(YEAR(TODAY()),MONTH(TODAY()),1),9))-YEAR(IF(ISNUMBER(Suppliers!F2),Suppliers!F2,DATE(YEAR(TODAY()),MONTH(TODAY()),1))))*12+MONTH(EDATE(DATE(YEAR(TODAY()),MONTH(TODAY()),1),9))-MONTH(IF(ISNUMBER(Suppliers!F2),Suppliers!F2,DATE(YEAR(TODAY()),MONTH(TODAY()),1))),12)=0,1,0),IF(Suppliers!E2="One-time",IF(9=0,1,0),1)))))),"")</f>
        <v/>
      </c>
      <c r="P4" s="10" t="str">
        <f ca="1">IFERROR(IF(OR(10&gt;=$B$1,Suppliers!A2="",NOT(ISNUMBER(Suppliers!D2)),Suppliers!L2="Expired",Suppliers!L2="Terminate"),"",Suppliers!D2*-1*IF(Suppliers!E2="Monthly",IF(AND(ISNUMBER(Suppliers!G2),(YEAR(EDATE(DATE(YEAR(TODAY()),MONTH(TODAY()),1),10))*12+MONTH(EDATE(DATE(YEAR(TODAY()),MONTH(TODAY()),1),10)))&gt;(YEAR(Suppliers!G2)*12+MONTH(Suppliers!G2))),"",1),IF(Suppliers!E2="Quarterly",IF(MOD((YEAR(EDATE(DATE(YEAR(TODAY()),MONTH(TODAY()),1),10))-YEAR(IF(ISNUMBER(Suppliers!F2),Suppliers!F2,DATE(YEAR(TODAY()),MONTH(TODAY()),1))))*12+MONTH(EDATE(DATE(YEAR(TODAY()),MONTH(TODAY()),1),10))-MONTH(IF(ISNUMBER(Suppliers!F2),Suppliers!F2,DATE(YEAR(TODAY()),MONTH(TODAY()),1))),3)=0,1,0),IF(Suppliers!E2="Semi-annual",IF(MOD((YEAR(EDATE(DATE(YEAR(TODAY()),MONTH(TODAY()),1),10))-YEAR(IF(ISNUMBER(Suppliers!F2),Suppliers!F2,DATE(YEAR(TODAY()),MONTH(TODAY()),1))))*12+MONTH(EDATE(DATE(YEAR(TODAY()),MONTH(TODAY()),1),10))-MONTH(IF(ISNUMBER(Suppliers!F2),Suppliers!F2,DATE(YEAR(TODAY()),MONTH(TODAY()),1))),6)=0,1,0),IF(Suppliers!E2="Annual",IF(MOD((YEAR(EDATE(DATE(YEAR(TODAY()),MONTH(TODAY()),1),10))-YEAR(IF(ISNUMBER(Suppliers!F2),Suppliers!F2,DATE(YEAR(TODAY()),MONTH(TODAY()),1))))*12+MONTH(EDATE(DATE(YEAR(TODAY()),MONTH(TODAY()),1),10))-MONTH(IF(ISNUMBER(Suppliers!F2),Suppliers!F2,DATE(YEAR(TODAY()),MONTH(TODAY()),1))),12)=0,1,0),IF(Suppliers!E2="One-time",IF(10=0,1,0),1)))))),"")</f>
        <v/>
      </c>
      <c r="Q4" s="10" t="str">
        <f ca="1">IFERROR(IF(OR(11&gt;=$B$1,Suppliers!A2="",NOT(ISNUMBER(Suppliers!D2)),Suppliers!L2="Expired",Suppliers!L2="Terminate"),"",Suppliers!D2*-1*IF(Suppliers!E2="Monthly",IF(AND(ISNUMBER(Suppliers!G2),(YEAR(EDATE(DATE(YEAR(TODAY()),MONTH(TODAY()),1),11))*12+MONTH(EDATE(DATE(YEAR(TODAY()),MONTH(TODAY()),1),11)))&gt;(YEAR(Suppliers!G2)*12+MONTH(Suppliers!G2))),"",1),IF(Suppliers!E2="Quarterly",IF(MOD((YEAR(EDATE(DATE(YEAR(TODAY()),MONTH(TODAY()),1),11))-YEAR(IF(ISNUMBER(Suppliers!F2),Suppliers!F2,DATE(YEAR(TODAY()),MONTH(TODAY()),1))))*12+MONTH(EDATE(DATE(YEAR(TODAY()),MONTH(TODAY()),1),11))-MONTH(IF(ISNUMBER(Suppliers!F2),Suppliers!F2,DATE(YEAR(TODAY()),MONTH(TODAY()),1))),3)=0,1,0),IF(Suppliers!E2="Semi-annual",IF(MOD((YEAR(EDATE(DATE(YEAR(TODAY()),MONTH(TODAY()),1),11))-YEAR(IF(ISNUMBER(Suppliers!F2),Suppliers!F2,DATE(YEAR(TODAY()),MONTH(TODAY()),1))))*12+MONTH(EDATE(DATE(YEAR(TODAY()),MONTH(TODAY()),1),11))-MONTH(IF(ISNUMBER(Suppliers!F2),Suppliers!F2,DATE(YEAR(TODAY()),MONTH(TODAY()),1))),6)=0,1,0),IF(Suppliers!E2="Annual",IF(MOD((YEAR(EDATE(DATE(YEAR(TODAY()),MONTH(TODAY()),1),11))-YEAR(IF(ISNUMBER(Suppliers!F2),Suppliers!F2,DATE(YEAR(TODAY()),MONTH(TODAY()),1))))*12+MONTH(EDATE(DATE(YEAR(TODAY()),MONTH(TODAY()),1),11))-MONTH(IF(ISNUMBER(Suppliers!F2),Suppliers!F2,DATE(YEAR(TODAY()),MONTH(TODAY()),1))),12)=0,1,0),IF(Suppliers!E2="One-time",IF(11=0,1,0),1)))))),"")</f>
        <v/>
      </c>
      <c r="R4" s="10" t="str">
        <f ca="1">IFERROR(IF(OR(12&gt;=$B$1,Suppliers!A2="",NOT(ISNUMBER(Suppliers!D2)),Suppliers!L2="Expired",Suppliers!L2="Terminate"),"",Suppliers!D2*-1*IF(Suppliers!E2="Monthly",IF(AND(ISNUMBER(Suppliers!G2),(YEAR(EDATE(DATE(YEAR(TODAY()),MONTH(TODAY()),1),12))*12+MONTH(EDATE(DATE(YEAR(TODAY()),MONTH(TODAY()),1),12)))&gt;(YEAR(Suppliers!G2)*12+MONTH(Suppliers!G2))),"",1),IF(Suppliers!E2="Quarterly",IF(MOD((YEAR(EDATE(DATE(YEAR(TODAY()),MONTH(TODAY()),1),12))-YEAR(IF(ISNUMBER(Suppliers!F2),Suppliers!F2,DATE(YEAR(TODAY()),MONTH(TODAY()),1))))*12+MONTH(EDATE(DATE(YEAR(TODAY()),MONTH(TODAY()),1),12))-MONTH(IF(ISNUMBER(Suppliers!F2),Suppliers!F2,DATE(YEAR(TODAY()),MONTH(TODAY()),1))),3)=0,1,0),IF(Suppliers!E2="Semi-annual",IF(MOD((YEAR(EDATE(DATE(YEAR(TODAY()),MONTH(TODAY()),1),12))-YEAR(IF(ISNUMBER(Suppliers!F2),Suppliers!F2,DATE(YEAR(TODAY()),MONTH(TODAY()),1))))*12+MONTH(EDATE(DATE(YEAR(TODAY()),MONTH(TODAY()),1),12))-MONTH(IF(ISNUMBER(Suppliers!F2),Suppliers!F2,DATE(YEAR(TODAY()),MONTH(TODAY()),1))),6)=0,1,0),IF(Suppliers!E2="Annual",IF(MOD((YEAR(EDATE(DATE(YEAR(TODAY()),MONTH(TODAY()),1),12))-YEAR(IF(ISNUMBER(Suppliers!F2),Suppliers!F2,DATE(YEAR(TODAY()),MONTH(TODAY()),1))))*12+MONTH(EDATE(DATE(YEAR(TODAY()),MONTH(TODAY()),1),12))-MONTH(IF(ISNUMBER(Suppliers!F2),Suppliers!F2,DATE(YEAR(TODAY()),MONTH(TODAY()),1))),12)=0,1,0),IF(Suppliers!E2="One-time",IF(12=0,1,0),1)))))),"")</f>
        <v/>
      </c>
      <c r="S4" s="10" t="str">
        <f ca="1">IFERROR(IF(OR(13&gt;=$B$1,Suppliers!A2="",NOT(ISNUMBER(Suppliers!D2)),Suppliers!L2="Expired",Suppliers!L2="Terminate"),"",Suppliers!D2*-1*IF(Suppliers!E2="Monthly",IF(AND(ISNUMBER(Suppliers!G2),(YEAR(EDATE(DATE(YEAR(TODAY()),MONTH(TODAY()),1),13))*12+MONTH(EDATE(DATE(YEAR(TODAY()),MONTH(TODAY()),1),13)))&gt;(YEAR(Suppliers!G2)*12+MONTH(Suppliers!G2))),"",1),IF(Suppliers!E2="Quarterly",IF(MOD((YEAR(EDATE(DATE(YEAR(TODAY()),MONTH(TODAY()),1),13))-YEAR(IF(ISNUMBER(Suppliers!F2),Suppliers!F2,DATE(YEAR(TODAY()),MONTH(TODAY()),1))))*12+MONTH(EDATE(DATE(YEAR(TODAY()),MONTH(TODAY()),1),13))-MONTH(IF(ISNUMBER(Suppliers!F2),Suppliers!F2,DATE(YEAR(TODAY()),MONTH(TODAY()),1))),3)=0,1,0),IF(Suppliers!E2="Semi-annual",IF(MOD((YEAR(EDATE(DATE(YEAR(TODAY()),MONTH(TODAY()),1),13))-YEAR(IF(ISNUMBER(Suppliers!F2),Suppliers!F2,DATE(YEAR(TODAY()),MONTH(TODAY()),1))))*12+MONTH(EDATE(DATE(YEAR(TODAY()),MONTH(TODAY()),1),13))-MONTH(IF(ISNUMBER(Suppliers!F2),Suppliers!F2,DATE(YEAR(TODAY()),MONTH(TODAY()),1))),6)=0,1,0),IF(Suppliers!E2="Annual",IF(MOD((YEAR(EDATE(DATE(YEAR(TODAY()),MONTH(TODAY()),1),13))-YEAR(IF(ISNUMBER(Suppliers!F2),Suppliers!F2,DATE(YEAR(TODAY()),MONTH(TODAY()),1))))*12+MONTH(EDATE(DATE(YEAR(TODAY()),MONTH(TODAY()),1),13))-MONTH(IF(ISNUMBER(Suppliers!F2),Suppliers!F2,DATE(YEAR(TODAY()),MONTH(TODAY()),1))),12)=0,1,0),IF(Suppliers!E2="One-time",IF(13=0,1,0),1)))))),"")</f>
        <v/>
      </c>
      <c r="T4" s="10" t="str">
        <f ca="1">IFERROR(IF(OR(14&gt;=$B$1,Suppliers!A2="",NOT(ISNUMBER(Suppliers!D2)),Suppliers!L2="Expired",Suppliers!L2="Terminate"),"",Suppliers!D2*-1*IF(Suppliers!E2="Monthly",IF(AND(ISNUMBER(Suppliers!G2),(YEAR(EDATE(DATE(YEAR(TODAY()),MONTH(TODAY()),1),14))*12+MONTH(EDATE(DATE(YEAR(TODAY()),MONTH(TODAY()),1),14)))&gt;(YEAR(Suppliers!G2)*12+MONTH(Suppliers!G2))),"",1),IF(Suppliers!E2="Quarterly",IF(MOD((YEAR(EDATE(DATE(YEAR(TODAY()),MONTH(TODAY()),1),14))-YEAR(IF(ISNUMBER(Suppliers!F2),Suppliers!F2,DATE(YEAR(TODAY()),MONTH(TODAY()),1))))*12+MONTH(EDATE(DATE(YEAR(TODAY()),MONTH(TODAY()),1),14))-MONTH(IF(ISNUMBER(Suppliers!F2),Suppliers!F2,DATE(YEAR(TODAY()),MONTH(TODAY()),1))),3)=0,1,0),IF(Suppliers!E2="Semi-annual",IF(MOD((YEAR(EDATE(DATE(YEAR(TODAY()),MONTH(TODAY()),1),14))-YEAR(IF(ISNUMBER(Suppliers!F2),Suppliers!F2,DATE(YEAR(TODAY()),MONTH(TODAY()),1))))*12+MONTH(EDATE(DATE(YEAR(TODAY()),MONTH(TODAY()),1),14))-MONTH(IF(ISNUMBER(Suppliers!F2),Suppliers!F2,DATE(YEAR(TODAY()),MONTH(TODAY()),1))),6)=0,1,0),IF(Suppliers!E2="Annual",IF(MOD((YEAR(EDATE(DATE(YEAR(TODAY()),MONTH(TODAY()),1),14))-YEAR(IF(ISNUMBER(Suppliers!F2),Suppliers!F2,DATE(YEAR(TODAY()),MONTH(TODAY()),1))))*12+MONTH(EDATE(DATE(YEAR(TODAY()),MONTH(TODAY()),1),14))-MONTH(IF(ISNUMBER(Suppliers!F2),Suppliers!F2,DATE(YEAR(TODAY()),MONTH(TODAY()),1))),12)=0,1,0),IF(Suppliers!E2="One-time",IF(14=0,1,0),1)))))),"")</f>
        <v/>
      </c>
      <c r="U4" s="10" t="str">
        <f ca="1">IFERROR(IF(OR(15&gt;=$B$1,Suppliers!A2="",NOT(ISNUMBER(Suppliers!D2)),Suppliers!L2="Expired",Suppliers!L2="Terminate"),"",Suppliers!D2*-1*IF(Suppliers!E2="Monthly",IF(AND(ISNUMBER(Suppliers!G2),(YEAR(EDATE(DATE(YEAR(TODAY()),MONTH(TODAY()),1),15))*12+MONTH(EDATE(DATE(YEAR(TODAY()),MONTH(TODAY()),1),15)))&gt;(YEAR(Suppliers!G2)*12+MONTH(Suppliers!G2))),"",1),IF(Suppliers!E2="Quarterly",IF(MOD((YEAR(EDATE(DATE(YEAR(TODAY()),MONTH(TODAY()),1),15))-YEAR(IF(ISNUMBER(Suppliers!F2),Suppliers!F2,DATE(YEAR(TODAY()),MONTH(TODAY()),1))))*12+MONTH(EDATE(DATE(YEAR(TODAY()),MONTH(TODAY()),1),15))-MONTH(IF(ISNUMBER(Suppliers!F2),Suppliers!F2,DATE(YEAR(TODAY()),MONTH(TODAY()),1))),3)=0,1,0),IF(Suppliers!E2="Semi-annual",IF(MOD((YEAR(EDATE(DATE(YEAR(TODAY()),MONTH(TODAY()),1),15))-YEAR(IF(ISNUMBER(Suppliers!F2),Suppliers!F2,DATE(YEAR(TODAY()),MONTH(TODAY()),1))))*12+MONTH(EDATE(DATE(YEAR(TODAY()),MONTH(TODAY()),1),15))-MONTH(IF(ISNUMBER(Suppliers!F2),Suppliers!F2,DATE(YEAR(TODAY()),MONTH(TODAY()),1))),6)=0,1,0),IF(Suppliers!E2="Annual",IF(MOD((YEAR(EDATE(DATE(YEAR(TODAY()),MONTH(TODAY()),1),15))-YEAR(IF(ISNUMBER(Suppliers!F2),Suppliers!F2,DATE(YEAR(TODAY()),MONTH(TODAY()),1))))*12+MONTH(EDATE(DATE(YEAR(TODAY()),MONTH(TODAY()),1),15))-MONTH(IF(ISNUMBER(Suppliers!F2),Suppliers!F2,DATE(YEAR(TODAY()),MONTH(TODAY()),1))),12)=0,1,0),IF(Suppliers!E2="One-time",IF(15=0,1,0),1)))))),"")</f>
        <v/>
      </c>
      <c r="V4" s="10" t="str">
        <f ca="1">IFERROR(IF(OR(16&gt;=$B$1,Suppliers!A2="",NOT(ISNUMBER(Suppliers!D2)),Suppliers!L2="Expired",Suppliers!L2="Terminate"),"",Suppliers!D2*-1*IF(Suppliers!E2="Monthly",IF(AND(ISNUMBER(Suppliers!G2),(YEAR(EDATE(DATE(YEAR(TODAY()),MONTH(TODAY()),1),16))*12+MONTH(EDATE(DATE(YEAR(TODAY()),MONTH(TODAY()),1),16)))&gt;(YEAR(Suppliers!G2)*12+MONTH(Suppliers!G2))),"",1),IF(Suppliers!E2="Quarterly",IF(MOD((YEAR(EDATE(DATE(YEAR(TODAY()),MONTH(TODAY()),1),16))-YEAR(IF(ISNUMBER(Suppliers!F2),Suppliers!F2,DATE(YEAR(TODAY()),MONTH(TODAY()),1))))*12+MONTH(EDATE(DATE(YEAR(TODAY()),MONTH(TODAY()),1),16))-MONTH(IF(ISNUMBER(Suppliers!F2),Suppliers!F2,DATE(YEAR(TODAY()),MONTH(TODAY()),1))),3)=0,1,0),IF(Suppliers!E2="Semi-annual",IF(MOD((YEAR(EDATE(DATE(YEAR(TODAY()),MONTH(TODAY()),1),16))-YEAR(IF(ISNUMBER(Suppliers!F2),Suppliers!F2,DATE(YEAR(TODAY()),MONTH(TODAY()),1))))*12+MONTH(EDATE(DATE(YEAR(TODAY()),MONTH(TODAY()),1),16))-MONTH(IF(ISNUMBER(Suppliers!F2),Suppliers!F2,DATE(YEAR(TODAY()),MONTH(TODAY()),1))),6)=0,1,0),IF(Suppliers!E2="Annual",IF(MOD((YEAR(EDATE(DATE(YEAR(TODAY()),MONTH(TODAY()),1),16))-YEAR(IF(ISNUMBER(Suppliers!F2),Suppliers!F2,DATE(YEAR(TODAY()),MONTH(TODAY()),1))))*12+MONTH(EDATE(DATE(YEAR(TODAY()),MONTH(TODAY()),1),16))-MONTH(IF(ISNUMBER(Suppliers!F2),Suppliers!F2,DATE(YEAR(TODAY()),MONTH(TODAY()),1))),12)=0,1,0),IF(Suppliers!E2="One-time",IF(16=0,1,0),1)))))),"")</f>
        <v/>
      </c>
      <c r="W4" s="10" t="str">
        <f ca="1">IFERROR(IF(OR(17&gt;=$B$1,Suppliers!A2="",NOT(ISNUMBER(Suppliers!D2)),Suppliers!L2="Expired",Suppliers!L2="Terminate"),"",Suppliers!D2*-1*IF(Suppliers!E2="Monthly",IF(AND(ISNUMBER(Suppliers!G2),(YEAR(EDATE(DATE(YEAR(TODAY()),MONTH(TODAY()),1),17))*12+MONTH(EDATE(DATE(YEAR(TODAY()),MONTH(TODAY()),1),17)))&gt;(YEAR(Suppliers!G2)*12+MONTH(Suppliers!G2))),"",1),IF(Suppliers!E2="Quarterly",IF(MOD((YEAR(EDATE(DATE(YEAR(TODAY()),MONTH(TODAY()),1),17))-YEAR(IF(ISNUMBER(Suppliers!F2),Suppliers!F2,DATE(YEAR(TODAY()),MONTH(TODAY()),1))))*12+MONTH(EDATE(DATE(YEAR(TODAY()),MONTH(TODAY()),1),17))-MONTH(IF(ISNUMBER(Suppliers!F2),Suppliers!F2,DATE(YEAR(TODAY()),MONTH(TODAY()),1))),3)=0,1,0),IF(Suppliers!E2="Semi-annual",IF(MOD((YEAR(EDATE(DATE(YEAR(TODAY()),MONTH(TODAY()),1),17))-YEAR(IF(ISNUMBER(Suppliers!F2),Suppliers!F2,DATE(YEAR(TODAY()),MONTH(TODAY()),1))))*12+MONTH(EDATE(DATE(YEAR(TODAY()),MONTH(TODAY()),1),17))-MONTH(IF(ISNUMBER(Suppliers!F2),Suppliers!F2,DATE(YEAR(TODAY()),MONTH(TODAY()),1))),6)=0,1,0),IF(Suppliers!E2="Annual",IF(MOD((YEAR(EDATE(DATE(YEAR(TODAY()),MONTH(TODAY()),1),17))-YEAR(IF(ISNUMBER(Suppliers!F2),Suppliers!F2,DATE(YEAR(TODAY()),MONTH(TODAY()),1))))*12+MONTH(EDATE(DATE(YEAR(TODAY()),MONTH(TODAY()),1),17))-MONTH(IF(ISNUMBER(Suppliers!F2),Suppliers!F2,DATE(YEAR(TODAY()),MONTH(TODAY()),1))),12)=0,1,0),IF(Suppliers!E2="One-time",IF(17=0,1,0),1)))))),"")</f>
        <v/>
      </c>
      <c r="X4" s="10" t="str">
        <f ca="1">IFERROR(IF(OR(18&gt;=$B$1,Suppliers!A2="",NOT(ISNUMBER(Suppliers!D2)),Suppliers!L2="Expired",Suppliers!L2="Terminate"),"",Suppliers!D2*-1*IF(Suppliers!E2="Monthly",IF(AND(ISNUMBER(Suppliers!G2),(YEAR(EDATE(DATE(YEAR(TODAY()),MONTH(TODAY()),1),18))*12+MONTH(EDATE(DATE(YEAR(TODAY()),MONTH(TODAY()),1),18)))&gt;(YEAR(Suppliers!G2)*12+MONTH(Suppliers!G2))),"",1),IF(Suppliers!E2="Quarterly",IF(MOD((YEAR(EDATE(DATE(YEAR(TODAY()),MONTH(TODAY()),1),18))-YEAR(IF(ISNUMBER(Suppliers!F2),Suppliers!F2,DATE(YEAR(TODAY()),MONTH(TODAY()),1))))*12+MONTH(EDATE(DATE(YEAR(TODAY()),MONTH(TODAY()),1),18))-MONTH(IF(ISNUMBER(Suppliers!F2),Suppliers!F2,DATE(YEAR(TODAY()),MONTH(TODAY()),1))),3)=0,1,0),IF(Suppliers!E2="Semi-annual",IF(MOD((YEAR(EDATE(DATE(YEAR(TODAY()),MONTH(TODAY()),1),18))-YEAR(IF(ISNUMBER(Suppliers!F2),Suppliers!F2,DATE(YEAR(TODAY()),MONTH(TODAY()),1))))*12+MONTH(EDATE(DATE(YEAR(TODAY()),MONTH(TODAY()),1),18))-MONTH(IF(ISNUMBER(Suppliers!F2),Suppliers!F2,DATE(YEAR(TODAY()),MONTH(TODAY()),1))),6)=0,1,0),IF(Suppliers!E2="Annual",IF(MOD((YEAR(EDATE(DATE(YEAR(TODAY()),MONTH(TODAY()),1),18))-YEAR(IF(ISNUMBER(Suppliers!F2),Suppliers!F2,DATE(YEAR(TODAY()),MONTH(TODAY()),1))))*12+MONTH(EDATE(DATE(YEAR(TODAY()),MONTH(TODAY()),1),18))-MONTH(IF(ISNUMBER(Suppliers!F2),Suppliers!F2,DATE(YEAR(TODAY()),MONTH(TODAY()),1))),12)=0,1,0),IF(Suppliers!E2="One-time",IF(18=0,1,0),1)))))),"")</f>
        <v/>
      </c>
      <c r="Y4" s="10" t="str">
        <f ca="1">IFERROR(IF(OR(19&gt;=$B$1,Suppliers!A2="",NOT(ISNUMBER(Suppliers!D2)),Suppliers!L2="Expired",Suppliers!L2="Terminate"),"",Suppliers!D2*-1*IF(Suppliers!E2="Monthly",IF(AND(ISNUMBER(Suppliers!G2),(YEAR(EDATE(DATE(YEAR(TODAY()),MONTH(TODAY()),1),19))*12+MONTH(EDATE(DATE(YEAR(TODAY()),MONTH(TODAY()),1),19)))&gt;(YEAR(Suppliers!G2)*12+MONTH(Suppliers!G2))),"",1),IF(Suppliers!E2="Quarterly",IF(MOD((YEAR(EDATE(DATE(YEAR(TODAY()),MONTH(TODAY()),1),19))-YEAR(IF(ISNUMBER(Suppliers!F2),Suppliers!F2,DATE(YEAR(TODAY()),MONTH(TODAY()),1))))*12+MONTH(EDATE(DATE(YEAR(TODAY()),MONTH(TODAY()),1),19))-MONTH(IF(ISNUMBER(Suppliers!F2),Suppliers!F2,DATE(YEAR(TODAY()),MONTH(TODAY()),1))),3)=0,1,0),IF(Suppliers!E2="Semi-annual",IF(MOD((YEAR(EDATE(DATE(YEAR(TODAY()),MONTH(TODAY()),1),19))-YEAR(IF(ISNUMBER(Suppliers!F2),Suppliers!F2,DATE(YEAR(TODAY()),MONTH(TODAY()),1))))*12+MONTH(EDATE(DATE(YEAR(TODAY()),MONTH(TODAY()),1),19))-MONTH(IF(ISNUMBER(Suppliers!F2),Suppliers!F2,DATE(YEAR(TODAY()),MONTH(TODAY()),1))),6)=0,1,0),IF(Suppliers!E2="Annual",IF(MOD((YEAR(EDATE(DATE(YEAR(TODAY()),MONTH(TODAY()),1),19))-YEAR(IF(ISNUMBER(Suppliers!F2),Suppliers!F2,DATE(YEAR(TODAY()),MONTH(TODAY()),1))))*12+MONTH(EDATE(DATE(YEAR(TODAY()),MONTH(TODAY()),1),19))-MONTH(IF(ISNUMBER(Suppliers!F2),Suppliers!F2,DATE(YEAR(TODAY()),MONTH(TODAY()),1))),12)=0,1,0),IF(Suppliers!E2="One-time",IF(19=0,1,0),1)))))),"")</f>
        <v/>
      </c>
      <c r="Z4" s="10" t="str">
        <f ca="1">IFERROR(IF(OR(20&gt;=$B$1,Suppliers!A2="",NOT(ISNUMBER(Suppliers!D2)),Suppliers!L2="Expired",Suppliers!L2="Terminate"),"",Suppliers!D2*-1*IF(Suppliers!E2="Monthly",IF(AND(ISNUMBER(Suppliers!G2),(YEAR(EDATE(DATE(YEAR(TODAY()),MONTH(TODAY()),1),20))*12+MONTH(EDATE(DATE(YEAR(TODAY()),MONTH(TODAY()),1),20)))&gt;(YEAR(Suppliers!G2)*12+MONTH(Suppliers!G2))),"",1),IF(Suppliers!E2="Quarterly",IF(MOD((YEAR(EDATE(DATE(YEAR(TODAY()),MONTH(TODAY()),1),20))-YEAR(IF(ISNUMBER(Suppliers!F2),Suppliers!F2,DATE(YEAR(TODAY()),MONTH(TODAY()),1))))*12+MONTH(EDATE(DATE(YEAR(TODAY()),MONTH(TODAY()),1),20))-MONTH(IF(ISNUMBER(Suppliers!F2),Suppliers!F2,DATE(YEAR(TODAY()),MONTH(TODAY()),1))),3)=0,1,0),IF(Suppliers!E2="Semi-annual",IF(MOD((YEAR(EDATE(DATE(YEAR(TODAY()),MONTH(TODAY()),1),20))-YEAR(IF(ISNUMBER(Suppliers!F2),Suppliers!F2,DATE(YEAR(TODAY()),MONTH(TODAY()),1))))*12+MONTH(EDATE(DATE(YEAR(TODAY()),MONTH(TODAY()),1),20))-MONTH(IF(ISNUMBER(Suppliers!F2),Suppliers!F2,DATE(YEAR(TODAY()),MONTH(TODAY()),1))),6)=0,1,0),IF(Suppliers!E2="Annual",IF(MOD((YEAR(EDATE(DATE(YEAR(TODAY()),MONTH(TODAY()),1),20))-YEAR(IF(ISNUMBER(Suppliers!F2),Suppliers!F2,DATE(YEAR(TODAY()),MONTH(TODAY()),1))))*12+MONTH(EDATE(DATE(YEAR(TODAY()),MONTH(TODAY()),1),20))-MONTH(IF(ISNUMBER(Suppliers!F2),Suppliers!F2,DATE(YEAR(TODAY()),MONTH(TODAY()),1))),12)=0,1,0),IF(Suppliers!E2="One-time",IF(20=0,1,0),1)))))),"")</f>
        <v/>
      </c>
      <c r="AA4" s="10" t="str">
        <f ca="1">IFERROR(IF(OR(21&gt;=$B$1,Suppliers!A2="",NOT(ISNUMBER(Suppliers!D2)),Suppliers!L2="Expired",Suppliers!L2="Terminate"),"",Suppliers!D2*-1*IF(Suppliers!E2="Monthly",IF(AND(ISNUMBER(Suppliers!G2),(YEAR(EDATE(DATE(YEAR(TODAY()),MONTH(TODAY()),1),21))*12+MONTH(EDATE(DATE(YEAR(TODAY()),MONTH(TODAY()),1),21)))&gt;(YEAR(Suppliers!G2)*12+MONTH(Suppliers!G2))),"",1),IF(Suppliers!E2="Quarterly",IF(MOD((YEAR(EDATE(DATE(YEAR(TODAY()),MONTH(TODAY()),1),21))-YEAR(IF(ISNUMBER(Suppliers!F2),Suppliers!F2,DATE(YEAR(TODAY()),MONTH(TODAY()),1))))*12+MONTH(EDATE(DATE(YEAR(TODAY()),MONTH(TODAY()),1),21))-MONTH(IF(ISNUMBER(Suppliers!F2),Suppliers!F2,DATE(YEAR(TODAY()),MONTH(TODAY()),1))),3)=0,1,0),IF(Suppliers!E2="Semi-annual",IF(MOD((YEAR(EDATE(DATE(YEAR(TODAY()),MONTH(TODAY()),1),21))-YEAR(IF(ISNUMBER(Suppliers!F2),Suppliers!F2,DATE(YEAR(TODAY()),MONTH(TODAY()),1))))*12+MONTH(EDATE(DATE(YEAR(TODAY()),MONTH(TODAY()),1),21))-MONTH(IF(ISNUMBER(Suppliers!F2),Suppliers!F2,DATE(YEAR(TODAY()),MONTH(TODAY()),1))),6)=0,1,0),IF(Suppliers!E2="Annual",IF(MOD((YEAR(EDATE(DATE(YEAR(TODAY()),MONTH(TODAY()),1),21))-YEAR(IF(ISNUMBER(Suppliers!F2),Suppliers!F2,DATE(YEAR(TODAY()),MONTH(TODAY()),1))))*12+MONTH(EDATE(DATE(YEAR(TODAY()),MONTH(TODAY()),1),21))-MONTH(IF(ISNUMBER(Suppliers!F2),Suppliers!F2,DATE(YEAR(TODAY()),MONTH(TODAY()),1))),12)=0,1,0),IF(Suppliers!E2="One-time",IF(21=0,1,0),1)))))),"")</f>
        <v/>
      </c>
      <c r="AB4" s="10" t="str">
        <f ca="1">IFERROR(IF(OR(22&gt;=$B$1,Suppliers!A2="",NOT(ISNUMBER(Suppliers!D2)),Suppliers!L2="Expired",Suppliers!L2="Terminate"),"",Suppliers!D2*-1*IF(Suppliers!E2="Monthly",IF(AND(ISNUMBER(Suppliers!G2),(YEAR(EDATE(DATE(YEAR(TODAY()),MONTH(TODAY()),1),22))*12+MONTH(EDATE(DATE(YEAR(TODAY()),MONTH(TODAY()),1),22)))&gt;(YEAR(Suppliers!G2)*12+MONTH(Suppliers!G2))),"",1),IF(Suppliers!E2="Quarterly",IF(MOD((YEAR(EDATE(DATE(YEAR(TODAY()),MONTH(TODAY()),1),22))-YEAR(IF(ISNUMBER(Suppliers!F2),Suppliers!F2,DATE(YEAR(TODAY()),MONTH(TODAY()),1))))*12+MONTH(EDATE(DATE(YEAR(TODAY()),MONTH(TODAY()),1),22))-MONTH(IF(ISNUMBER(Suppliers!F2),Suppliers!F2,DATE(YEAR(TODAY()),MONTH(TODAY()),1))),3)=0,1,0),IF(Suppliers!E2="Semi-annual",IF(MOD((YEAR(EDATE(DATE(YEAR(TODAY()),MONTH(TODAY()),1),22))-YEAR(IF(ISNUMBER(Suppliers!F2),Suppliers!F2,DATE(YEAR(TODAY()),MONTH(TODAY()),1))))*12+MONTH(EDATE(DATE(YEAR(TODAY()),MONTH(TODAY()),1),22))-MONTH(IF(ISNUMBER(Suppliers!F2),Suppliers!F2,DATE(YEAR(TODAY()),MONTH(TODAY()),1))),6)=0,1,0),IF(Suppliers!E2="Annual",IF(MOD((YEAR(EDATE(DATE(YEAR(TODAY()),MONTH(TODAY()),1),22))-YEAR(IF(ISNUMBER(Suppliers!F2),Suppliers!F2,DATE(YEAR(TODAY()),MONTH(TODAY()),1))))*12+MONTH(EDATE(DATE(YEAR(TODAY()),MONTH(TODAY()),1),22))-MONTH(IF(ISNUMBER(Suppliers!F2),Suppliers!F2,DATE(YEAR(TODAY()),MONTH(TODAY()),1))),12)=0,1,0),IF(Suppliers!E2="One-time",IF(22=0,1,0),1)))))),"")</f>
        <v/>
      </c>
      <c r="AC4" s="10" t="str">
        <f ca="1">IFERROR(IF(OR(23&gt;=$B$1,Suppliers!A2="",NOT(ISNUMBER(Suppliers!D2)),Suppliers!L2="Expired",Suppliers!L2="Terminate"),"",Suppliers!D2*-1*IF(Suppliers!E2="Monthly",IF(AND(ISNUMBER(Suppliers!G2),(YEAR(EDATE(DATE(YEAR(TODAY()),MONTH(TODAY()),1),23))*12+MONTH(EDATE(DATE(YEAR(TODAY()),MONTH(TODAY()),1),23)))&gt;(YEAR(Suppliers!G2)*12+MONTH(Suppliers!G2))),"",1),IF(Suppliers!E2="Quarterly",IF(MOD((YEAR(EDATE(DATE(YEAR(TODAY()),MONTH(TODAY()),1),23))-YEAR(IF(ISNUMBER(Suppliers!F2),Suppliers!F2,DATE(YEAR(TODAY()),MONTH(TODAY()),1))))*12+MONTH(EDATE(DATE(YEAR(TODAY()),MONTH(TODAY()),1),23))-MONTH(IF(ISNUMBER(Suppliers!F2),Suppliers!F2,DATE(YEAR(TODAY()),MONTH(TODAY()),1))),3)=0,1,0),IF(Suppliers!E2="Semi-annual",IF(MOD((YEAR(EDATE(DATE(YEAR(TODAY()),MONTH(TODAY()),1),23))-YEAR(IF(ISNUMBER(Suppliers!F2),Suppliers!F2,DATE(YEAR(TODAY()),MONTH(TODAY()),1))))*12+MONTH(EDATE(DATE(YEAR(TODAY()),MONTH(TODAY()),1),23))-MONTH(IF(ISNUMBER(Suppliers!F2),Suppliers!F2,DATE(YEAR(TODAY()),MONTH(TODAY()),1))),6)=0,1,0),IF(Suppliers!E2="Annual",IF(MOD((YEAR(EDATE(DATE(YEAR(TODAY()),MONTH(TODAY()),1),23))-YEAR(IF(ISNUMBER(Suppliers!F2),Suppliers!F2,DATE(YEAR(TODAY()),MONTH(TODAY()),1))))*12+MONTH(EDATE(DATE(YEAR(TODAY()),MONTH(TODAY()),1),23))-MONTH(IF(ISNUMBER(Suppliers!F2),Suppliers!F2,DATE(YEAR(TODAY()),MONTH(TODAY()),1))),12)=0,1,0),IF(Suppliers!E2="One-time",IF(23=0,1,0),1)))))),"")</f>
        <v/>
      </c>
    </row>
    <row r="5" spans="1:29" ht="15" customHeight="1" x14ac:dyDescent="0.35">
      <c r="A5" s="4" t="s">
        <v>80</v>
      </c>
      <c r="B5" s="4" t="str">
        <f>IF(Suppliers!A3="","",Suppliers!A3)</f>
        <v>Beta Software AG</v>
      </c>
      <c r="C5" s="10">
        <f>IF(Suppliers!C3="","",Suppliers!C3)</f>
        <v>504.2</v>
      </c>
      <c r="D5" s="10">
        <f>IF(Suppliers!D3="","",Suppliers!D3)</f>
        <v>600</v>
      </c>
      <c r="E5" s="4" t="str">
        <f>IF(Suppliers!E3="","",Suppliers!E3)</f>
        <v>Annual</v>
      </c>
      <c r="F5" s="10">
        <f ca="1">IFERROR(IF(OR(0&gt;=$B$1,Suppliers!A3="",NOT(ISNUMBER(Suppliers!D3)),Suppliers!L3="Expired",Suppliers!L3="Terminate"),"",Suppliers!D3*-1*IF(Suppliers!E3="Monthly",IF(AND(ISNUMBER(Suppliers!G3),(YEAR(EDATE(DATE(YEAR(TODAY()),MONTH(TODAY()),1),0))*12+MONTH(EDATE(DATE(YEAR(TODAY()),MONTH(TODAY()),1),0)))&gt;(YEAR(Suppliers!G3)*12+MONTH(Suppliers!G3))),"",1),IF(Suppliers!E3="Quarterly",IF(MOD((YEAR(EDATE(DATE(YEAR(TODAY()),MONTH(TODAY()),1),0))-YEAR(IF(ISNUMBER(Suppliers!F3),Suppliers!F3,DATE(YEAR(TODAY()),MONTH(TODAY()),1))))*12+MONTH(EDATE(DATE(YEAR(TODAY()),MONTH(TODAY()),1),0))-MONTH(IF(ISNUMBER(Suppliers!F3),Suppliers!F3,DATE(YEAR(TODAY()),MONTH(TODAY()),1))),3)=0,1,0),IF(Suppliers!E3="Semi-annual",IF(MOD((YEAR(EDATE(DATE(YEAR(TODAY()),MONTH(TODAY()),1),0))-YEAR(IF(ISNUMBER(Suppliers!F3),Suppliers!F3,DATE(YEAR(TODAY()),MONTH(TODAY()),1))))*12+MONTH(EDATE(DATE(YEAR(TODAY()),MONTH(TODAY()),1),0))-MONTH(IF(ISNUMBER(Suppliers!F3),Suppliers!F3,DATE(YEAR(TODAY()),MONTH(TODAY()),1))),6)=0,1,0),IF(Suppliers!E3="Annual",IF(MOD((YEAR(EDATE(DATE(YEAR(TODAY()),MONTH(TODAY()),1),0))-YEAR(IF(ISNUMBER(Suppliers!F3),Suppliers!F3,DATE(YEAR(TODAY()),MONTH(TODAY()),1))))*12+MONTH(EDATE(DATE(YEAR(TODAY()),MONTH(TODAY()),1),0))-MONTH(IF(ISNUMBER(Suppliers!F3),Suppliers!F3,DATE(YEAR(TODAY()),MONTH(TODAY()),1))),12)=0,1,0),IF(Suppliers!E3="One-time",IF(0=0,1,0),1)))))),"")</f>
        <v>0</v>
      </c>
      <c r="G5" s="10">
        <f ca="1">IFERROR(IF(OR(1&gt;=$B$1,Suppliers!A3="",NOT(ISNUMBER(Suppliers!D3)),Suppliers!L3="Expired",Suppliers!L3="Terminate"),"",Suppliers!D3*-1*IF(Suppliers!E3="Monthly",IF(AND(ISNUMBER(Suppliers!G3),(YEAR(EDATE(DATE(YEAR(TODAY()),MONTH(TODAY()),1),1))*12+MONTH(EDATE(DATE(YEAR(TODAY()),MONTH(TODAY()),1),1)))&gt;(YEAR(Suppliers!G3)*12+MONTH(Suppliers!G3))),"",1),IF(Suppliers!E3="Quarterly",IF(MOD((YEAR(EDATE(DATE(YEAR(TODAY()),MONTH(TODAY()),1),1))-YEAR(IF(ISNUMBER(Suppliers!F3),Suppliers!F3,DATE(YEAR(TODAY()),MONTH(TODAY()),1))))*12+MONTH(EDATE(DATE(YEAR(TODAY()),MONTH(TODAY()),1),1))-MONTH(IF(ISNUMBER(Suppliers!F3),Suppliers!F3,DATE(YEAR(TODAY()),MONTH(TODAY()),1))),3)=0,1,0),IF(Suppliers!E3="Semi-annual",IF(MOD((YEAR(EDATE(DATE(YEAR(TODAY()),MONTH(TODAY()),1),1))-YEAR(IF(ISNUMBER(Suppliers!F3),Suppliers!F3,DATE(YEAR(TODAY()),MONTH(TODAY()),1))))*12+MONTH(EDATE(DATE(YEAR(TODAY()),MONTH(TODAY()),1),1))-MONTH(IF(ISNUMBER(Suppliers!F3),Suppliers!F3,DATE(YEAR(TODAY()),MONTH(TODAY()),1))),6)=0,1,0),IF(Suppliers!E3="Annual",IF(MOD((YEAR(EDATE(DATE(YEAR(TODAY()),MONTH(TODAY()),1),1))-YEAR(IF(ISNUMBER(Suppliers!F3),Suppliers!F3,DATE(YEAR(TODAY()),MONTH(TODAY()),1))))*12+MONTH(EDATE(DATE(YEAR(TODAY()),MONTH(TODAY()),1),1))-MONTH(IF(ISNUMBER(Suppliers!F3),Suppliers!F3,DATE(YEAR(TODAY()),MONTH(TODAY()),1))),12)=0,1,0),IF(Suppliers!E3="One-time",IF(1=0,1,0),1)))))),"")</f>
        <v>-600</v>
      </c>
      <c r="H5" s="10">
        <f ca="1">IFERROR(IF(OR(2&gt;=$B$1,Suppliers!A3="",NOT(ISNUMBER(Suppliers!D3)),Suppliers!L3="Expired",Suppliers!L3="Terminate"),"",Suppliers!D3*-1*IF(Suppliers!E3="Monthly",IF(AND(ISNUMBER(Suppliers!G3),(YEAR(EDATE(DATE(YEAR(TODAY()),MONTH(TODAY()),1),2))*12+MONTH(EDATE(DATE(YEAR(TODAY()),MONTH(TODAY()),1),2)))&gt;(YEAR(Suppliers!G3)*12+MONTH(Suppliers!G3))),"",1),IF(Suppliers!E3="Quarterly",IF(MOD((YEAR(EDATE(DATE(YEAR(TODAY()),MONTH(TODAY()),1),2))-YEAR(IF(ISNUMBER(Suppliers!F3),Suppliers!F3,DATE(YEAR(TODAY()),MONTH(TODAY()),1))))*12+MONTH(EDATE(DATE(YEAR(TODAY()),MONTH(TODAY()),1),2))-MONTH(IF(ISNUMBER(Suppliers!F3),Suppliers!F3,DATE(YEAR(TODAY()),MONTH(TODAY()),1))),3)=0,1,0),IF(Suppliers!E3="Semi-annual",IF(MOD((YEAR(EDATE(DATE(YEAR(TODAY()),MONTH(TODAY()),1),2))-YEAR(IF(ISNUMBER(Suppliers!F3),Suppliers!F3,DATE(YEAR(TODAY()),MONTH(TODAY()),1))))*12+MONTH(EDATE(DATE(YEAR(TODAY()),MONTH(TODAY()),1),2))-MONTH(IF(ISNUMBER(Suppliers!F3),Suppliers!F3,DATE(YEAR(TODAY()),MONTH(TODAY()),1))),6)=0,1,0),IF(Suppliers!E3="Annual",IF(MOD((YEAR(EDATE(DATE(YEAR(TODAY()),MONTH(TODAY()),1),2))-YEAR(IF(ISNUMBER(Suppliers!F3),Suppliers!F3,DATE(YEAR(TODAY()),MONTH(TODAY()),1))))*12+MONTH(EDATE(DATE(YEAR(TODAY()),MONTH(TODAY()),1),2))-MONTH(IF(ISNUMBER(Suppliers!F3),Suppliers!F3,DATE(YEAR(TODAY()),MONTH(TODAY()),1))),12)=0,1,0),IF(Suppliers!E3="One-time",IF(2=0,1,0),1)))))),"")</f>
        <v>0</v>
      </c>
      <c r="I5" s="10" t="str">
        <f ca="1">IFERROR(IF(OR(3&gt;=$B$1,Suppliers!A3="",NOT(ISNUMBER(Suppliers!D3)),Suppliers!L3="Expired",Suppliers!L3="Terminate"),"",Suppliers!D3*-1*IF(Suppliers!E3="Monthly",IF(AND(ISNUMBER(Suppliers!G3),(YEAR(EDATE(DATE(YEAR(TODAY()),MONTH(TODAY()),1),3))*12+MONTH(EDATE(DATE(YEAR(TODAY()),MONTH(TODAY()),1),3)))&gt;(YEAR(Suppliers!G3)*12+MONTH(Suppliers!G3))),"",1),IF(Suppliers!E3="Quarterly",IF(MOD((YEAR(EDATE(DATE(YEAR(TODAY()),MONTH(TODAY()),1),3))-YEAR(IF(ISNUMBER(Suppliers!F3),Suppliers!F3,DATE(YEAR(TODAY()),MONTH(TODAY()),1))))*12+MONTH(EDATE(DATE(YEAR(TODAY()),MONTH(TODAY()),1),3))-MONTH(IF(ISNUMBER(Suppliers!F3),Suppliers!F3,DATE(YEAR(TODAY()),MONTH(TODAY()),1))),3)=0,1,0),IF(Suppliers!E3="Semi-annual",IF(MOD((YEAR(EDATE(DATE(YEAR(TODAY()),MONTH(TODAY()),1),3))-YEAR(IF(ISNUMBER(Suppliers!F3),Suppliers!F3,DATE(YEAR(TODAY()),MONTH(TODAY()),1))))*12+MONTH(EDATE(DATE(YEAR(TODAY()),MONTH(TODAY()),1),3))-MONTH(IF(ISNUMBER(Suppliers!F3),Suppliers!F3,DATE(YEAR(TODAY()),MONTH(TODAY()),1))),6)=0,1,0),IF(Suppliers!E3="Annual",IF(MOD((YEAR(EDATE(DATE(YEAR(TODAY()),MONTH(TODAY()),1),3))-YEAR(IF(ISNUMBER(Suppliers!F3),Suppliers!F3,DATE(YEAR(TODAY()),MONTH(TODAY()),1))))*12+MONTH(EDATE(DATE(YEAR(TODAY()),MONTH(TODAY()),1),3))-MONTH(IF(ISNUMBER(Suppliers!F3),Suppliers!F3,DATE(YEAR(TODAY()),MONTH(TODAY()),1))),12)=0,1,0),IF(Suppliers!E3="One-time",IF(3=0,1,0),1)))))),"")</f>
        <v/>
      </c>
      <c r="J5" s="10" t="str">
        <f ca="1">IFERROR(IF(OR(4&gt;=$B$1,Suppliers!A3="",NOT(ISNUMBER(Suppliers!D3)),Suppliers!L3="Expired",Suppliers!L3="Terminate"),"",Suppliers!D3*-1*IF(Suppliers!E3="Monthly",IF(AND(ISNUMBER(Suppliers!G3),(YEAR(EDATE(DATE(YEAR(TODAY()),MONTH(TODAY()),1),4))*12+MONTH(EDATE(DATE(YEAR(TODAY()),MONTH(TODAY()),1),4)))&gt;(YEAR(Suppliers!G3)*12+MONTH(Suppliers!G3))),"",1),IF(Suppliers!E3="Quarterly",IF(MOD((YEAR(EDATE(DATE(YEAR(TODAY()),MONTH(TODAY()),1),4))-YEAR(IF(ISNUMBER(Suppliers!F3),Suppliers!F3,DATE(YEAR(TODAY()),MONTH(TODAY()),1))))*12+MONTH(EDATE(DATE(YEAR(TODAY()),MONTH(TODAY()),1),4))-MONTH(IF(ISNUMBER(Suppliers!F3),Suppliers!F3,DATE(YEAR(TODAY()),MONTH(TODAY()),1))),3)=0,1,0),IF(Suppliers!E3="Semi-annual",IF(MOD((YEAR(EDATE(DATE(YEAR(TODAY()),MONTH(TODAY()),1),4))-YEAR(IF(ISNUMBER(Suppliers!F3),Suppliers!F3,DATE(YEAR(TODAY()),MONTH(TODAY()),1))))*12+MONTH(EDATE(DATE(YEAR(TODAY()),MONTH(TODAY()),1),4))-MONTH(IF(ISNUMBER(Suppliers!F3),Suppliers!F3,DATE(YEAR(TODAY()),MONTH(TODAY()),1))),6)=0,1,0),IF(Suppliers!E3="Annual",IF(MOD((YEAR(EDATE(DATE(YEAR(TODAY()),MONTH(TODAY()),1),4))-YEAR(IF(ISNUMBER(Suppliers!F3),Suppliers!F3,DATE(YEAR(TODAY()),MONTH(TODAY()),1))))*12+MONTH(EDATE(DATE(YEAR(TODAY()),MONTH(TODAY()),1),4))-MONTH(IF(ISNUMBER(Suppliers!F3),Suppliers!F3,DATE(YEAR(TODAY()),MONTH(TODAY()),1))),12)=0,1,0),IF(Suppliers!E3="One-time",IF(4=0,1,0),1)))))),"")</f>
        <v/>
      </c>
      <c r="K5" s="10" t="str">
        <f ca="1">IFERROR(IF(OR(5&gt;=$B$1,Suppliers!A3="",NOT(ISNUMBER(Suppliers!D3)),Suppliers!L3="Expired",Suppliers!L3="Terminate"),"",Suppliers!D3*-1*IF(Suppliers!E3="Monthly",IF(AND(ISNUMBER(Suppliers!G3),(YEAR(EDATE(DATE(YEAR(TODAY()),MONTH(TODAY()),1),5))*12+MONTH(EDATE(DATE(YEAR(TODAY()),MONTH(TODAY()),1),5)))&gt;(YEAR(Suppliers!G3)*12+MONTH(Suppliers!G3))),"",1),IF(Suppliers!E3="Quarterly",IF(MOD((YEAR(EDATE(DATE(YEAR(TODAY()),MONTH(TODAY()),1),5))-YEAR(IF(ISNUMBER(Suppliers!F3),Suppliers!F3,DATE(YEAR(TODAY()),MONTH(TODAY()),1))))*12+MONTH(EDATE(DATE(YEAR(TODAY()),MONTH(TODAY()),1),5))-MONTH(IF(ISNUMBER(Suppliers!F3),Suppliers!F3,DATE(YEAR(TODAY()),MONTH(TODAY()),1))),3)=0,1,0),IF(Suppliers!E3="Semi-annual",IF(MOD((YEAR(EDATE(DATE(YEAR(TODAY()),MONTH(TODAY()),1),5))-YEAR(IF(ISNUMBER(Suppliers!F3),Suppliers!F3,DATE(YEAR(TODAY()),MONTH(TODAY()),1))))*12+MONTH(EDATE(DATE(YEAR(TODAY()),MONTH(TODAY()),1),5))-MONTH(IF(ISNUMBER(Suppliers!F3),Suppliers!F3,DATE(YEAR(TODAY()),MONTH(TODAY()),1))),6)=0,1,0),IF(Suppliers!E3="Annual",IF(MOD((YEAR(EDATE(DATE(YEAR(TODAY()),MONTH(TODAY()),1),5))-YEAR(IF(ISNUMBER(Suppliers!F3),Suppliers!F3,DATE(YEAR(TODAY()),MONTH(TODAY()),1))))*12+MONTH(EDATE(DATE(YEAR(TODAY()),MONTH(TODAY()),1),5))-MONTH(IF(ISNUMBER(Suppliers!F3),Suppliers!F3,DATE(YEAR(TODAY()),MONTH(TODAY()),1))),12)=0,1,0),IF(Suppliers!E3="One-time",IF(5=0,1,0),1)))))),"")</f>
        <v/>
      </c>
      <c r="L5" s="10" t="str">
        <f ca="1">IFERROR(IF(OR(6&gt;=$B$1,Suppliers!A3="",NOT(ISNUMBER(Suppliers!D3)),Suppliers!L3="Expired",Suppliers!L3="Terminate"),"",Suppliers!D3*-1*IF(Suppliers!E3="Monthly",IF(AND(ISNUMBER(Suppliers!G3),(YEAR(EDATE(DATE(YEAR(TODAY()),MONTH(TODAY()),1),6))*12+MONTH(EDATE(DATE(YEAR(TODAY()),MONTH(TODAY()),1),6)))&gt;(YEAR(Suppliers!G3)*12+MONTH(Suppliers!G3))),"",1),IF(Suppliers!E3="Quarterly",IF(MOD((YEAR(EDATE(DATE(YEAR(TODAY()),MONTH(TODAY()),1),6))-YEAR(IF(ISNUMBER(Suppliers!F3),Suppliers!F3,DATE(YEAR(TODAY()),MONTH(TODAY()),1))))*12+MONTH(EDATE(DATE(YEAR(TODAY()),MONTH(TODAY()),1),6))-MONTH(IF(ISNUMBER(Suppliers!F3),Suppliers!F3,DATE(YEAR(TODAY()),MONTH(TODAY()),1))),3)=0,1,0),IF(Suppliers!E3="Semi-annual",IF(MOD((YEAR(EDATE(DATE(YEAR(TODAY()),MONTH(TODAY()),1),6))-YEAR(IF(ISNUMBER(Suppliers!F3),Suppliers!F3,DATE(YEAR(TODAY()),MONTH(TODAY()),1))))*12+MONTH(EDATE(DATE(YEAR(TODAY()),MONTH(TODAY()),1),6))-MONTH(IF(ISNUMBER(Suppliers!F3),Suppliers!F3,DATE(YEAR(TODAY()),MONTH(TODAY()),1))),6)=0,1,0),IF(Suppliers!E3="Annual",IF(MOD((YEAR(EDATE(DATE(YEAR(TODAY()),MONTH(TODAY()),1),6))-YEAR(IF(ISNUMBER(Suppliers!F3),Suppliers!F3,DATE(YEAR(TODAY()),MONTH(TODAY()),1))))*12+MONTH(EDATE(DATE(YEAR(TODAY()),MONTH(TODAY()),1),6))-MONTH(IF(ISNUMBER(Suppliers!F3),Suppliers!F3,DATE(YEAR(TODAY()),MONTH(TODAY()),1))),12)=0,1,0),IF(Suppliers!E3="One-time",IF(6=0,1,0),1)))))),"")</f>
        <v/>
      </c>
      <c r="M5" s="10" t="str">
        <f ca="1">IFERROR(IF(OR(7&gt;=$B$1,Suppliers!A3="",NOT(ISNUMBER(Suppliers!D3)),Suppliers!L3="Expired",Suppliers!L3="Terminate"),"",Suppliers!D3*-1*IF(Suppliers!E3="Monthly",IF(AND(ISNUMBER(Suppliers!G3),(YEAR(EDATE(DATE(YEAR(TODAY()),MONTH(TODAY()),1),7))*12+MONTH(EDATE(DATE(YEAR(TODAY()),MONTH(TODAY()),1),7)))&gt;(YEAR(Suppliers!G3)*12+MONTH(Suppliers!G3))),"",1),IF(Suppliers!E3="Quarterly",IF(MOD((YEAR(EDATE(DATE(YEAR(TODAY()),MONTH(TODAY()),1),7))-YEAR(IF(ISNUMBER(Suppliers!F3),Suppliers!F3,DATE(YEAR(TODAY()),MONTH(TODAY()),1))))*12+MONTH(EDATE(DATE(YEAR(TODAY()),MONTH(TODAY()),1),7))-MONTH(IF(ISNUMBER(Suppliers!F3),Suppliers!F3,DATE(YEAR(TODAY()),MONTH(TODAY()),1))),3)=0,1,0),IF(Suppliers!E3="Semi-annual",IF(MOD((YEAR(EDATE(DATE(YEAR(TODAY()),MONTH(TODAY()),1),7))-YEAR(IF(ISNUMBER(Suppliers!F3),Suppliers!F3,DATE(YEAR(TODAY()),MONTH(TODAY()),1))))*12+MONTH(EDATE(DATE(YEAR(TODAY()),MONTH(TODAY()),1),7))-MONTH(IF(ISNUMBER(Suppliers!F3),Suppliers!F3,DATE(YEAR(TODAY()),MONTH(TODAY()),1))),6)=0,1,0),IF(Suppliers!E3="Annual",IF(MOD((YEAR(EDATE(DATE(YEAR(TODAY()),MONTH(TODAY()),1),7))-YEAR(IF(ISNUMBER(Suppliers!F3),Suppliers!F3,DATE(YEAR(TODAY()),MONTH(TODAY()),1))))*12+MONTH(EDATE(DATE(YEAR(TODAY()),MONTH(TODAY()),1),7))-MONTH(IF(ISNUMBER(Suppliers!F3),Suppliers!F3,DATE(YEAR(TODAY()),MONTH(TODAY()),1))),12)=0,1,0),IF(Suppliers!E3="One-time",IF(7=0,1,0),1)))))),"")</f>
        <v/>
      </c>
      <c r="N5" s="10" t="str">
        <f ca="1">IFERROR(IF(OR(8&gt;=$B$1,Suppliers!A3="",NOT(ISNUMBER(Suppliers!D3)),Suppliers!L3="Expired",Suppliers!L3="Terminate"),"",Suppliers!D3*-1*IF(Suppliers!E3="Monthly",IF(AND(ISNUMBER(Suppliers!G3),(YEAR(EDATE(DATE(YEAR(TODAY()),MONTH(TODAY()),1),8))*12+MONTH(EDATE(DATE(YEAR(TODAY()),MONTH(TODAY()),1),8)))&gt;(YEAR(Suppliers!G3)*12+MONTH(Suppliers!G3))),"",1),IF(Suppliers!E3="Quarterly",IF(MOD((YEAR(EDATE(DATE(YEAR(TODAY()),MONTH(TODAY()),1),8))-YEAR(IF(ISNUMBER(Suppliers!F3),Suppliers!F3,DATE(YEAR(TODAY()),MONTH(TODAY()),1))))*12+MONTH(EDATE(DATE(YEAR(TODAY()),MONTH(TODAY()),1),8))-MONTH(IF(ISNUMBER(Suppliers!F3),Suppliers!F3,DATE(YEAR(TODAY()),MONTH(TODAY()),1))),3)=0,1,0),IF(Suppliers!E3="Semi-annual",IF(MOD((YEAR(EDATE(DATE(YEAR(TODAY()),MONTH(TODAY()),1),8))-YEAR(IF(ISNUMBER(Suppliers!F3),Suppliers!F3,DATE(YEAR(TODAY()),MONTH(TODAY()),1))))*12+MONTH(EDATE(DATE(YEAR(TODAY()),MONTH(TODAY()),1),8))-MONTH(IF(ISNUMBER(Suppliers!F3),Suppliers!F3,DATE(YEAR(TODAY()),MONTH(TODAY()),1))),6)=0,1,0),IF(Suppliers!E3="Annual",IF(MOD((YEAR(EDATE(DATE(YEAR(TODAY()),MONTH(TODAY()),1),8))-YEAR(IF(ISNUMBER(Suppliers!F3),Suppliers!F3,DATE(YEAR(TODAY()),MONTH(TODAY()),1))))*12+MONTH(EDATE(DATE(YEAR(TODAY()),MONTH(TODAY()),1),8))-MONTH(IF(ISNUMBER(Suppliers!F3),Suppliers!F3,DATE(YEAR(TODAY()),MONTH(TODAY()),1))),12)=0,1,0),IF(Suppliers!E3="One-time",IF(8=0,1,0),1)))))),"")</f>
        <v/>
      </c>
      <c r="O5" s="10" t="str">
        <f ca="1">IFERROR(IF(OR(9&gt;=$B$1,Suppliers!A3="",NOT(ISNUMBER(Suppliers!D3)),Suppliers!L3="Expired",Suppliers!L3="Terminate"),"",Suppliers!D3*-1*IF(Suppliers!E3="Monthly",IF(AND(ISNUMBER(Suppliers!G3),(YEAR(EDATE(DATE(YEAR(TODAY()),MONTH(TODAY()),1),9))*12+MONTH(EDATE(DATE(YEAR(TODAY()),MONTH(TODAY()),1),9)))&gt;(YEAR(Suppliers!G3)*12+MONTH(Suppliers!G3))),"",1),IF(Suppliers!E3="Quarterly",IF(MOD((YEAR(EDATE(DATE(YEAR(TODAY()),MONTH(TODAY()),1),9))-YEAR(IF(ISNUMBER(Suppliers!F3),Suppliers!F3,DATE(YEAR(TODAY()),MONTH(TODAY()),1))))*12+MONTH(EDATE(DATE(YEAR(TODAY()),MONTH(TODAY()),1),9))-MONTH(IF(ISNUMBER(Suppliers!F3),Suppliers!F3,DATE(YEAR(TODAY()),MONTH(TODAY()),1))),3)=0,1,0),IF(Suppliers!E3="Semi-annual",IF(MOD((YEAR(EDATE(DATE(YEAR(TODAY()),MONTH(TODAY()),1),9))-YEAR(IF(ISNUMBER(Suppliers!F3),Suppliers!F3,DATE(YEAR(TODAY()),MONTH(TODAY()),1))))*12+MONTH(EDATE(DATE(YEAR(TODAY()),MONTH(TODAY()),1),9))-MONTH(IF(ISNUMBER(Suppliers!F3),Suppliers!F3,DATE(YEAR(TODAY()),MONTH(TODAY()),1))),6)=0,1,0),IF(Suppliers!E3="Annual",IF(MOD((YEAR(EDATE(DATE(YEAR(TODAY()),MONTH(TODAY()),1),9))-YEAR(IF(ISNUMBER(Suppliers!F3),Suppliers!F3,DATE(YEAR(TODAY()),MONTH(TODAY()),1))))*12+MONTH(EDATE(DATE(YEAR(TODAY()),MONTH(TODAY()),1),9))-MONTH(IF(ISNUMBER(Suppliers!F3),Suppliers!F3,DATE(YEAR(TODAY()),MONTH(TODAY()),1))),12)=0,1,0),IF(Suppliers!E3="One-time",IF(9=0,1,0),1)))))),"")</f>
        <v/>
      </c>
      <c r="P5" s="10" t="str">
        <f ca="1">IFERROR(IF(OR(10&gt;=$B$1,Suppliers!A3="",NOT(ISNUMBER(Suppliers!D3)),Suppliers!L3="Expired",Suppliers!L3="Terminate"),"",Suppliers!D3*-1*IF(Suppliers!E3="Monthly",IF(AND(ISNUMBER(Suppliers!G3),(YEAR(EDATE(DATE(YEAR(TODAY()),MONTH(TODAY()),1),10))*12+MONTH(EDATE(DATE(YEAR(TODAY()),MONTH(TODAY()),1),10)))&gt;(YEAR(Suppliers!G3)*12+MONTH(Suppliers!G3))),"",1),IF(Suppliers!E3="Quarterly",IF(MOD((YEAR(EDATE(DATE(YEAR(TODAY()),MONTH(TODAY()),1),10))-YEAR(IF(ISNUMBER(Suppliers!F3),Suppliers!F3,DATE(YEAR(TODAY()),MONTH(TODAY()),1))))*12+MONTH(EDATE(DATE(YEAR(TODAY()),MONTH(TODAY()),1),10))-MONTH(IF(ISNUMBER(Suppliers!F3),Suppliers!F3,DATE(YEAR(TODAY()),MONTH(TODAY()),1))),3)=0,1,0),IF(Suppliers!E3="Semi-annual",IF(MOD((YEAR(EDATE(DATE(YEAR(TODAY()),MONTH(TODAY()),1),10))-YEAR(IF(ISNUMBER(Suppliers!F3),Suppliers!F3,DATE(YEAR(TODAY()),MONTH(TODAY()),1))))*12+MONTH(EDATE(DATE(YEAR(TODAY()),MONTH(TODAY()),1),10))-MONTH(IF(ISNUMBER(Suppliers!F3),Suppliers!F3,DATE(YEAR(TODAY()),MONTH(TODAY()),1))),6)=0,1,0),IF(Suppliers!E3="Annual",IF(MOD((YEAR(EDATE(DATE(YEAR(TODAY()),MONTH(TODAY()),1),10))-YEAR(IF(ISNUMBER(Suppliers!F3),Suppliers!F3,DATE(YEAR(TODAY()),MONTH(TODAY()),1))))*12+MONTH(EDATE(DATE(YEAR(TODAY()),MONTH(TODAY()),1),10))-MONTH(IF(ISNUMBER(Suppliers!F3),Suppliers!F3,DATE(YEAR(TODAY()),MONTH(TODAY()),1))),12)=0,1,0),IF(Suppliers!E3="One-time",IF(10=0,1,0),1)))))),"")</f>
        <v/>
      </c>
      <c r="Q5" s="10" t="str">
        <f ca="1">IFERROR(IF(OR(11&gt;=$B$1,Suppliers!A3="",NOT(ISNUMBER(Suppliers!D3)),Suppliers!L3="Expired",Suppliers!L3="Terminate"),"",Suppliers!D3*-1*IF(Suppliers!E3="Monthly",IF(AND(ISNUMBER(Suppliers!G3),(YEAR(EDATE(DATE(YEAR(TODAY()),MONTH(TODAY()),1),11))*12+MONTH(EDATE(DATE(YEAR(TODAY()),MONTH(TODAY()),1),11)))&gt;(YEAR(Suppliers!G3)*12+MONTH(Suppliers!G3))),"",1),IF(Suppliers!E3="Quarterly",IF(MOD((YEAR(EDATE(DATE(YEAR(TODAY()),MONTH(TODAY()),1),11))-YEAR(IF(ISNUMBER(Suppliers!F3),Suppliers!F3,DATE(YEAR(TODAY()),MONTH(TODAY()),1))))*12+MONTH(EDATE(DATE(YEAR(TODAY()),MONTH(TODAY()),1),11))-MONTH(IF(ISNUMBER(Suppliers!F3),Suppliers!F3,DATE(YEAR(TODAY()),MONTH(TODAY()),1))),3)=0,1,0),IF(Suppliers!E3="Semi-annual",IF(MOD((YEAR(EDATE(DATE(YEAR(TODAY()),MONTH(TODAY()),1),11))-YEAR(IF(ISNUMBER(Suppliers!F3),Suppliers!F3,DATE(YEAR(TODAY()),MONTH(TODAY()),1))))*12+MONTH(EDATE(DATE(YEAR(TODAY()),MONTH(TODAY()),1),11))-MONTH(IF(ISNUMBER(Suppliers!F3),Suppliers!F3,DATE(YEAR(TODAY()),MONTH(TODAY()),1))),6)=0,1,0),IF(Suppliers!E3="Annual",IF(MOD((YEAR(EDATE(DATE(YEAR(TODAY()),MONTH(TODAY()),1),11))-YEAR(IF(ISNUMBER(Suppliers!F3),Suppliers!F3,DATE(YEAR(TODAY()),MONTH(TODAY()),1))))*12+MONTH(EDATE(DATE(YEAR(TODAY()),MONTH(TODAY()),1),11))-MONTH(IF(ISNUMBER(Suppliers!F3),Suppliers!F3,DATE(YEAR(TODAY()),MONTH(TODAY()),1))),12)=0,1,0),IF(Suppliers!E3="One-time",IF(11=0,1,0),1)))))),"")</f>
        <v/>
      </c>
      <c r="R5" s="10" t="str">
        <f ca="1">IFERROR(IF(OR(12&gt;=$B$1,Suppliers!A3="",NOT(ISNUMBER(Suppliers!D3)),Suppliers!L3="Expired",Suppliers!L3="Terminate"),"",Suppliers!D3*-1*IF(Suppliers!E3="Monthly",IF(AND(ISNUMBER(Suppliers!G3),(YEAR(EDATE(DATE(YEAR(TODAY()),MONTH(TODAY()),1),12))*12+MONTH(EDATE(DATE(YEAR(TODAY()),MONTH(TODAY()),1),12)))&gt;(YEAR(Suppliers!G3)*12+MONTH(Suppliers!G3))),"",1),IF(Suppliers!E3="Quarterly",IF(MOD((YEAR(EDATE(DATE(YEAR(TODAY()),MONTH(TODAY()),1),12))-YEAR(IF(ISNUMBER(Suppliers!F3),Suppliers!F3,DATE(YEAR(TODAY()),MONTH(TODAY()),1))))*12+MONTH(EDATE(DATE(YEAR(TODAY()),MONTH(TODAY()),1),12))-MONTH(IF(ISNUMBER(Suppliers!F3),Suppliers!F3,DATE(YEAR(TODAY()),MONTH(TODAY()),1))),3)=0,1,0),IF(Suppliers!E3="Semi-annual",IF(MOD((YEAR(EDATE(DATE(YEAR(TODAY()),MONTH(TODAY()),1),12))-YEAR(IF(ISNUMBER(Suppliers!F3),Suppliers!F3,DATE(YEAR(TODAY()),MONTH(TODAY()),1))))*12+MONTH(EDATE(DATE(YEAR(TODAY()),MONTH(TODAY()),1),12))-MONTH(IF(ISNUMBER(Suppliers!F3),Suppliers!F3,DATE(YEAR(TODAY()),MONTH(TODAY()),1))),6)=0,1,0),IF(Suppliers!E3="Annual",IF(MOD((YEAR(EDATE(DATE(YEAR(TODAY()),MONTH(TODAY()),1),12))-YEAR(IF(ISNUMBER(Suppliers!F3),Suppliers!F3,DATE(YEAR(TODAY()),MONTH(TODAY()),1))))*12+MONTH(EDATE(DATE(YEAR(TODAY()),MONTH(TODAY()),1),12))-MONTH(IF(ISNUMBER(Suppliers!F3),Suppliers!F3,DATE(YEAR(TODAY()),MONTH(TODAY()),1))),12)=0,1,0),IF(Suppliers!E3="One-time",IF(12=0,1,0),1)))))),"")</f>
        <v/>
      </c>
      <c r="S5" s="10" t="str">
        <f ca="1">IFERROR(IF(OR(13&gt;=$B$1,Suppliers!A3="",NOT(ISNUMBER(Suppliers!D3)),Suppliers!L3="Expired",Suppliers!L3="Terminate"),"",Suppliers!D3*-1*IF(Suppliers!E3="Monthly",IF(AND(ISNUMBER(Suppliers!G3),(YEAR(EDATE(DATE(YEAR(TODAY()),MONTH(TODAY()),1),13))*12+MONTH(EDATE(DATE(YEAR(TODAY()),MONTH(TODAY()),1),13)))&gt;(YEAR(Suppliers!G3)*12+MONTH(Suppliers!G3))),"",1),IF(Suppliers!E3="Quarterly",IF(MOD((YEAR(EDATE(DATE(YEAR(TODAY()),MONTH(TODAY()),1),13))-YEAR(IF(ISNUMBER(Suppliers!F3),Suppliers!F3,DATE(YEAR(TODAY()),MONTH(TODAY()),1))))*12+MONTH(EDATE(DATE(YEAR(TODAY()),MONTH(TODAY()),1),13))-MONTH(IF(ISNUMBER(Suppliers!F3),Suppliers!F3,DATE(YEAR(TODAY()),MONTH(TODAY()),1))),3)=0,1,0),IF(Suppliers!E3="Semi-annual",IF(MOD((YEAR(EDATE(DATE(YEAR(TODAY()),MONTH(TODAY()),1),13))-YEAR(IF(ISNUMBER(Suppliers!F3),Suppliers!F3,DATE(YEAR(TODAY()),MONTH(TODAY()),1))))*12+MONTH(EDATE(DATE(YEAR(TODAY()),MONTH(TODAY()),1),13))-MONTH(IF(ISNUMBER(Suppliers!F3),Suppliers!F3,DATE(YEAR(TODAY()),MONTH(TODAY()),1))),6)=0,1,0),IF(Suppliers!E3="Annual",IF(MOD((YEAR(EDATE(DATE(YEAR(TODAY()),MONTH(TODAY()),1),13))-YEAR(IF(ISNUMBER(Suppliers!F3),Suppliers!F3,DATE(YEAR(TODAY()),MONTH(TODAY()),1))))*12+MONTH(EDATE(DATE(YEAR(TODAY()),MONTH(TODAY()),1),13))-MONTH(IF(ISNUMBER(Suppliers!F3),Suppliers!F3,DATE(YEAR(TODAY()),MONTH(TODAY()),1))),12)=0,1,0),IF(Suppliers!E3="One-time",IF(13=0,1,0),1)))))),"")</f>
        <v/>
      </c>
      <c r="T5" s="10" t="str">
        <f ca="1">IFERROR(IF(OR(14&gt;=$B$1,Suppliers!A3="",NOT(ISNUMBER(Suppliers!D3)),Suppliers!L3="Expired",Suppliers!L3="Terminate"),"",Suppliers!D3*-1*IF(Suppliers!E3="Monthly",IF(AND(ISNUMBER(Suppliers!G3),(YEAR(EDATE(DATE(YEAR(TODAY()),MONTH(TODAY()),1),14))*12+MONTH(EDATE(DATE(YEAR(TODAY()),MONTH(TODAY()),1),14)))&gt;(YEAR(Suppliers!G3)*12+MONTH(Suppliers!G3))),"",1),IF(Suppliers!E3="Quarterly",IF(MOD((YEAR(EDATE(DATE(YEAR(TODAY()),MONTH(TODAY()),1),14))-YEAR(IF(ISNUMBER(Suppliers!F3),Suppliers!F3,DATE(YEAR(TODAY()),MONTH(TODAY()),1))))*12+MONTH(EDATE(DATE(YEAR(TODAY()),MONTH(TODAY()),1),14))-MONTH(IF(ISNUMBER(Suppliers!F3),Suppliers!F3,DATE(YEAR(TODAY()),MONTH(TODAY()),1))),3)=0,1,0),IF(Suppliers!E3="Semi-annual",IF(MOD((YEAR(EDATE(DATE(YEAR(TODAY()),MONTH(TODAY()),1),14))-YEAR(IF(ISNUMBER(Suppliers!F3),Suppliers!F3,DATE(YEAR(TODAY()),MONTH(TODAY()),1))))*12+MONTH(EDATE(DATE(YEAR(TODAY()),MONTH(TODAY()),1),14))-MONTH(IF(ISNUMBER(Suppliers!F3),Suppliers!F3,DATE(YEAR(TODAY()),MONTH(TODAY()),1))),6)=0,1,0),IF(Suppliers!E3="Annual",IF(MOD((YEAR(EDATE(DATE(YEAR(TODAY()),MONTH(TODAY()),1),14))-YEAR(IF(ISNUMBER(Suppliers!F3),Suppliers!F3,DATE(YEAR(TODAY()),MONTH(TODAY()),1))))*12+MONTH(EDATE(DATE(YEAR(TODAY()),MONTH(TODAY()),1),14))-MONTH(IF(ISNUMBER(Suppliers!F3),Suppliers!F3,DATE(YEAR(TODAY()),MONTH(TODAY()),1))),12)=0,1,0),IF(Suppliers!E3="One-time",IF(14=0,1,0),1)))))),"")</f>
        <v/>
      </c>
      <c r="U5" s="10" t="str">
        <f ca="1">IFERROR(IF(OR(15&gt;=$B$1,Suppliers!A3="",NOT(ISNUMBER(Suppliers!D3)),Suppliers!L3="Expired",Suppliers!L3="Terminate"),"",Suppliers!D3*-1*IF(Suppliers!E3="Monthly",IF(AND(ISNUMBER(Suppliers!G3),(YEAR(EDATE(DATE(YEAR(TODAY()),MONTH(TODAY()),1),15))*12+MONTH(EDATE(DATE(YEAR(TODAY()),MONTH(TODAY()),1),15)))&gt;(YEAR(Suppliers!G3)*12+MONTH(Suppliers!G3))),"",1),IF(Suppliers!E3="Quarterly",IF(MOD((YEAR(EDATE(DATE(YEAR(TODAY()),MONTH(TODAY()),1),15))-YEAR(IF(ISNUMBER(Suppliers!F3),Suppliers!F3,DATE(YEAR(TODAY()),MONTH(TODAY()),1))))*12+MONTH(EDATE(DATE(YEAR(TODAY()),MONTH(TODAY()),1),15))-MONTH(IF(ISNUMBER(Suppliers!F3),Suppliers!F3,DATE(YEAR(TODAY()),MONTH(TODAY()),1))),3)=0,1,0),IF(Suppliers!E3="Semi-annual",IF(MOD((YEAR(EDATE(DATE(YEAR(TODAY()),MONTH(TODAY()),1),15))-YEAR(IF(ISNUMBER(Suppliers!F3),Suppliers!F3,DATE(YEAR(TODAY()),MONTH(TODAY()),1))))*12+MONTH(EDATE(DATE(YEAR(TODAY()),MONTH(TODAY()),1),15))-MONTH(IF(ISNUMBER(Suppliers!F3),Suppliers!F3,DATE(YEAR(TODAY()),MONTH(TODAY()),1))),6)=0,1,0),IF(Suppliers!E3="Annual",IF(MOD((YEAR(EDATE(DATE(YEAR(TODAY()),MONTH(TODAY()),1),15))-YEAR(IF(ISNUMBER(Suppliers!F3),Suppliers!F3,DATE(YEAR(TODAY()),MONTH(TODAY()),1))))*12+MONTH(EDATE(DATE(YEAR(TODAY()),MONTH(TODAY()),1),15))-MONTH(IF(ISNUMBER(Suppliers!F3),Suppliers!F3,DATE(YEAR(TODAY()),MONTH(TODAY()),1))),12)=0,1,0),IF(Suppliers!E3="One-time",IF(15=0,1,0),1)))))),"")</f>
        <v/>
      </c>
      <c r="V5" s="10" t="str">
        <f ca="1">IFERROR(IF(OR(16&gt;=$B$1,Suppliers!A3="",NOT(ISNUMBER(Suppliers!D3)),Suppliers!L3="Expired",Suppliers!L3="Terminate"),"",Suppliers!D3*-1*IF(Suppliers!E3="Monthly",IF(AND(ISNUMBER(Suppliers!G3),(YEAR(EDATE(DATE(YEAR(TODAY()),MONTH(TODAY()),1),16))*12+MONTH(EDATE(DATE(YEAR(TODAY()),MONTH(TODAY()),1),16)))&gt;(YEAR(Suppliers!G3)*12+MONTH(Suppliers!G3))),"",1),IF(Suppliers!E3="Quarterly",IF(MOD((YEAR(EDATE(DATE(YEAR(TODAY()),MONTH(TODAY()),1),16))-YEAR(IF(ISNUMBER(Suppliers!F3),Suppliers!F3,DATE(YEAR(TODAY()),MONTH(TODAY()),1))))*12+MONTH(EDATE(DATE(YEAR(TODAY()),MONTH(TODAY()),1),16))-MONTH(IF(ISNUMBER(Suppliers!F3),Suppliers!F3,DATE(YEAR(TODAY()),MONTH(TODAY()),1))),3)=0,1,0),IF(Suppliers!E3="Semi-annual",IF(MOD((YEAR(EDATE(DATE(YEAR(TODAY()),MONTH(TODAY()),1),16))-YEAR(IF(ISNUMBER(Suppliers!F3),Suppliers!F3,DATE(YEAR(TODAY()),MONTH(TODAY()),1))))*12+MONTH(EDATE(DATE(YEAR(TODAY()),MONTH(TODAY()),1),16))-MONTH(IF(ISNUMBER(Suppliers!F3),Suppliers!F3,DATE(YEAR(TODAY()),MONTH(TODAY()),1))),6)=0,1,0),IF(Suppliers!E3="Annual",IF(MOD((YEAR(EDATE(DATE(YEAR(TODAY()),MONTH(TODAY()),1),16))-YEAR(IF(ISNUMBER(Suppliers!F3),Suppliers!F3,DATE(YEAR(TODAY()),MONTH(TODAY()),1))))*12+MONTH(EDATE(DATE(YEAR(TODAY()),MONTH(TODAY()),1),16))-MONTH(IF(ISNUMBER(Suppliers!F3),Suppliers!F3,DATE(YEAR(TODAY()),MONTH(TODAY()),1))),12)=0,1,0),IF(Suppliers!E3="One-time",IF(16=0,1,0),1)))))),"")</f>
        <v/>
      </c>
      <c r="W5" s="10" t="str">
        <f ca="1">IFERROR(IF(OR(17&gt;=$B$1,Suppliers!A3="",NOT(ISNUMBER(Suppliers!D3)),Suppliers!L3="Expired",Suppliers!L3="Terminate"),"",Suppliers!D3*-1*IF(Suppliers!E3="Monthly",IF(AND(ISNUMBER(Suppliers!G3),(YEAR(EDATE(DATE(YEAR(TODAY()),MONTH(TODAY()),1),17))*12+MONTH(EDATE(DATE(YEAR(TODAY()),MONTH(TODAY()),1),17)))&gt;(YEAR(Suppliers!G3)*12+MONTH(Suppliers!G3))),"",1),IF(Suppliers!E3="Quarterly",IF(MOD((YEAR(EDATE(DATE(YEAR(TODAY()),MONTH(TODAY()),1),17))-YEAR(IF(ISNUMBER(Suppliers!F3),Suppliers!F3,DATE(YEAR(TODAY()),MONTH(TODAY()),1))))*12+MONTH(EDATE(DATE(YEAR(TODAY()),MONTH(TODAY()),1),17))-MONTH(IF(ISNUMBER(Suppliers!F3),Suppliers!F3,DATE(YEAR(TODAY()),MONTH(TODAY()),1))),3)=0,1,0),IF(Suppliers!E3="Semi-annual",IF(MOD((YEAR(EDATE(DATE(YEAR(TODAY()),MONTH(TODAY()),1),17))-YEAR(IF(ISNUMBER(Suppliers!F3),Suppliers!F3,DATE(YEAR(TODAY()),MONTH(TODAY()),1))))*12+MONTH(EDATE(DATE(YEAR(TODAY()),MONTH(TODAY()),1),17))-MONTH(IF(ISNUMBER(Suppliers!F3),Suppliers!F3,DATE(YEAR(TODAY()),MONTH(TODAY()),1))),6)=0,1,0),IF(Suppliers!E3="Annual",IF(MOD((YEAR(EDATE(DATE(YEAR(TODAY()),MONTH(TODAY()),1),17))-YEAR(IF(ISNUMBER(Suppliers!F3),Suppliers!F3,DATE(YEAR(TODAY()),MONTH(TODAY()),1))))*12+MONTH(EDATE(DATE(YEAR(TODAY()),MONTH(TODAY()),1),17))-MONTH(IF(ISNUMBER(Suppliers!F3),Suppliers!F3,DATE(YEAR(TODAY()),MONTH(TODAY()),1))),12)=0,1,0),IF(Suppliers!E3="One-time",IF(17=0,1,0),1)))))),"")</f>
        <v/>
      </c>
      <c r="X5" s="10" t="str">
        <f ca="1">IFERROR(IF(OR(18&gt;=$B$1,Suppliers!A3="",NOT(ISNUMBER(Suppliers!D3)),Suppliers!L3="Expired",Suppliers!L3="Terminate"),"",Suppliers!D3*-1*IF(Suppliers!E3="Monthly",IF(AND(ISNUMBER(Suppliers!G3),(YEAR(EDATE(DATE(YEAR(TODAY()),MONTH(TODAY()),1),18))*12+MONTH(EDATE(DATE(YEAR(TODAY()),MONTH(TODAY()),1),18)))&gt;(YEAR(Suppliers!G3)*12+MONTH(Suppliers!G3))),"",1),IF(Suppliers!E3="Quarterly",IF(MOD((YEAR(EDATE(DATE(YEAR(TODAY()),MONTH(TODAY()),1),18))-YEAR(IF(ISNUMBER(Suppliers!F3),Suppliers!F3,DATE(YEAR(TODAY()),MONTH(TODAY()),1))))*12+MONTH(EDATE(DATE(YEAR(TODAY()),MONTH(TODAY()),1),18))-MONTH(IF(ISNUMBER(Suppliers!F3),Suppliers!F3,DATE(YEAR(TODAY()),MONTH(TODAY()),1))),3)=0,1,0),IF(Suppliers!E3="Semi-annual",IF(MOD((YEAR(EDATE(DATE(YEAR(TODAY()),MONTH(TODAY()),1),18))-YEAR(IF(ISNUMBER(Suppliers!F3),Suppliers!F3,DATE(YEAR(TODAY()),MONTH(TODAY()),1))))*12+MONTH(EDATE(DATE(YEAR(TODAY()),MONTH(TODAY()),1),18))-MONTH(IF(ISNUMBER(Suppliers!F3),Suppliers!F3,DATE(YEAR(TODAY()),MONTH(TODAY()),1))),6)=0,1,0),IF(Suppliers!E3="Annual",IF(MOD((YEAR(EDATE(DATE(YEAR(TODAY()),MONTH(TODAY()),1),18))-YEAR(IF(ISNUMBER(Suppliers!F3),Suppliers!F3,DATE(YEAR(TODAY()),MONTH(TODAY()),1))))*12+MONTH(EDATE(DATE(YEAR(TODAY()),MONTH(TODAY()),1),18))-MONTH(IF(ISNUMBER(Suppliers!F3),Suppliers!F3,DATE(YEAR(TODAY()),MONTH(TODAY()),1))),12)=0,1,0),IF(Suppliers!E3="One-time",IF(18=0,1,0),1)))))),"")</f>
        <v/>
      </c>
      <c r="Y5" s="10" t="str">
        <f ca="1">IFERROR(IF(OR(19&gt;=$B$1,Suppliers!A3="",NOT(ISNUMBER(Suppliers!D3)),Suppliers!L3="Expired",Suppliers!L3="Terminate"),"",Suppliers!D3*-1*IF(Suppliers!E3="Monthly",IF(AND(ISNUMBER(Suppliers!G3),(YEAR(EDATE(DATE(YEAR(TODAY()),MONTH(TODAY()),1),19))*12+MONTH(EDATE(DATE(YEAR(TODAY()),MONTH(TODAY()),1),19)))&gt;(YEAR(Suppliers!G3)*12+MONTH(Suppliers!G3))),"",1),IF(Suppliers!E3="Quarterly",IF(MOD((YEAR(EDATE(DATE(YEAR(TODAY()),MONTH(TODAY()),1),19))-YEAR(IF(ISNUMBER(Suppliers!F3),Suppliers!F3,DATE(YEAR(TODAY()),MONTH(TODAY()),1))))*12+MONTH(EDATE(DATE(YEAR(TODAY()),MONTH(TODAY()),1),19))-MONTH(IF(ISNUMBER(Suppliers!F3),Suppliers!F3,DATE(YEAR(TODAY()),MONTH(TODAY()),1))),3)=0,1,0),IF(Suppliers!E3="Semi-annual",IF(MOD((YEAR(EDATE(DATE(YEAR(TODAY()),MONTH(TODAY()),1),19))-YEAR(IF(ISNUMBER(Suppliers!F3),Suppliers!F3,DATE(YEAR(TODAY()),MONTH(TODAY()),1))))*12+MONTH(EDATE(DATE(YEAR(TODAY()),MONTH(TODAY()),1),19))-MONTH(IF(ISNUMBER(Suppliers!F3),Suppliers!F3,DATE(YEAR(TODAY()),MONTH(TODAY()),1))),6)=0,1,0),IF(Suppliers!E3="Annual",IF(MOD((YEAR(EDATE(DATE(YEAR(TODAY()),MONTH(TODAY()),1),19))-YEAR(IF(ISNUMBER(Suppliers!F3),Suppliers!F3,DATE(YEAR(TODAY()),MONTH(TODAY()),1))))*12+MONTH(EDATE(DATE(YEAR(TODAY()),MONTH(TODAY()),1),19))-MONTH(IF(ISNUMBER(Suppliers!F3),Suppliers!F3,DATE(YEAR(TODAY()),MONTH(TODAY()),1))),12)=0,1,0),IF(Suppliers!E3="One-time",IF(19=0,1,0),1)))))),"")</f>
        <v/>
      </c>
      <c r="Z5" s="10" t="str">
        <f ca="1">IFERROR(IF(OR(20&gt;=$B$1,Suppliers!A3="",NOT(ISNUMBER(Suppliers!D3)),Suppliers!L3="Expired",Suppliers!L3="Terminate"),"",Suppliers!D3*-1*IF(Suppliers!E3="Monthly",IF(AND(ISNUMBER(Suppliers!G3),(YEAR(EDATE(DATE(YEAR(TODAY()),MONTH(TODAY()),1),20))*12+MONTH(EDATE(DATE(YEAR(TODAY()),MONTH(TODAY()),1),20)))&gt;(YEAR(Suppliers!G3)*12+MONTH(Suppliers!G3))),"",1),IF(Suppliers!E3="Quarterly",IF(MOD((YEAR(EDATE(DATE(YEAR(TODAY()),MONTH(TODAY()),1),20))-YEAR(IF(ISNUMBER(Suppliers!F3),Suppliers!F3,DATE(YEAR(TODAY()),MONTH(TODAY()),1))))*12+MONTH(EDATE(DATE(YEAR(TODAY()),MONTH(TODAY()),1),20))-MONTH(IF(ISNUMBER(Suppliers!F3),Suppliers!F3,DATE(YEAR(TODAY()),MONTH(TODAY()),1))),3)=0,1,0),IF(Suppliers!E3="Semi-annual",IF(MOD((YEAR(EDATE(DATE(YEAR(TODAY()),MONTH(TODAY()),1),20))-YEAR(IF(ISNUMBER(Suppliers!F3),Suppliers!F3,DATE(YEAR(TODAY()),MONTH(TODAY()),1))))*12+MONTH(EDATE(DATE(YEAR(TODAY()),MONTH(TODAY()),1),20))-MONTH(IF(ISNUMBER(Suppliers!F3),Suppliers!F3,DATE(YEAR(TODAY()),MONTH(TODAY()),1))),6)=0,1,0),IF(Suppliers!E3="Annual",IF(MOD((YEAR(EDATE(DATE(YEAR(TODAY()),MONTH(TODAY()),1),20))-YEAR(IF(ISNUMBER(Suppliers!F3),Suppliers!F3,DATE(YEAR(TODAY()),MONTH(TODAY()),1))))*12+MONTH(EDATE(DATE(YEAR(TODAY()),MONTH(TODAY()),1),20))-MONTH(IF(ISNUMBER(Suppliers!F3),Suppliers!F3,DATE(YEAR(TODAY()),MONTH(TODAY()),1))),12)=0,1,0),IF(Suppliers!E3="One-time",IF(20=0,1,0),1)))))),"")</f>
        <v/>
      </c>
      <c r="AA5" s="10" t="str">
        <f ca="1">IFERROR(IF(OR(21&gt;=$B$1,Suppliers!A3="",NOT(ISNUMBER(Suppliers!D3)),Suppliers!L3="Expired",Suppliers!L3="Terminate"),"",Suppliers!D3*-1*IF(Suppliers!E3="Monthly",IF(AND(ISNUMBER(Suppliers!G3),(YEAR(EDATE(DATE(YEAR(TODAY()),MONTH(TODAY()),1),21))*12+MONTH(EDATE(DATE(YEAR(TODAY()),MONTH(TODAY()),1),21)))&gt;(YEAR(Suppliers!G3)*12+MONTH(Suppliers!G3))),"",1),IF(Suppliers!E3="Quarterly",IF(MOD((YEAR(EDATE(DATE(YEAR(TODAY()),MONTH(TODAY()),1),21))-YEAR(IF(ISNUMBER(Suppliers!F3),Suppliers!F3,DATE(YEAR(TODAY()),MONTH(TODAY()),1))))*12+MONTH(EDATE(DATE(YEAR(TODAY()),MONTH(TODAY()),1),21))-MONTH(IF(ISNUMBER(Suppliers!F3),Suppliers!F3,DATE(YEAR(TODAY()),MONTH(TODAY()),1))),3)=0,1,0),IF(Suppliers!E3="Semi-annual",IF(MOD((YEAR(EDATE(DATE(YEAR(TODAY()),MONTH(TODAY()),1),21))-YEAR(IF(ISNUMBER(Suppliers!F3),Suppliers!F3,DATE(YEAR(TODAY()),MONTH(TODAY()),1))))*12+MONTH(EDATE(DATE(YEAR(TODAY()),MONTH(TODAY()),1),21))-MONTH(IF(ISNUMBER(Suppliers!F3),Suppliers!F3,DATE(YEAR(TODAY()),MONTH(TODAY()),1))),6)=0,1,0),IF(Suppliers!E3="Annual",IF(MOD((YEAR(EDATE(DATE(YEAR(TODAY()),MONTH(TODAY()),1),21))-YEAR(IF(ISNUMBER(Suppliers!F3),Suppliers!F3,DATE(YEAR(TODAY()),MONTH(TODAY()),1))))*12+MONTH(EDATE(DATE(YEAR(TODAY()),MONTH(TODAY()),1),21))-MONTH(IF(ISNUMBER(Suppliers!F3),Suppliers!F3,DATE(YEAR(TODAY()),MONTH(TODAY()),1))),12)=0,1,0),IF(Suppliers!E3="One-time",IF(21=0,1,0),1)))))),"")</f>
        <v/>
      </c>
      <c r="AB5" s="10" t="str">
        <f ca="1">IFERROR(IF(OR(22&gt;=$B$1,Suppliers!A3="",NOT(ISNUMBER(Suppliers!D3)),Suppliers!L3="Expired",Suppliers!L3="Terminate"),"",Suppliers!D3*-1*IF(Suppliers!E3="Monthly",IF(AND(ISNUMBER(Suppliers!G3),(YEAR(EDATE(DATE(YEAR(TODAY()),MONTH(TODAY()),1),22))*12+MONTH(EDATE(DATE(YEAR(TODAY()),MONTH(TODAY()),1),22)))&gt;(YEAR(Suppliers!G3)*12+MONTH(Suppliers!G3))),"",1),IF(Suppliers!E3="Quarterly",IF(MOD((YEAR(EDATE(DATE(YEAR(TODAY()),MONTH(TODAY()),1),22))-YEAR(IF(ISNUMBER(Suppliers!F3),Suppliers!F3,DATE(YEAR(TODAY()),MONTH(TODAY()),1))))*12+MONTH(EDATE(DATE(YEAR(TODAY()),MONTH(TODAY()),1),22))-MONTH(IF(ISNUMBER(Suppliers!F3),Suppliers!F3,DATE(YEAR(TODAY()),MONTH(TODAY()),1))),3)=0,1,0),IF(Suppliers!E3="Semi-annual",IF(MOD((YEAR(EDATE(DATE(YEAR(TODAY()),MONTH(TODAY()),1),22))-YEAR(IF(ISNUMBER(Suppliers!F3),Suppliers!F3,DATE(YEAR(TODAY()),MONTH(TODAY()),1))))*12+MONTH(EDATE(DATE(YEAR(TODAY()),MONTH(TODAY()),1),22))-MONTH(IF(ISNUMBER(Suppliers!F3),Suppliers!F3,DATE(YEAR(TODAY()),MONTH(TODAY()),1))),6)=0,1,0),IF(Suppliers!E3="Annual",IF(MOD((YEAR(EDATE(DATE(YEAR(TODAY()),MONTH(TODAY()),1),22))-YEAR(IF(ISNUMBER(Suppliers!F3),Suppliers!F3,DATE(YEAR(TODAY()),MONTH(TODAY()),1))))*12+MONTH(EDATE(DATE(YEAR(TODAY()),MONTH(TODAY()),1),22))-MONTH(IF(ISNUMBER(Suppliers!F3),Suppliers!F3,DATE(YEAR(TODAY()),MONTH(TODAY()),1))),12)=0,1,0),IF(Suppliers!E3="One-time",IF(22=0,1,0),1)))))),"")</f>
        <v/>
      </c>
      <c r="AC5" s="10" t="str">
        <f ca="1">IFERROR(IF(OR(23&gt;=$B$1,Suppliers!A3="",NOT(ISNUMBER(Suppliers!D3)),Suppliers!L3="Expired",Suppliers!L3="Terminate"),"",Suppliers!D3*-1*IF(Suppliers!E3="Monthly",IF(AND(ISNUMBER(Suppliers!G3),(YEAR(EDATE(DATE(YEAR(TODAY()),MONTH(TODAY()),1),23))*12+MONTH(EDATE(DATE(YEAR(TODAY()),MONTH(TODAY()),1),23)))&gt;(YEAR(Suppliers!G3)*12+MONTH(Suppliers!G3))),"",1),IF(Suppliers!E3="Quarterly",IF(MOD((YEAR(EDATE(DATE(YEAR(TODAY()),MONTH(TODAY()),1),23))-YEAR(IF(ISNUMBER(Suppliers!F3),Suppliers!F3,DATE(YEAR(TODAY()),MONTH(TODAY()),1))))*12+MONTH(EDATE(DATE(YEAR(TODAY()),MONTH(TODAY()),1),23))-MONTH(IF(ISNUMBER(Suppliers!F3),Suppliers!F3,DATE(YEAR(TODAY()),MONTH(TODAY()),1))),3)=0,1,0),IF(Suppliers!E3="Semi-annual",IF(MOD((YEAR(EDATE(DATE(YEAR(TODAY()),MONTH(TODAY()),1),23))-YEAR(IF(ISNUMBER(Suppliers!F3),Suppliers!F3,DATE(YEAR(TODAY()),MONTH(TODAY()),1))))*12+MONTH(EDATE(DATE(YEAR(TODAY()),MONTH(TODAY()),1),23))-MONTH(IF(ISNUMBER(Suppliers!F3),Suppliers!F3,DATE(YEAR(TODAY()),MONTH(TODAY()),1))),6)=0,1,0),IF(Suppliers!E3="Annual",IF(MOD((YEAR(EDATE(DATE(YEAR(TODAY()),MONTH(TODAY()),1),23))-YEAR(IF(ISNUMBER(Suppliers!F3),Suppliers!F3,DATE(YEAR(TODAY()),MONTH(TODAY()),1))))*12+MONTH(EDATE(DATE(YEAR(TODAY()),MONTH(TODAY()),1),23))-MONTH(IF(ISNUMBER(Suppliers!F3),Suppliers!F3,DATE(YEAR(TODAY()),MONTH(TODAY()),1))),12)=0,1,0),IF(Suppliers!E3="One-time",IF(23=0,1,0),1)))))),"")</f>
        <v/>
      </c>
    </row>
    <row r="6" spans="1:29" ht="15" customHeight="1" x14ac:dyDescent="0.35">
      <c r="A6" s="4" t="s">
        <v>80</v>
      </c>
      <c r="B6" s="4" t="str">
        <f>IF(Suppliers!A4="","",Suppliers!A4)</f>
        <v>Gamma Consulting</v>
      </c>
      <c r="C6" s="10">
        <f>IF(Suppliers!C4="","",Suppliers!C4)</f>
        <v>2100</v>
      </c>
      <c r="D6" s="10">
        <f>IF(Suppliers!D4="","",Suppliers!D4)</f>
        <v>2499</v>
      </c>
      <c r="E6" s="4" t="str">
        <f>IF(Suppliers!E4="","",Suppliers!E4)</f>
        <v>Monthly</v>
      </c>
      <c r="F6" s="10">
        <f ca="1">IFERROR(IF(OR(0&gt;=$B$1,Suppliers!A4="",NOT(ISNUMBER(Suppliers!D4)),Suppliers!L4="Expired",Suppliers!L4="Terminate"),"",Suppliers!D4*-1*IF(Suppliers!E4="Monthly",IF(AND(ISNUMBER(Suppliers!G4),(YEAR(EDATE(DATE(YEAR(TODAY()),MONTH(TODAY()),1),0))*12+MONTH(EDATE(DATE(YEAR(TODAY()),MONTH(TODAY()),1),0)))&gt;(YEAR(Suppliers!G4)*12+MONTH(Suppliers!G4))),"",1),IF(Suppliers!E4="Quarterly",IF(MOD((YEAR(EDATE(DATE(YEAR(TODAY()),MONTH(TODAY()),1),0))-YEAR(IF(ISNUMBER(Suppliers!F4),Suppliers!F4,DATE(YEAR(TODAY()),MONTH(TODAY()),1))))*12+MONTH(EDATE(DATE(YEAR(TODAY()),MONTH(TODAY()),1),0))-MONTH(IF(ISNUMBER(Suppliers!F4),Suppliers!F4,DATE(YEAR(TODAY()),MONTH(TODAY()),1))),3)=0,1,0),IF(Suppliers!E4="Semi-annual",IF(MOD((YEAR(EDATE(DATE(YEAR(TODAY()),MONTH(TODAY()),1),0))-YEAR(IF(ISNUMBER(Suppliers!F4),Suppliers!F4,DATE(YEAR(TODAY()),MONTH(TODAY()),1))))*12+MONTH(EDATE(DATE(YEAR(TODAY()),MONTH(TODAY()),1),0))-MONTH(IF(ISNUMBER(Suppliers!F4),Suppliers!F4,DATE(YEAR(TODAY()),MONTH(TODAY()),1))),6)=0,1,0),IF(Suppliers!E4="Annual",IF(MOD((YEAR(EDATE(DATE(YEAR(TODAY()),MONTH(TODAY()),1),0))-YEAR(IF(ISNUMBER(Suppliers!F4),Suppliers!F4,DATE(YEAR(TODAY()),MONTH(TODAY()),1))))*12+MONTH(EDATE(DATE(YEAR(TODAY()),MONTH(TODAY()),1),0))-MONTH(IF(ISNUMBER(Suppliers!F4),Suppliers!F4,DATE(YEAR(TODAY()),MONTH(TODAY()),1))),12)=0,1,0),IF(Suppliers!E4="One-time",IF(0=0,1,0),1)))))),"")</f>
        <v>-2499</v>
      </c>
      <c r="G6" s="10">
        <f ca="1">IFERROR(IF(OR(1&gt;=$B$1,Suppliers!A4="",NOT(ISNUMBER(Suppliers!D4)),Suppliers!L4="Expired",Suppliers!L4="Terminate"),"",Suppliers!D4*-1*IF(Suppliers!E4="Monthly",IF(AND(ISNUMBER(Suppliers!G4),(YEAR(EDATE(DATE(YEAR(TODAY()),MONTH(TODAY()),1),1))*12+MONTH(EDATE(DATE(YEAR(TODAY()),MONTH(TODAY()),1),1)))&gt;(YEAR(Suppliers!G4)*12+MONTH(Suppliers!G4))),"",1),IF(Suppliers!E4="Quarterly",IF(MOD((YEAR(EDATE(DATE(YEAR(TODAY()),MONTH(TODAY()),1),1))-YEAR(IF(ISNUMBER(Suppliers!F4),Suppliers!F4,DATE(YEAR(TODAY()),MONTH(TODAY()),1))))*12+MONTH(EDATE(DATE(YEAR(TODAY()),MONTH(TODAY()),1),1))-MONTH(IF(ISNUMBER(Suppliers!F4),Suppliers!F4,DATE(YEAR(TODAY()),MONTH(TODAY()),1))),3)=0,1,0),IF(Suppliers!E4="Semi-annual",IF(MOD((YEAR(EDATE(DATE(YEAR(TODAY()),MONTH(TODAY()),1),1))-YEAR(IF(ISNUMBER(Suppliers!F4),Suppliers!F4,DATE(YEAR(TODAY()),MONTH(TODAY()),1))))*12+MONTH(EDATE(DATE(YEAR(TODAY()),MONTH(TODAY()),1),1))-MONTH(IF(ISNUMBER(Suppliers!F4),Suppliers!F4,DATE(YEAR(TODAY()),MONTH(TODAY()),1))),6)=0,1,0),IF(Suppliers!E4="Annual",IF(MOD((YEAR(EDATE(DATE(YEAR(TODAY()),MONTH(TODAY()),1),1))-YEAR(IF(ISNUMBER(Suppliers!F4),Suppliers!F4,DATE(YEAR(TODAY()),MONTH(TODAY()),1))))*12+MONTH(EDATE(DATE(YEAR(TODAY()),MONTH(TODAY()),1),1))-MONTH(IF(ISNUMBER(Suppliers!F4),Suppliers!F4,DATE(YEAR(TODAY()),MONTH(TODAY()),1))),12)=0,1,0),IF(Suppliers!E4="One-time",IF(1=0,1,0),1)))))),"")</f>
        <v>-2499</v>
      </c>
      <c r="H6" s="10">
        <f ca="1">IFERROR(IF(OR(2&gt;=$B$1,Suppliers!A4="",NOT(ISNUMBER(Suppliers!D4)),Suppliers!L4="Expired",Suppliers!L4="Terminate"),"",Suppliers!D4*-1*IF(Suppliers!E4="Monthly",IF(AND(ISNUMBER(Suppliers!G4),(YEAR(EDATE(DATE(YEAR(TODAY()),MONTH(TODAY()),1),2))*12+MONTH(EDATE(DATE(YEAR(TODAY()),MONTH(TODAY()),1),2)))&gt;(YEAR(Suppliers!G4)*12+MONTH(Suppliers!G4))),"",1),IF(Suppliers!E4="Quarterly",IF(MOD((YEAR(EDATE(DATE(YEAR(TODAY()),MONTH(TODAY()),1),2))-YEAR(IF(ISNUMBER(Suppliers!F4),Suppliers!F4,DATE(YEAR(TODAY()),MONTH(TODAY()),1))))*12+MONTH(EDATE(DATE(YEAR(TODAY()),MONTH(TODAY()),1),2))-MONTH(IF(ISNUMBER(Suppliers!F4),Suppliers!F4,DATE(YEAR(TODAY()),MONTH(TODAY()),1))),3)=0,1,0),IF(Suppliers!E4="Semi-annual",IF(MOD((YEAR(EDATE(DATE(YEAR(TODAY()),MONTH(TODAY()),1),2))-YEAR(IF(ISNUMBER(Suppliers!F4),Suppliers!F4,DATE(YEAR(TODAY()),MONTH(TODAY()),1))))*12+MONTH(EDATE(DATE(YEAR(TODAY()),MONTH(TODAY()),1),2))-MONTH(IF(ISNUMBER(Suppliers!F4),Suppliers!F4,DATE(YEAR(TODAY()),MONTH(TODAY()),1))),6)=0,1,0),IF(Suppliers!E4="Annual",IF(MOD((YEAR(EDATE(DATE(YEAR(TODAY()),MONTH(TODAY()),1),2))-YEAR(IF(ISNUMBER(Suppliers!F4),Suppliers!F4,DATE(YEAR(TODAY()),MONTH(TODAY()),1))))*12+MONTH(EDATE(DATE(YEAR(TODAY()),MONTH(TODAY()),1),2))-MONTH(IF(ISNUMBER(Suppliers!F4),Suppliers!F4,DATE(YEAR(TODAY()),MONTH(TODAY()),1))),12)=0,1,0),IF(Suppliers!E4="One-time",IF(2=0,1,0),1)))))),"")</f>
        <v>-2499</v>
      </c>
      <c r="I6" s="10" t="str">
        <f ca="1">IFERROR(IF(OR(3&gt;=$B$1,Suppliers!A4="",NOT(ISNUMBER(Suppliers!D4)),Suppliers!L4="Expired",Suppliers!L4="Terminate"),"",Suppliers!D4*-1*IF(Suppliers!E4="Monthly",IF(AND(ISNUMBER(Suppliers!G4),(YEAR(EDATE(DATE(YEAR(TODAY()),MONTH(TODAY()),1),3))*12+MONTH(EDATE(DATE(YEAR(TODAY()),MONTH(TODAY()),1),3)))&gt;(YEAR(Suppliers!G4)*12+MONTH(Suppliers!G4))),"",1),IF(Suppliers!E4="Quarterly",IF(MOD((YEAR(EDATE(DATE(YEAR(TODAY()),MONTH(TODAY()),1),3))-YEAR(IF(ISNUMBER(Suppliers!F4),Suppliers!F4,DATE(YEAR(TODAY()),MONTH(TODAY()),1))))*12+MONTH(EDATE(DATE(YEAR(TODAY()),MONTH(TODAY()),1),3))-MONTH(IF(ISNUMBER(Suppliers!F4),Suppliers!F4,DATE(YEAR(TODAY()),MONTH(TODAY()),1))),3)=0,1,0),IF(Suppliers!E4="Semi-annual",IF(MOD((YEAR(EDATE(DATE(YEAR(TODAY()),MONTH(TODAY()),1),3))-YEAR(IF(ISNUMBER(Suppliers!F4),Suppliers!F4,DATE(YEAR(TODAY()),MONTH(TODAY()),1))))*12+MONTH(EDATE(DATE(YEAR(TODAY()),MONTH(TODAY()),1),3))-MONTH(IF(ISNUMBER(Suppliers!F4),Suppliers!F4,DATE(YEAR(TODAY()),MONTH(TODAY()),1))),6)=0,1,0),IF(Suppliers!E4="Annual",IF(MOD((YEAR(EDATE(DATE(YEAR(TODAY()),MONTH(TODAY()),1),3))-YEAR(IF(ISNUMBER(Suppliers!F4),Suppliers!F4,DATE(YEAR(TODAY()),MONTH(TODAY()),1))))*12+MONTH(EDATE(DATE(YEAR(TODAY()),MONTH(TODAY()),1),3))-MONTH(IF(ISNUMBER(Suppliers!F4),Suppliers!F4,DATE(YEAR(TODAY()),MONTH(TODAY()),1))),12)=0,1,0),IF(Suppliers!E4="One-time",IF(3=0,1,0),1)))))),"")</f>
        <v/>
      </c>
      <c r="J6" s="10" t="str">
        <f ca="1">IFERROR(IF(OR(4&gt;=$B$1,Suppliers!A4="",NOT(ISNUMBER(Suppliers!D4)),Suppliers!L4="Expired",Suppliers!L4="Terminate"),"",Suppliers!D4*-1*IF(Suppliers!E4="Monthly",IF(AND(ISNUMBER(Suppliers!G4),(YEAR(EDATE(DATE(YEAR(TODAY()),MONTH(TODAY()),1),4))*12+MONTH(EDATE(DATE(YEAR(TODAY()),MONTH(TODAY()),1),4)))&gt;(YEAR(Suppliers!G4)*12+MONTH(Suppliers!G4))),"",1),IF(Suppliers!E4="Quarterly",IF(MOD((YEAR(EDATE(DATE(YEAR(TODAY()),MONTH(TODAY()),1),4))-YEAR(IF(ISNUMBER(Suppliers!F4),Suppliers!F4,DATE(YEAR(TODAY()),MONTH(TODAY()),1))))*12+MONTH(EDATE(DATE(YEAR(TODAY()),MONTH(TODAY()),1),4))-MONTH(IF(ISNUMBER(Suppliers!F4),Suppliers!F4,DATE(YEAR(TODAY()),MONTH(TODAY()),1))),3)=0,1,0),IF(Suppliers!E4="Semi-annual",IF(MOD((YEAR(EDATE(DATE(YEAR(TODAY()),MONTH(TODAY()),1),4))-YEAR(IF(ISNUMBER(Suppliers!F4),Suppliers!F4,DATE(YEAR(TODAY()),MONTH(TODAY()),1))))*12+MONTH(EDATE(DATE(YEAR(TODAY()),MONTH(TODAY()),1),4))-MONTH(IF(ISNUMBER(Suppliers!F4),Suppliers!F4,DATE(YEAR(TODAY()),MONTH(TODAY()),1))),6)=0,1,0),IF(Suppliers!E4="Annual",IF(MOD((YEAR(EDATE(DATE(YEAR(TODAY()),MONTH(TODAY()),1),4))-YEAR(IF(ISNUMBER(Suppliers!F4),Suppliers!F4,DATE(YEAR(TODAY()),MONTH(TODAY()),1))))*12+MONTH(EDATE(DATE(YEAR(TODAY()),MONTH(TODAY()),1),4))-MONTH(IF(ISNUMBER(Suppliers!F4),Suppliers!F4,DATE(YEAR(TODAY()),MONTH(TODAY()),1))),12)=0,1,0),IF(Suppliers!E4="One-time",IF(4=0,1,0),1)))))),"")</f>
        <v/>
      </c>
      <c r="K6" s="10" t="str">
        <f ca="1">IFERROR(IF(OR(5&gt;=$B$1,Suppliers!A4="",NOT(ISNUMBER(Suppliers!D4)),Suppliers!L4="Expired",Suppliers!L4="Terminate"),"",Suppliers!D4*-1*IF(Suppliers!E4="Monthly",IF(AND(ISNUMBER(Suppliers!G4),(YEAR(EDATE(DATE(YEAR(TODAY()),MONTH(TODAY()),1),5))*12+MONTH(EDATE(DATE(YEAR(TODAY()),MONTH(TODAY()),1),5)))&gt;(YEAR(Suppliers!G4)*12+MONTH(Suppliers!G4))),"",1),IF(Suppliers!E4="Quarterly",IF(MOD((YEAR(EDATE(DATE(YEAR(TODAY()),MONTH(TODAY()),1),5))-YEAR(IF(ISNUMBER(Suppliers!F4),Suppliers!F4,DATE(YEAR(TODAY()),MONTH(TODAY()),1))))*12+MONTH(EDATE(DATE(YEAR(TODAY()),MONTH(TODAY()),1),5))-MONTH(IF(ISNUMBER(Suppliers!F4),Suppliers!F4,DATE(YEAR(TODAY()),MONTH(TODAY()),1))),3)=0,1,0),IF(Suppliers!E4="Semi-annual",IF(MOD((YEAR(EDATE(DATE(YEAR(TODAY()),MONTH(TODAY()),1),5))-YEAR(IF(ISNUMBER(Suppliers!F4),Suppliers!F4,DATE(YEAR(TODAY()),MONTH(TODAY()),1))))*12+MONTH(EDATE(DATE(YEAR(TODAY()),MONTH(TODAY()),1),5))-MONTH(IF(ISNUMBER(Suppliers!F4),Suppliers!F4,DATE(YEAR(TODAY()),MONTH(TODAY()),1))),6)=0,1,0),IF(Suppliers!E4="Annual",IF(MOD((YEAR(EDATE(DATE(YEAR(TODAY()),MONTH(TODAY()),1),5))-YEAR(IF(ISNUMBER(Suppliers!F4),Suppliers!F4,DATE(YEAR(TODAY()),MONTH(TODAY()),1))))*12+MONTH(EDATE(DATE(YEAR(TODAY()),MONTH(TODAY()),1),5))-MONTH(IF(ISNUMBER(Suppliers!F4),Suppliers!F4,DATE(YEAR(TODAY()),MONTH(TODAY()),1))),12)=0,1,0),IF(Suppliers!E4="One-time",IF(5=0,1,0),1)))))),"")</f>
        <v/>
      </c>
      <c r="L6" s="10" t="str">
        <f ca="1">IFERROR(IF(OR(6&gt;=$B$1,Suppliers!A4="",NOT(ISNUMBER(Suppliers!D4)),Suppliers!L4="Expired",Suppliers!L4="Terminate"),"",Suppliers!D4*-1*IF(Suppliers!E4="Monthly",IF(AND(ISNUMBER(Suppliers!G4),(YEAR(EDATE(DATE(YEAR(TODAY()),MONTH(TODAY()),1),6))*12+MONTH(EDATE(DATE(YEAR(TODAY()),MONTH(TODAY()),1),6)))&gt;(YEAR(Suppliers!G4)*12+MONTH(Suppliers!G4))),"",1),IF(Suppliers!E4="Quarterly",IF(MOD((YEAR(EDATE(DATE(YEAR(TODAY()),MONTH(TODAY()),1),6))-YEAR(IF(ISNUMBER(Suppliers!F4),Suppliers!F4,DATE(YEAR(TODAY()),MONTH(TODAY()),1))))*12+MONTH(EDATE(DATE(YEAR(TODAY()),MONTH(TODAY()),1),6))-MONTH(IF(ISNUMBER(Suppliers!F4),Suppliers!F4,DATE(YEAR(TODAY()),MONTH(TODAY()),1))),3)=0,1,0),IF(Suppliers!E4="Semi-annual",IF(MOD((YEAR(EDATE(DATE(YEAR(TODAY()),MONTH(TODAY()),1),6))-YEAR(IF(ISNUMBER(Suppliers!F4),Suppliers!F4,DATE(YEAR(TODAY()),MONTH(TODAY()),1))))*12+MONTH(EDATE(DATE(YEAR(TODAY()),MONTH(TODAY()),1),6))-MONTH(IF(ISNUMBER(Suppliers!F4),Suppliers!F4,DATE(YEAR(TODAY()),MONTH(TODAY()),1))),6)=0,1,0),IF(Suppliers!E4="Annual",IF(MOD((YEAR(EDATE(DATE(YEAR(TODAY()),MONTH(TODAY()),1),6))-YEAR(IF(ISNUMBER(Suppliers!F4),Suppliers!F4,DATE(YEAR(TODAY()),MONTH(TODAY()),1))))*12+MONTH(EDATE(DATE(YEAR(TODAY()),MONTH(TODAY()),1),6))-MONTH(IF(ISNUMBER(Suppliers!F4),Suppliers!F4,DATE(YEAR(TODAY()),MONTH(TODAY()),1))),12)=0,1,0),IF(Suppliers!E4="One-time",IF(6=0,1,0),1)))))),"")</f>
        <v/>
      </c>
      <c r="M6" s="10" t="str">
        <f ca="1">IFERROR(IF(OR(7&gt;=$B$1,Suppliers!A4="",NOT(ISNUMBER(Suppliers!D4)),Suppliers!L4="Expired",Suppliers!L4="Terminate"),"",Suppliers!D4*-1*IF(Suppliers!E4="Monthly",IF(AND(ISNUMBER(Suppliers!G4),(YEAR(EDATE(DATE(YEAR(TODAY()),MONTH(TODAY()),1),7))*12+MONTH(EDATE(DATE(YEAR(TODAY()),MONTH(TODAY()),1),7)))&gt;(YEAR(Suppliers!G4)*12+MONTH(Suppliers!G4))),"",1),IF(Suppliers!E4="Quarterly",IF(MOD((YEAR(EDATE(DATE(YEAR(TODAY()),MONTH(TODAY()),1),7))-YEAR(IF(ISNUMBER(Suppliers!F4),Suppliers!F4,DATE(YEAR(TODAY()),MONTH(TODAY()),1))))*12+MONTH(EDATE(DATE(YEAR(TODAY()),MONTH(TODAY()),1),7))-MONTH(IF(ISNUMBER(Suppliers!F4),Suppliers!F4,DATE(YEAR(TODAY()),MONTH(TODAY()),1))),3)=0,1,0),IF(Suppliers!E4="Semi-annual",IF(MOD((YEAR(EDATE(DATE(YEAR(TODAY()),MONTH(TODAY()),1),7))-YEAR(IF(ISNUMBER(Suppliers!F4),Suppliers!F4,DATE(YEAR(TODAY()),MONTH(TODAY()),1))))*12+MONTH(EDATE(DATE(YEAR(TODAY()),MONTH(TODAY()),1),7))-MONTH(IF(ISNUMBER(Suppliers!F4),Suppliers!F4,DATE(YEAR(TODAY()),MONTH(TODAY()),1))),6)=0,1,0),IF(Suppliers!E4="Annual",IF(MOD((YEAR(EDATE(DATE(YEAR(TODAY()),MONTH(TODAY()),1),7))-YEAR(IF(ISNUMBER(Suppliers!F4),Suppliers!F4,DATE(YEAR(TODAY()),MONTH(TODAY()),1))))*12+MONTH(EDATE(DATE(YEAR(TODAY()),MONTH(TODAY()),1),7))-MONTH(IF(ISNUMBER(Suppliers!F4),Suppliers!F4,DATE(YEAR(TODAY()),MONTH(TODAY()),1))),12)=0,1,0),IF(Suppliers!E4="One-time",IF(7=0,1,0),1)))))),"")</f>
        <v/>
      </c>
      <c r="N6" s="10" t="str">
        <f ca="1">IFERROR(IF(OR(8&gt;=$B$1,Suppliers!A4="",NOT(ISNUMBER(Suppliers!D4)),Suppliers!L4="Expired",Suppliers!L4="Terminate"),"",Suppliers!D4*-1*IF(Suppliers!E4="Monthly",IF(AND(ISNUMBER(Suppliers!G4),(YEAR(EDATE(DATE(YEAR(TODAY()),MONTH(TODAY()),1),8))*12+MONTH(EDATE(DATE(YEAR(TODAY()),MONTH(TODAY()),1),8)))&gt;(YEAR(Suppliers!G4)*12+MONTH(Suppliers!G4))),"",1),IF(Suppliers!E4="Quarterly",IF(MOD((YEAR(EDATE(DATE(YEAR(TODAY()),MONTH(TODAY()),1),8))-YEAR(IF(ISNUMBER(Suppliers!F4),Suppliers!F4,DATE(YEAR(TODAY()),MONTH(TODAY()),1))))*12+MONTH(EDATE(DATE(YEAR(TODAY()),MONTH(TODAY()),1),8))-MONTH(IF(ISNUMBER(Suppliers!F4),Suppliers!F4,DATE(YEAR(TODAY()),MONTH(TODAY()),1))),3)=0,1,0),IF(Suppliers!E4="Semi-annual",IF(MOD((YEAR(EDATE(DATE(YEAR(TODAY()),MONTH(TODAY()),1),8))-YEAR(IF(ISNUMBER(Suppliers!F4),Suppliers!F4,DATE(YEAR(TODAY()),MONTH(TODAY()),1))))*12+MONTH(EDATE(DATE(YEAR(TODAY()),MONTH(TODAY()),1),8))-MONTH(IF(ISNUMBER(Suppliers!F4),Suppliers!F4,DATE(YEAR(TODAY()),MONTH(TODAY()),1))),6)=0,1,0),IF(Suppliers!E4="Annual",IF(MOD((YEAR(EDATE(DATE(YEAR(TODAY()),MONTH(TODAY()),1),8))-YEAR(IF(ISNUMBER(Suppliers!F4),Suppliers!F4,DATE(YEAR(TODAY()),MONTH(TODAY()),1))))*12+MONTH(EDATE(DATE(YEAR(TODAY()),MONTH(TODAY()),1),8))-MONTH(IF(ISNUMBER(Suppliers!F4),Suppliers!F4,DATE(YEAR(TODAY()),MONTH(TODAY()),1))),12)=0,1,0),IF(Suppliers!E4="One-time",IF(8=0,1,0),1)))))),"")</f>
        <v/>
      </c>
      <c r="O6" s="10" t="str">
        <f ca="1">IFERROR(IF(OR(9&gt;=$B$1,Suppliers!A4="",NOT(ISNUMBER(Suppliers!D4)),Suppliers!L4="Expired",Suppliers!L4="Terminate"),"",Suppliers!D4*-1*IF(Suppliers!E4="Monthly",IF(AND(ISNUMBER(Suppliers!G4),(YEAR(EDATE(DATE(YEAR(TODAY()),MONTH(TODAY()),1),9))*12+MONTH(EDATE(DATE(YEAR(TODAY()),MONTH(TODAY()),1),9)))&gt;(YEAR(Suppliers!G4)*12+MONTH(Suppliers!G4))),"",1),IF(Suppliers!E4="Quarterly",IF(MOD((YEAR(EDATE(DATE(YEAR(TODAY()),MONTH(TODAY()),1),9))-YEAR(IF(ISNUMBER(Suppliers!F4),Suppliers!F4,DATE(YEAR(TODAY()),MONTH(TODAY()),1))))*12+MONTH(EDATE(DATE(YEAR(TODAY()),MONTH(TODAY()),1),9))-MONTH(IF(ISNUMBER(Suppliers!F4),Suppliers!F4,DATE(YEAR(TODAY()),MONTH(TODAY()),1))),3)=0,1,0),IF(Suppliers!E4="Semi-annual",IF(MOD((YEAR(EDATE(DATE(YEAR(TODAY()),MONTH(TODAY()),1),9))-YEAR(IF(ISNUMBER(Suppliers!F4),Suppliers!F4,DATE(YEAR(TODAY()),MONTH(TODAY()),1))))*12+MONTH(EDATE(DATE(YEAR(TODAY()),MONTH(TODAY()),1),9))-MONTH(IF(ISNUMBER(Suppliers!F4),Suppliers!F4,DATE(YEAR(TODAY()),MONTH(TODAY()),1))),6)=0,1,0),IF(Suppliers!E4="Annual",IF(MOD((YEAR(EDATE(DATE(YEAR(TODAY()),MONTH(TODAY()),1),9))-YEAR(IF(ISNUMBER(Suppliers!F4),Suppliers!F4,DATE(YEAR(TODAY()),MONTH(TODAY()),1))))*12+MONTH(EDATE(DATE(YEAR(TODAY()),MONTH(TODAY()),1),9))-MONTH(IF(ISNUMBER(Suppliers!F4),Suppliers!F4,DATE(YEAR(TODAY()),MONTH(TODAY()),1))),12)=0,1,0),IF(Suppliers!E4="One-time",IF(9=0,1,0),1)))))),"")</f>
        <v/>
      </c>
      <c r="P6" s="10" t="str">
        <f ca="1">IFERROR(IF(OR(10&gt;=$B$1,Suppliers!A4="",NOT(ISNUMBER(Suppliers!D4)),Suppliers!L4="Expired",Suppliers!L4="Terminate"),"",Suppliers!D4*-1*IF(Suppliers!E4="Monthly",IF(AND(ISNUMBER(Suppliers!G4),(YEAR(EDATE(DATE(YEAR(TODAY()),MONTH(TODAY()),1),10))*12+MONTH(EDATE(DATE(YEAR(TODAY()),MONTH(TODAY()),1),10)))&gt;(YEAR(Suppliers!G4)*12+MONTH(Suppliers!G4))),"",1),IF(Suppliers!E4="Quarterly",IF(MOD((YEAR(EDATE(DATE(YEAR(TODAY()),MONTH(TODAY()),1),10))-YEAR(IF(ISNUMBER(Suppliers!F4),Suppliers!F4,DATE(YEAR(TODAY()),MONTH(TODAY()),1))))*12+MONTH(EDATE(DATE(YEAR(TODAY()),MONTH(TODAY()),1),10))-MONTH(IF(ISNUMBER(Suppliers!F4),Suppliers!F4,DATE(YEAR(TODAY()),MONTH(TODAY()),1))),3)=0,1,0),IF(Suppliers!E4="Semi-annual",IF(MOD((YEAR(EDATE(DATE(YEAR(TODAY()),MONTH(TODAY()),1),10))-YEAR(IF(ISNUMBER(Suppliers!F4),Suppliers!F4,DATE(YEAR(TODAY()),MONTH(TODAY()),1))))*12+MONTH(EDATE(DATE(YEAR(TODAY()),MONTH(TODAY()),1),10))-MONTH(IF(ISNUMBER(Suppliers!F4),Suppliers!F4,DATE(YEAR(TODAY()),MONTH(TODAY()),1))),6)=0,1,0),IF(Suppliers!E4="Annual",IF(MOD((YEAR(EDATE(DATE(YEAR(TODAY()),MONTH(TODAY()),1),10))-YEAR(IF(ISNUMBER(Suppliers!F4),Suppliers!F4,DATE(YEAR(TODAY()),MONTH(TODAY()),1))))*12+MONTH(EDATE(DATE(YEAR(TODAY()),MONTH(TODAY()),1),10))-MONTH(IF(ISNUMBER(Suppliers!F4),Suppliers!F4,DATE(YEAR(TODAY()),MONTH(TODAY()),1))),12)=0,1,0),IF(Suppliers!E4="One-time",IF(10=0,1,0),1)))))),"")</f>
        <v/>
      </c>
      <c r="Q6" s="10" t="str">
        <f ca="1">IFERROR(IF(OR(11&gt;=$B$1,Suppliers!A4="",NOT(ISNUMBER(Suppliers!D4)),Suppliers!L4="Expired",Suppliers!L4="Terminate"),"",Suppliers!D4*-1*IF(Suppliers!E4="Monthly",IF(AND(ISNUMBER(Suppliers!G4),(YEAR(EDATE(DATE(YEAR(TODAY()),MONTH(TODAY()),1),11))*12+MONTH(EDATE(DATE(YEAR(TODAY()),MONTH(TODAY()),1),11)))&gt;(YEAR(Suppliers!G4)*12+MONTH(Suppliers!G4))),"",1),IF(Suppliers!E4="Quarterly",IF(MOD((YEAR(EDATE(DATE(YEAR(TODAY()),MONTH(TODAY()),1),11))-YEAR(IF(ISNUMBER(Suppliers!F4),Suppliers!F4,DATE(YEAR(TODAY()),MONTH(TODAY()),1))))*12+MONTH(EDATE(DATE(YEAR(TODAY()),MONTH(TODAY()),1),11))-MONTH(IF(ISNUMBER(Suppliers!F4),Suppliers!F4,DATE(YEAR(TODAY()),MONTH(TODAY()),1))),3)=0,1,0),IF(Suppliers!E4="Semi-annual",IF(MOD((YEAR(EDATE(DATE(YEAR(TODAY()),MONTH(TODAY()),1),11))-YEAR(IF(ISNUMBER(Suppliers!F4),Suppliers!F4,DATE(YEAR(TODAY()),MONTH(TODAY()),1))))*12+MONTH(EDATE(DATE(YEAR(TODAY()),MONTH(TODAY()),1),11))-MONTH(IF(ISNUMBER(Suppliers!F4),Suppliers!F4,DATE(YEAR(TODAY()),MONTH(TODAY()),1))),6)=0,1,0),IF(Suppliers!E4="Annual",IF(MOD((YEAR(EDATE(DATE(YEAR(TODAY()),MONTH(TODAY()),1),11))-YEAR(IF(ISNUMBER(Suppliers!F4),Suppliers!F4,DATE(YEAR(TODAY()),MONTH(TODAY()),1))))*12+MONTH(EDATE(DATE(YEAR(TODAY()),MONTH(TODAY()),1),11))-MONTH(IF(ISNUMBER(Suppliers!F4),Suppliers!F4,DATE(YEAR(TODAY()),MONTH(TODAY()),1))),12)=0,1,0),IF(Suppliers!E4="One-time",IF(11=0,1,0),1)))))),"")</f>
        <v/>
      </c>
      <c r="R6" s="10" t="str">
        <f ca="1">IFERROR(IF(OR(12&gt;=$B$1,Suppliers!A4="",NOT(ISNUMBER(Suppliers!D4)),Suppliers!L4="Expired",Suppliers!L4="Terminate"),"",Suppliers!D4*-1*IF(Suppliers!E4="Monthly",IF(AND(ISNUMBER(Suppliers!G4),(YEAR(EDATE(DATE(YEAR(TODAY()),MONTH(TODAY()),1),12))*12+MONTH(EDATE(DATE(YEAR(TODAY()),MONTH(TODAY()),1),12)))&gt;(YEAR(Suppliers!G4)*12+MONTH(Suppliers!G4))),"",1),IF(Suppliers!E4="Quarterly",IF(MOD((YEAR(EDATE(DATE(YEAR(TODAY()),MONTH(TODAY()),1),12))-YEAR(IF(ISNUMBER(Suppliers!F4),Suppliers!F4,DATE(YEAR(TODAY()),MONTH(TODAY()),1))))*12+MONTH(EDATE(DATE(YEAR(TODAY()),MONTH(TODAY()),1),12))-MONTH(IF(ISNUMBER(Suppliers!F4),Suppliers!F4,DATE(YEAR(TODAY()),MONTH(TODAY()),1))),3)=0,1,0),IF(Suppliers!E4="Semi-annual",IF(MOD((YEAR(EDATE(DATE(YEAR(TODAY()),MONTH(TODAY()),1),12))-YEAR(IF(ISNUMBER(Suppliers!F4),Suppliers!F4,DATE(YEAR(TODAY()),MONTH(TODAY()),1))))*12+MONTH(EDATE(DATE(YEAR(TODAY()),MONTH(TODAY()),1),12))-MONTH(IF(ISNUMBER(Suppliers!F4),Suppliers!F4,DATE(YEAR(TODAY()),MONTH(TODAY()),1))),6)=0,1,0),IF(Suppliers!E4="Annual",IF(MOD((YEAR(EDATE(DATE(YEAR(TODAY()),MONTH(TODAY()),1),12))-YEAR(IF(ISNUMBER(Suppliers!F4),Suppliers!F4,DATE(YEAR(TODAY()),MONTH(TODAY()),1))))*12+MONTH(EDATE(DATE(YEAR(TODAY()),MONTH(TODAY()),1),12))-MONTH(IF(ISNUMBER(Suppliers!F4),Suppliers!F4,DATE(YEAR(TODAY()),MONTH(TODAY()),1))),12)=0,1,0),IF(Suppliers!E4="One-time",IF(12=0,1,0),1)))))),"")</f>
        <v/>
      </c>
      <c r="S6" s="10" t="str">
        <f ca="1">IFERROR(IF(OR(13&gt;=$B$1,Suppliers!A4="",NOT(ISNUMBER(Suppliers!D4)),Suppliers!L4="Expired",Suppliers!L4="Terminate"),"",Suppliers!D4*-1*IF(Suppliers!E4="Monthly",IF(AND(ISNUMBER(Suppliers!G4),(YEAR(EDATE(DATE(YEAR(TODAY()),MONTH(TODAY()),1),13))*12+MONTH(EDATE(DATE(YEAR(TODAY()),MONTH(TODAY()),1),13)))&gt;(YEAR(Suppliers!G4)*12+MONTH(Suppliers!G4))),"",1),IF(Suppliers!E4="Quarterly",IF(MOD((YEAR(EDATE(DATE(YEAR(TODAY()),MONTH(TODAY()),1),13))-YEAR(IF(ISNUMBER(Suppliers!F4),Suppliers!F4,DATE(YEAR(TODAY()),MONTH(TODAY()),1))))*12+MONTH(EDATE(DATE(YEAR(TODAY()),MONTH(TODAY()),1),13))-MONTH(IF(ISNUMBER(Suppliers!F4),Suppliers!F4,DATE(YEAR(TODAY()),MONTH(TODAY()),1))),3)=0,1,0),IF(Suppliers!E4="Semi-annual",IF(MOD((YEAR(EDATE(DATE(YEAR(TODAY()),MONTH(TODAY()),1),13))-YEAR(IF(ISNUMBER(Suppliers!F4),Suppliers!F4,DATE(YEAR(TODAY()),MONTH(TODAY()),1))))*12+MONTH(EDATE(DATE(YEAR(TODAY()),MONTH(TODAY()),1),13))-MONTH(IF(ISNUMBER(Suppliers!F4),Suppliers!F4,DATE(YEAR(TODAY()),MONTH(TODAY()),1))),6)=0,1,0),IF(Suppliers!E4="Annual",IF(MOD((YEAR(EDATE(DATE(YEAR(TODAY()),MONTH(TODAY()),1),13))-YEAR(IF(ISNUMBER(Suppliers!F4),Suppliers!F4,DATE(YEAR(TODAY()),MONTH(TODAY()),1))))*12+MONTH(EDATE(DATE(YEAR(TODAY()),MONTH(TODAY()),1),13))-MONTH(IF(ISNUMBER(Suppliers!F4),Suppliers!F4,DATE(YEAR(TODAY()),MONTH(TODAY()),1))),12)=0,1,0),IF(Suppliers!E4="One-time",IF(13=0,1,0),1)))))),"")</f>
        <v/>
      </c>
      <c r="T6" s="10" t="str">
        <f ca="1">IFERROR(IF(OR(14&gt;=$B$1,Suppliers!A4="",NOT(ISNUMBER(Suppliers!D4)),Suppliers!L4="Expired",Suppliers!L4="Terminate"),"",Suppliers!D4*-1*IF(Suppliers!E4="Monthly",IF(AND(ISNUMBER(Suppliers!G4),(YEAR(EDATE(DATE(YEAR(TODAY()),MONTH(TODAY()),1),14))*12+MONTH(EDATE(DATE(YEAR(TODAY()),MONTH(TODAY()),1),14)))&gt;(YEAR(Suppliers!G4)*12+MONTH(Suppliers!G4))),"",1),IF(Suppliers!E4="Quarterly",IF(MOD((YEAR(EDATE(DATE(YEAR(TODAY()),MONTH(TODAY()),1),14))-YEAR(IF(ISNUMBER(Suppliers!F4),Suppliers!F4,DATE(YEAR(TODAY()),MONTH(TODAY()),1))))*12+MONTH(EDATE(DATE(YEAR(TODAY()),MONTH(TODAY()),1),14))-MONTH(IF(ISNUMBER(Suppliers!F4),Suppliers!F4,DATE(YEAR(TODAY()),MONTH(TODAY()),1))),3)=0,1,0),IF(Suppliers!E4="Semi-annual",IF(MOD((YEAR(EDATE(DATE(YEAR(TODAY()),MONTH(TODAY()),1),14))-YEAR(IF(ISNUMBER(Suppliers!F4),Suppliers!F4,DATE(YEAR(TODAY()),MONTH(TODAY()),1))))*12+MONTH(EDATE(DATE(YEAR(TODAY()),MONTH(TODAY()),1),14))-MONTH(IF(ISNUMBER(Suppliers!F4),Suppliers!F4,DATE(YEAR(TODAY()),MONTH(TODAY()),1))),6)=0,1,0),IF(Suppliers!E4="Annual",IF(MOD((YEAR(EDATE(DATE(YEAR(TODAY()),MONTH(TODAY()),1),14))-YEAR(IF(ISNUMBER(Suppliers!F4),Suppliers!F4,DATE(YEAR(TODAY()),MONTH(TODAY()),1))))*12+MONTH(EDATE(DATE(YEAR(TODAY()),MONTH(TODAY()),1),14))-MONTH(IF(ISNUMBER(Suppliers!F4),Suppliers!F4,DATE(YEAR(TODAY()),MONTH(TODAY()),1))),12)=0,1,0),IF(Suppliers!E4="One-time",IF(14=0,1,0),1)))))),"")</f>
        <v/>
      </c>
      <c r="U6" s="10" t="str">
        <f ca="1">IFERROR(IF(OR(15&gt;=$B$1,Suppliers!A4="",NOT(ISNUMBER(Suppliers!D4)),Suppliers!L4="Expired",Suppliers!L4="Terminate"),"",Suppliers!D4*-1*IF(Suppliers!E4="Monthly",IF(AND(ISNUMBER(Suppliers!G4),(YEAR(EDATE(DATE(YEAR(TODAY()),MONTH(TODAY()),1),15))*12+MONTH(EDATE(DATE(YEAR(TODAY()),MONTH(TODAY()),1),15)))&gt;(YEAR(Suppliers!G4)*12+MONTH(Suppliers!G4))),"",1),IF(Suppliers!E4="Quarterly",IF(MOD((YEAR(EDATE(DATE(YEAR(TODAY()),MONTH(TODAY()),1),15))-YEAR(IF(ISNUMBER(Suppliers!F4),Suppliers!F4,DATE(YEAR(TODAY()),MONTH(TODAY()),1))))*12+MONTH(EDATE(DATE(YEAR(TODAY()),MONTH(TODAY()),1),15))-MONTH(IF(ISNUMBER(Suppliers!F4),Suppliers!F4,DATE(YEAR(TODAY()),MONTH(TODAY()),1))),3)=0,1,0),IF(Suppliers!E4="Semi-annual",IF(MOD((YEAR(EDATE(DATE(YEAR(TODAY()),MONTH(TODAY()),1),15))-YEAR(IF(ISNUMBER(Suppliers!F4),Suppliers!F4,DATE(YEAR(TODAY()),MONTH(TODAY()),1))))*12+MONTH(EDATE(DATE(YEAR(TODAY()),MONTH(TODAY()),1),15))-MONTH(IF(ISNUMBER(Suppliers!F4),Suppliers!F4,DATE(YEAR(TODAY()),MONTH(TODAY()),1))),6)=0,1,0),IF(Suppliers!E4="Annual",IF(MOD((YEAR(EDATE(DATE(YEAR(TODAY()),MONTH(TODAY()),1),15))-YEAR(IF(ISNUMBER(Suppliers!F4),Suppliers!F4,DATE(YEAR(TODAY()),MONTH(TODAY()),1))))*12+MONTH(EDATE(DATE(YEAR(TODAY()),MONTH(TODAY()),1),15))-MONTH(IF(ISNUMBER(Suppliers!F4),Suppliers!F4,DATE(YEAR(TODAY()),MONTH(TODAY()),1))),12)=0,1,0),IF(Suppliers!E4="One-time",IF(15=0,1,0),1)))))),"")</f>
        <v/>
      </c>
      <c r="V6" s="10" t="str">
        <f ca="1">IFERROR(IF(OR(16&gt;=$B$1,Suppliers!A4="",NOT(ISNUMBER(Suppliers!D4)),Suppliers!L4="Expired",Suppliers!L4="Terminate"),"",Suppliers!D4*-1*IF(Suppliers!E4="Monthly",IF(AND(ISNUMBER(Suppliers!G4),(YEAR(EDATE(DATE(YEAR(TODAY()),MONTH(TODAY()),1),16))*12+MONTH(EDATE(DATE(YEAR(TODAY()),MONTH(TODAY()),1),16)))&gt;(YEAR(Suppliers!G4)*12+MONTH(Suppliers!G4))),"",1),IF(Suppliers!E4="Quarterly",IF(MOD((YEAR(EDATE(DATE(YEAR(TODAY()),MONTH(TODAY()),1),16))-YEAR(IF(ISNUMBER(Suppliers!F4),Suppliers!F4,DATE(YEAR(TODAY()),MONTH(TODAY()),1))))*12+MONTH(EDATE(DATE(YEAR(TODAY()),MONTH(TODAY()),1),16))-MONTH(IF(ISNUMBER(Suppliers!F4),Suppliers!F4,DATE(YEAR(TODAY()),MONTH(TODAY()),1))),3)=0,1,0),IF(Suppliers!E4="Semi-annual",IF(MOD((YEAR(EDATE(DATE(YEAR(TODAY()),MONTH(TODAY()),1),16))-YEAR(IF(ISNUMBER(Suppliers!F4),Suppliers!F4,DATE(YEAR(TODAY()),MONTH(TODAY()),1))))*12+MONTH(EDATE(DATE(YEAR(TODAY()),MONTH(TODAY()),1),16))-MONTH(IF(ISNUMBER(Suppliers!F4),Suppliers!F4,DATE(YEAR(TODAY()),MONTH(TODAY()),1))),6)=0,1,0),IF(Suppliers!E4="Annual",IF(MOD((YEAR(EDATE(DATE(YEAR(TODAY()),MONTH(TODAY()),1),16))-YEAR(IF(ISNUMBER(Suppliers!F4),Suppliers!F4,DATE(YEAR(TODAY()),MONTH(TODAY()),1))))*12+MONTH(EDATE(DATE(YEAR(TODAY()),MONTH(TODAY()),1),16))-MONTH(IF(ISNUMBER(Suppliers!F4),Suppliers!F4,DATE(YEAR(TODAY()),MONTH(TODAY()),1))),12)=0,1,0),IF(Suppliers!E4="One-time",IF(16=0,1,0),1)))))),"")</f>
        <v/>
      </c>
      <c r="W6" s="10" t="str">
        <f ca="1">IFERROR(IF(OR(17&gt;=$B$1,Suppliers!A4="",NOT(ISNUMBER(Suppliers!D4)),Suppliers!L4="Expired",Suppliers!L4="Terminate"),"",Suppliers!D4*-1*IF(Suppliers!E4="Monthly",IF(AND(ISNUMBER(Suppliers!G4),(YEAR(EDATE(DATE(YEAR(TODAY()),MONTH(TODAY()),1),17))*12+MONTH(EDATE(DATE(YEAR(TODAY()),MONTH(TODAY()),1),17)))&gt;(YEAR(Suppliers!G4)*12+MONTH(Suppliers!G4))),"",1),IF(Suppliers!E4="Quarterly",IF(MOD((YEAR(EDATE(DATE(YEAR(TODAY()),MONTH(TODAY()),1),17))-YEAR(IF(ISNUMBER(Suppliers!F4),Suppliers!F4,DATE(YEAR(TODAY()),MONTH(TODAY()),1))))*12+MONTH(EDATE(DATE(YEAR(TODAY()),MONTH(TODAY()),1),17))-MONTH(IF(ISNUMBER(Suppliers!F4),Suppliers!F4,DATE(YEAR(TODAY()),MONTH(TODAY()),1))),3)=0,1,0),IF(Suppliers!E4="Semi-annual",IF(MOD((YEAR(EDATE(DATE(YEAR(TODAY()),MONTH(TODAY()),1),17))-YEAR(IF(ISNUMBER(Suppliers!F4),Suppliers!F4,DATE(YEAR(TODAY()),MONTH(TODAY()),1))))*12+MONTH(EDATE(DATE(YEAR(TODAY()),MONTH(TODAY()),1),17))-MONTH(IF(ISNUMBER(Suppliers!F4),Suppliers!F4,DATE(YEAR(TODAY()),MONTH(TODAY()),1))),6)=0,1,0),IF(Suppliers!E4="Annual",IF(MOD((YEAR(EDATE(DATE(YEAR(TODAY()),MONTH(TODAY()),1),17))-YEAR(IF(ISNUMBER(Suppliers!F4),Suppliers!F4,DATE(YEAR(TODAY()),MONTH(TODAY()),1))))*12+MONTH(EDATE(DATE(YEAR(TODAY()),MONTH(TODAY()),1),17))-MONTH(IF(ISNUMBER(Suppliers!F4),Suppliers!F4,DATE(YEAR(TODAY()),MONTH(TODAY()),1))),12)=0,1,0),IF(Suppliers!E4="One-time",IF(17=0,1,0),1)))))),"")</f>
        <v/>
      </c>
      <c r="X6" s="10" t="str">
        <f ca="1">IFERROR(IF(OR(18&gt;=$B$1,Suppliers!A4="",NOT(ISNUMBER(Suppliers!D4)),Suppliers!L4="Expired",Suppliers!L4="Terminate"),"",Suppliers!D4*-1*IF(Suppliers!E4="Monthly",IF(AND(ISNUMBER(Suppliers!G4),(YEAR(EDATE(DATE(YEAR(TODAY()),MONTH(TODAY()),1),18))*12+MONTH(EDATE(DATE(YEAR(TODAY()),MONTH(TODAY()),1),18)))&gt;(YEAR(Suppliers!G4)*12+MONTH(Suppliers!G4))),"",1),IF(Suppliers!E4="Quarterly",IF(MOD((YEAR(EDATE(DATE(YEAR(TODAY()),MONTH(TODAY()),1),18))-YEAR(IF(ISNUMBER(Suppliers!F4),Suppliers!F4,DATE(YEAR(TODAY()),MONTH(TODAY()),1))))*12+MONTH(EDATE(DATE(YEAR(TODAY()),MONTH(TODAY()),1),18))-MONTH(IF(ISNUMBER(Suppliers!F4),Suppliers!F4,DATE(YEAR(TODAY()),MONTH(TODAY()),1))),3)=0,1,0),IF(Suppliers!E4="Semi-annual",IF(MOD((YEAR(EDATE(DATE(YEAR(TODAY()),MONTH(TODAY()),1),18))-YEAR(IF(ISNUMBER(Suppliers!F4),Suppliers!F4,DATE(YEAR(TODAY()),MONTH(TODAY()),1))))*12+MONTH(EDATE(DATE(YEAR(TODAY()),MONTH(TODAY()),1),18))-MONTH(IF(ISNUMBER(Suppliers!F4),Suppliers!F4,DATE(YEAR(TODAY()),MONTH(TODAY()),1))),6)=0,1,0),IF(Suppliers!E4="Annual",IF(MOD((YEAR(EDATE(DATE(YEAR(TODAY()),MONTH(TODAY()),1),18))-YEAR(IF(ISNUMBER(Suppliers!F4),Suppliers!F4,DATE(YEAR(TODAY()),MONTH(TODAY()),1))))*12+MONTH(EDATE(DATE(YEAR(TODAY()),MONTH(TODAY()),1),18))-MONTH(IF(ISNUMBER(Suppliers!F4),Suppliers!F4,DATE(YEAR(TODAY()),MONTH(TODAY()),1))),12)=0,1,0),IF(Suppliers!E4="One-time",IF(18=0,1,0),1)))))),"")</f>
        <v/>
      </c>
      <c r="Y6" s="10" t="str">
        <f ca="1">IFERROR(IF(OR(19&gt;=$B$1,Suppliers!A4="",NOT(ISNUMBER(Suppliers!D4)),Suppliers!L4="Expired",Suppliers!L4="Terminate"),"",Suppliers!D4*-1*IF(Suppliers!E4="Monthly",IF(AND(ISNUMBER(Suppliers!G4),(YEAR(EDATE(DATE(YEAR(TODAY()),MONTH(TODAY()),1),19))*12+MONTH(EDATE(DATE(YEAR(TODAY()),MONTH(TODAY()),1),19)))&gt;(YEAR(Suppliers!G4)*12+MONTH(Suppliers!G4))),"",1),IF(Suppliers!E4="Quarterly",IF(MOD((YEAR(EDATE(DATE(YEAR(TODAY()),MONTH(TODAY()),1),19))-YEAR(IF(ISNUMBER(Suppliers!F4),Suppliers!F4,DATE(YEAR(TODAY()),MONTH(TODAY()),1))))*12+MONTH(EDATE(DATE(YEAR(TODAY()),MONTH(TODAY()),1),19))-MONTH(IF(ISNUMBER(Suppliers!F4),Suppliers!F4,DATE(YEAR(TODAY()),MONTH(TODAY()),1))),3)=0,1,0),IF(Suppliers!E4="Semi-annual",IF(MOD((YEAR(EDATE(DATE(YEAR(TODAY()),MONTH(TODAY()),1),19))-YEAR(IF(ISNUMBER(Suppliers!F4),Suppliers!F4,DATE(YEAR(TODAY()),MONTH(TODAY()),1))))*12+MONTH(EDATE(DATE(YEAR(TODAY()),MONTH(TODAY()),1),19))-MONTH(IF(ISNUMBER(Suppliers!F4),Suppliers!F4,DATE(YEAR(TODAY()),MONTH(TODAY()),1))),6)=0,1,0),IF(Suppliers!E4="Annual",IF(MOD((YEAR(EDATE(DATE(YEAR(TODAY()),MONTH(TODAY()),1),19))-YEAR(IF(ISNUMBER(Suppliers!F4),Suppliers!F4,DATE(YEAR(TODAY()),MONTH(TODAY()),1))))*12+MONTH(EDATE(DATE(YEAR(TODAY()),MONTH(TODAY()),1),19))-MONTH(IF(ISNUMBER(Suppliers!F4),Suppliers!F4,DATE(YEAR(TODAY()),MONTH(TODAY()),1))),12)=0,1,0),IF(Suppliers!E4="One-time",IF(19=0,1,0),1)))))),"")</f>
        <v/>
      </c>
      <c r="Z6" s="10" t="str">
        <f ca="1">IFERROR(IF(OR(20&gt;=$B$1,Suppliers!A4="",NOT(ISNUMBER(Suppliers!D4)),Suppliers!L4="Expired",Suppliers!L4="Terminate"),"",Suppliers!D4*-1*IF(Suppliers!E4="Monthly",IF(AND(ISNUMBER(Suppliers!G4),(YEAR(EDATE(DATE(YEAR(TODAY()),MONTH(TODAY()),1),20))*12+MONTH(EDATE(DATE(YEAR(TODAY()),MONTH(TODAY()),1),20)))&gt;(YEAR(Suppliers!G4)*12+MONTH(Suppliers!G4))),"",1),IF(Suppliers!E4="Quarterly",IF(MOD((YEAR(EDATE(DATE(YEAR(TODAY()),MONTH(TODAY()),1),20))-YEAR(IF(ISNUMBER(Suppliers!F4),Suppliers!F4,DATE(YEAR(TODAY()),MONTH(TODAY()),1))))*12+MONTH(EDATE(DATE(YEAR(TODAY()),MONTH(TODAY()),1),20))-MONTH(IF(ISNUMBER(Suppliers!F4),Suppliers!F4,DATE(YEAR(TODAY()),MONTH(TODAY()),1))),3)=0,1,0),IF(Suppliers!E4="Semi-annual",IF(MOD((YEAR(EDATE(DATE(YEAR(TODAY()),MONTH(TODAY()),1),20))-YEAR(IF(ISNUMBER(Suppliers!F4),Suppliers!F4,DATE(YEAR(TODAY()),MONTH(TODAY()),1))))*12+MONTH(EDATE(DATE(YEAR(TODAY()),MONTH(TODAY()),1),20))-MONTH(IF(ISNUMBER(Suppliers!F4),Suppliers!F4,DATE(YEAR(TODAY()),MONTH(TODAY()),1))),6)=0,1,0),IF(Suppliers!E4="Annual",IF(MOD((YEAR(EDATE(DATE(YEAR(TODAY()),MONTH(TODAY()),1),20))-YEAR(IF(ISNUMBER(Suppliers!F4),Suppliers!F4,DATE(YEAR(TODAY()),MONTH(TODAY()),1))))*12+MONTH(EDATE(DATE(YEAR(TODAY()),MONTH(TODAY()),1),20))-MONTH(IF(ISNUMBER(Suppliers!F4),Suppliers!F4,DATE(YEAR(TODAY()),MONTH(TODAY()),1))),12)=0,1,0),IF(Suppliers!E4="One-time",IF(20=0,1,0),1)))))),"")</f>
        <v/>
      </c>
      <c r="AA6" s="10" t="str">
        <f ca="1">IFERROR(IF(OR(21&gt;=$B$1,Suppliers!A4="",NOT(ISNUMBER(Suppliers!D4)),Suppliers!L4="Expired",Suppliers!L4="Terminate"),"",Suppliers!D4*-1*IF(Suppliers!E4="Monthly",IF(AND(ISNUMBER(Suppliers!G4),(YEAR(EDATE(DATE(YEAR(TODAY()),MONTH(TODAY()),1),21))*12+MONTH(EDATE(DATE(YEAR(TODAY()),MONTH(TODAY()),1),21)))&gt;(YEAR(Suppliers!G4)*12+MONTH(Suppliers!G4))),"",1),IF(Suppliers!E4="Quarterly",IF(MOD((YEAR(EDATE(DATE(YEAR(TODAY()),MONTH(TODAY()),1),21))-YEAR(IF(ISNUMBER(Suppliers!F4),Suppliers!F4,DATE(YEAR(TODAY()),MONTH(TODAY()),1))))*12+MONTH(EDATE(DATE(YEAR(TODAY()),MONTH(TODAY()),1),21))-MONTH(IF(ISNUMBER(Suppliers!F4),Suppliers!F4,DATE(YEAR(TODAY()),MONTH(TODAY()),1))),3)=0,1,0),IF(Suppliers!E4="Semi-annual",IF(MOD((YEAR(EDATE(DATE(YEAR(TODAY()),MONTH(TODAY()),1),21))-YEAR(IF(ISNUMBER(Suppliers!F4),Suppliers!F4,DATE(YEAR(TODAY()),MONTH(TODAY()),1))))*12+MONTH(EDATE(DATE(YEAR(TODAY()),MONTH(TODAY()),1),21))-MONTH(IF(ISNUMBER(Suppliers!F4),Suppliers!F4,DATE(YEAR(TODAY()),MONTH(TODAY()),1))),6)=0,1,0),IF(Suppliers!E4="Annual",IF(MOD((YEAR(EDATE(DATE(YEAR(TODAY()),MONTH(TODAY()),1),21))-YEAR(IF(ISNUMBER(Suppliers!F4),Suppliers!F4,DATE(YEAR(TODAY()),MONTH(TODAY()),1))))*12+MONTH(EDATE(DATE(YEAR(TODAY()),MONTH(TODAY()),1),21))-MONTH(IF(ISNUMBER(Suppliers!F4),Suppliers!F4,DATE(YEAR(TODAY()),MONTH(TODAY()),1))),12)=0,1,0),IF(Suppliers!E4="One-time",IF(21=0,1,0),1)))))),"")</f>
        <v/>
      </c>
      <c r="AB6" s="10" t="str">
        <f ca="1">IFERROR(IF(OR(22&gt;=$B$1,Suppliers!A4="",NOT(ISNUMBER(Suppliers!D4)),Suppliers!L4="Expired",Suppliers!L4="Terminate"),"",Suppliers!D4*-1*IF(Suppliers!E4="Monthly",IF(AND(ISNUMBER(Suppliers!G4),(YEAR(EDATE(DATE(YEAR(TODAY()),MONTH(TODAY()),1),22))*12+MONTH(EDATE(DATE(YEAR(TODAY()),MONTH(TODAY()),1),22)))&gt;(YEAR(Suppliers!G4)*12+MONTH(Suppliers!G4))),"",1),IF(Suppliers!E4="Quarterly",IF(MOD((YEAR(EDATE(DATE(YEAR(TODAY()),MONTH(TODAY()),1),22))-YEAR(IF(ISNUMBER(Suppliers!F4),Suppliers!F4,DATE(YEAR(TODAY()),MONTH(TODAY()),1))))*12+MONTH(EDATE(DATE(YEAR(TODAY()),MONTH(TODAY()),1),22))-MONTH(IF(ISNUMBER(Suppliers!F4),Suppliers!F4,DATE(YEAR(TODAY()),MONTH(TODAY()),1))),3)=0,1,0),IF(Suppliers!E4="Semi-annual",IF(MOD((YEAR(EDATE(DATE(YEAR(TODAY()),MONTH(TODAY()),1),22))-YEAR(IF(ISNUMBER(Suppliers!F4),Suppliers!F4,DATE(YEAR(TODAY()),MONTH(TODAY()),1))))*12+MONTH(EDATE(DATE(YEAR(TODAY()),MONTH(TODAY()),1),22))-MONTH(IF(ISNUMBER(Suppliers!F4),Suppliers!F4,DATE(YEAR(TODAY()),MONTH(TODAY()),1))),6)=0,1,0),IF(Suppliers!E4="Annual",IF(MOD((YEAR(EDATE(DATE(YEAR(TODAY()),MONTH(TODAY()),1),22))-YEAR(IF(ISNUMBER(Suppliers!F4),Suppliers!F4,DATE(YEAR(TODAY()),MONTH(TODAY()),1))))*12+MONTH(EDATE(DATE(YEAR(TODAY()),MONTH(TODAY()),1),22))-MONTH(IF(ISNUMBER(Suppliers!F4),Suppliers!F4,DATE(YEAR(TODAY()),MONTH(TODAY()),1))),12)=0,1,0),IF(Suppliers!E4="One-time",IF(22=0,1,0),1)))))),"")</f>
        <v/>
      </c>
      <c r="AC6" s="10" t="str">
        <f ca="1">IFERROR(IF(OR(23&gt;=$B$1,Suppliers!A4="",NOT(ISNUMBER(Suppliers!D4)),Suppliers!L4="Expired",Suppliers!L4="Terminate"),"",Suppliers!D4*-1*IF(Suppliers!E4="Monthly",IF(AND(ISNUMBER(Suppliers!G4),(YEAR(EDATE(DATE(YEAR(TODAY()),MONTH(TODAY()),1),23))*12+MONTH(EDATE(DATE(YEAR(TODAY()),MONTH(TODAY()),1),23)))&gt;(YEAR(Suppliers!G4)*12+MONTH(Suppliers!G4))),"",1),IF(Suppliers!E4="Quarterly",IF(MOD((YEAR(EDATE(DATE(YEAR(TODAY()),MONTH(TODAY()),1),23))-YEAR(IF(ISNUMBER(Suppliers!F4),Suppliers!F4,DATE(YEAR(TODAY()),MONTH(TODAY()),1))))*12+MONTH(EDATE(DATE(YEAR(TODAY()),MONTH(TODAY()),1),23))-MONTH(IF(ISNUMBER(Suppliers!F4),Suppliers!F4,DATE(YEAR(TODAY()),MONTH(TODAY()),1))),3)=0,1,0),IF(Suppliers!E4="Semi-annual",IF(MOD((YEAR(EDATE(DATE(YEAR(TODAY()),MONTH(TODAY()),1),23))-YEAR(IF(ISNUMBER(Suppliers!F4),Suppliers!F4,DATE(YEAR(TODAY()),MONTH(TODAY()),1))))*12+MONTH(EDATE(DATE(YEAR(TODAY()),MONTH(TODAY()),1),23))-MONTH(IF(ISNUMBER(Suppliers!F4),Suppliers!F4,DATE(YEAR(TODAY()),MONTH(TODAY()),1))),6)=0,1,0),IF(Suppliers!E4="Annual",IF(MOD((YEAR(EDATE(DATE(YEAR(TODAY()),MONTH(TODAY()),1),23))-YEAR(IF(ISNUMBER(Suppliers!F4),Suppliers!F4,DATE(YEAR(TODAY()),MONTH(TODAY()),1))))*12+MONTH(EDATE(DATE(YEAR(TODAY()),MONTH(TODAY()),1),23))-MONTH(IF(ISNUMBER(Suppliers!F4),Suppliers!F4,DATE(YEAR(TODAY()),MONTH(TODAY()),1))),12)=0,1,0),IF(Suppliers!E4="One-time",IF(23=0,1,0),1)))))),"")</f>
        <v/>
      </c>
    </row>
    <row r="7" spans="1:29" ht="15" customHeight="1" x14ac:dyDescent="0.35">
      <c r="A7" s="4" t="s">
        <v>80</v>
      </c>
      <c r="B7" s="4" t="str">
        <f>IF(Suppliers!A5="","",Suppliers!A5)</f>
        <v>Delta Leasing GmbH</v>
      </c>
      <c r="C7" s="10">
        <f>IF(Suppliers!C5="","",Suppliers!C5)</f>
        <v>1176.47</v>
      </c>
      <c r="D7" s="10">
        <f>IF(Suppliers!D5="","",Suppliers!D5)</f>
        <v>1400</v>
      </c>
      <c r="E7" s="4" t="str">
        <f>IF(Suppliers!E5="","",Suppliers!E5)</f>
        <v>Monthly</v>
      </c>
      <c r="F7" s="10">
        <f ca="1">IFERROR(IF(OR(0&gt;=$B$1,Suppliers!A5="",NOT(ISNUMBER(Suppliers!D5)),Suppliers!L5="Expired",Suppliers!L5="Terminate"),"",Suppliers!D5*-1*IF(Suppliers!E5="Monthly",IF(AND(ISNUMBER(Suppliers!G5),(YEAR(EDATE(DATE(YEAR(TODAY()),MONTH(TODAY()),1),0))*12+MONTH(EDATE(DATE(YEAR(TODAY()),MONTH(TODAY()),1),0)))&gt;(YEAR(Suppliers!G5)*12+MONTH(Suppliers!G5))),"",1),IF(Suppliers!E5="Quarterly",IF(MOD((YEAR(EDATE(DATE(YEAR(TODAY()),MONTH(TODAY()),1),0))-YEAR(IF(ISNUMBER(Suppliers!F5),Suppliers!F5,DATE(YEAR(TODAY()),MONTH(TODAY()),1))))*12+MONTH(EDATE(DATE(YEAR(TODAY()),MONTH(TODAY()),1),0))-MONTH(IF(ISNUMBER(Suppliers!F5),Suppliers!F5,DATE(YEAR(TODAY()),MONTH(TODAY()),1))),3)=0,1,0),IF(Suppliers!E5="Semi-annual",IF(MOD((YEAR(EDATE(DATE(YEAR(TODAY()),MONTH(TODAY()),1),0))-YEAR(IF(ISNUMBER(Suppliers!F5),Suppliers!F5,DATE(YEAR(TODAY()),MONTH(TODAY()),1))))*12+MONTH(EDATE(DATE(YEAR(TODAY()),MONTH(TODAY()),1),0))-MONTH(IF(ISNUMBER(Suppliers!F5),Suppliers!F5,DATE(YEAR(TODAY()),MONTH(TODAY()),1))),6)=0,1,0),IF(Suppliers!E5="Annual",IF(MOD((YEAR(EDATE(DATE(YEAR(TODAY()),MONTH(TODAY()),1),0))-YEAR(IF(ISNUMBER(Suppliers!F5),Suppliers!F5,DATE(YEAR(TODAY()),MONTH(TODAY()),1))))*12+MONTH(EDATE(DATE(YEAR(TODAY()),MONTH(TODAY()),1),0))-MONTH(IF(ISNUMBER(Suppliers!F5),Suppliers!F5,DATE(YEAR(TODAY()),MONTH(TODAY()),1))),12)=0,1,0),IF(Suppliers!E5="One-time",IF(0=0,1,0),1)))))),"")</f>
        <v>-1400</v>
      </c>
      <c r="G7" s="10">
        <f ca="1">IFERROR(IF(OR(1&gt;=$B$1,Suppliers!A5="",NOT(ISNUMBER(Suppliers!D5)),Suppliers!L5="Expired",Suppliers!L5="Terminate"),"",Suppliers!D5*-1*IF(Suppliers!E5="Monthly",IF(AND(ISNUMBER(Suppliers!G5),(YEAR(EDATE(DATE(YEAR(TODAY()),MONTH(TODAY()),1),1))*12+MONTH(EDATE(DATE(YEAR(TODAY()),MONTH(TODAY()),1),1)))&gt;(YEAR(Suppliers!G5)*12+MONTH(Suppliers!G5))),"",1),IF(Suppliers!E5="Quarterly",IF(MOD((YEAR(EDATE(DATE(YEAR(TODAY()),MONTH(TODAY()),1),1))-YEAR(IF(ISNUMBER(Suppliers!F5),Suppliers!F5,DATE(YEAR(TODAY()),MONTH(TODAY()),1))))*12+MONTH(EDATE(DATE(YEAR(TODAY()),MONTH(TODAY()),1),1))-MONTH(IF(ISNUMBER(Suppliers!F5),Suppliers!F5,DATE(YEAR(TODAY()),MONTH(TODAY()),1))),3)=0,1,0),IF(Suppliers!E5="Semi-annual",IF(MOD((YEAR(EDATE(DATE(YEAR(TODAY()),MONTH(TODAY()),1),1))-YEAR(IF(ISNUMBER(Suppliers!F5),Suppliers!F5,DATE(YEAR(TODAY()),MONTH(TODAY()),1))))*12+MONTH(EDATE(DATE(YEAR(TODAY()),MONTH(TODAY()),1),1))-MONTH(IF(ISNUMBER(Suppliers!F5),Suppliers!F5,DATE(YEAR(TODAY()),MONTH(TODAY()),1))),6)=0,1,0),IF(Suppliers!E5="Annual",IF(MOD((YEAR(EDATE(DATE(YEAR(TODAY()),MONTH(TODAY()),1),1))-YEAR(IF(ISNUMBER(Suppliers!F5),Suppliers!F5,DATE(YEAR(TODAY()),MONTH(TODAY()),1))))*12+MONTH(EDATE(DATE(YEAR(TODAY()),MONTH(TODAY()),1),1))-MONTH(IF(ISNUMBER(Suppliers!F5),Suppliers!F5,DATE(YEAR(TODAY()),MONTH(TODAY()),1))),12)=0,1,0),IF(Suppliers!E5="One-time",IF(1=0,1,0),1)))))),"")</f>
        <v>-1400</v>
      </c>
      <c r="H7" s="10">
        <f ca="1">IFERROR(IF(OR(2&gt;=$B$1,Suppliers!A5="",NOT(ISNUMBER(Suppliers!D5)),Suppliers!L5="Expired",Suppliers!L5="Terminate"),"",Suppliers!D5*-1*IF(Suppliers!E5="Monthly",IF(AND(ISNUMBER(Suppliers!G5),(YEAR(EDATE(DATE(YEAR(TODAY()),MONTH(TODAY()),1),2))*12+MONTH(EDATE(DATE(YEAR(TODAY()),MONTH(TODAY()),1),2)))&gt;(YEAR(Suppliers!G5)*12+MONTH(Suppliers!G5))),"",1),IF(Suppliers!E5="Quarterly",IF(MOD((YEAR(EDATE(DATE(YEAR(TODAY()),MONTH(TODAY()),1),2))-YEAR(IF(ISNUMBER(Suppliers!F5),Suppliers!F5,DATE(YEAR(TODAY()),MONTH(TODAY()),1))))*12+MONTH(EDATE(DATE(YEAR(TODAY()),MONTH(TODAY()),1),2))-MONTH(IF(ISNUMBER(Suppliers!F5),Suppliers!F5,DATE(YEAR(TODAY()),MONTH(TODAY()),1))),3)=0,1,0),IF(Suppliers!E5="Semi-annual",IF(MOD((YEAR(EDATE(DATE(YEAR(TODAY()),MONTH(TODAY()),1),2))-YEAR(IF(ISNUMBER(Suppliers!F5),Suppliers!F5,DATE(YEAR(TODAY()),MONTH(TODAY()),1))))*12+MONTH(EDATE(DATE(YEAR(TODAY()),MONTH(TODAY()),1),2))-MONTH(IF(ISNUMBER(Suppliers!F5),Suppliers!F5,DATE(YEAR(TODAY()),MONTH(TODAY()),1))),6)=0,1,0),IF(Suppliers!E5="Annual",IF(MOD((YEAR(EDATE(DATE(YEAR(TODAY()),MONTH(TODAY()),1),2))-YEAR(IF(ISNUMBER(Suppliers!F5),Suppliers!F5,DATE(YEAR(TODAY()),MONTH(TODAY()),1))))*12+MONTH(EDATE(DATE(YEAR(TODAY()),MONTH(TODAY()),1),2))-MONTH(IF(ISNUMBER(Suppliers!F5),Suppliers!F5,DATE(YEAR(TODAY()),MONTH(TODAY()),1))),12)=0,1,0),IF(Suppliers!E5="One-time",IF(2=0,1,0),1)))))),"")</f>
        <v>-1400</v>
      </c>
      <c r="I7" s="10" t="str">
        <f ca="1">IFERROR(IF(OR(3&gt;=$B$1,Suppliers!A5="",NOT(ISNUMBER(Suppliers!D5)),Suppliers!L5="Expired",Suppliers!L5="Terminate"),"",Suppliers!D5*-1*IF(Suppliers!E5="Monthly",IF(AND(ISNUMBER(Suppliers!G5),(YEAR(EDATE(DATE(YEAR(TODAY()),MONTH(TODAY()),1),3))*12+MONTH(EDATE(DATE(YEAR(TODAY()),MONTH(TODAY()),1),3)))&gt;(YEAR(Suppliers!G5)*12+MONTH(Suppliers!G5))),"",1),IF(Suppliers!E5="Quarterly",IF(MOD((YEAR(EDATE(DATE(YEAR(TODAY()),MONTH(TODAY()),1),3))-YEAR(IF(ISNUMBER(Suppliers!F5),Suppliers!F5,DATE(YEAR(TODAY()),MONTH(TODAY()),1))))*12+MONTH(EDATE(DATE(YEAR(TODAY()),MONTH(TODAY()),1),3))-MONTH(IF(ISNUMBER(Suppliers!F5),Suppliers!F5,DATE(YEAR(TODAY()),MONTH(TODAY()),1))),3)=0,1,0),IF(Suppliers!E5="Semi-annual",IF(MOD((YEAR(EDATE(DATE(YEAR(TODAY()),MONTH(TODAY()),1),3))-YEAR(IF(ISNUMBER(Suppliers!F5),Suppliers!F5,DATE(YEAR(TODAY()),MONTH(TODAY()),1))))*12+MONTH(EDATE(DATE(YEAR(TODAY()),MONTH(TODAY()),1),3))-MONTH(IF(ISNUMBER(Suppliers!F5),Suppliers!F5,DATE(YEAR(TODAY()),MONTH(TODAY()),1))),6)=0,1,0),IF(Suppliers!E5="Annual",IF(MOD((YEAR(EDATE(DATE(YEAR(TODAY()),MONTH(TODAY()),1),3))-YEAR(IF(ISNUMBER(Suppliers!F5),Suppliers!F5,DATE(YEAR(TODAY()),MONTH(TODAY()),1))))*12+MONTH(EDATE(DATE(YEAR(TODAY()),MONTH(TODAY()),1),3))-MONTH(IF(ISNUMBER(Suppliers!F5),Suppliers!F5,DATE(YEAR(TODAY()),MONTH(TODAY()),1))),12)=0,1,0),IF(Suppliers!E5="One-time",IF(3=0,1,0),1)))))),"")</f>
        <v/>
      </c>
      <c r="J7" s="10" t="str">
        <f ca="1">IFERROR(IF(OR(4&gt;=$B$1,Suppliers!A5="",NOT(ISNUMBER(Suppliers!D5)),Suppliers!L5="Expired",Suppliers!L5="Terminate"),"",Suppliers!D5*-1*IF(Suppliers!E5="Monthly",IF(AND(ISNUMBER(Suppliers!G5),(YEAR(EDATE(DATE(YEAR(TODAY()),MONTH(TODAY()),1),4))*12+MONTH(EDATE(DATE(YEAR(TODAY()),MONTH(TODAY()),1),4)))&gt;(YEAR(Suppliers!G5)*12+MONTH(Suppliers!G5))),"",1),IF(Suppliers!E5="Quarterly",IF(MOD((YEAR(EDATE(DATE(YEAR(TODAY()),MONTH(TODAY()),1),4))-YEAR(IF(ISNUMBER(Suppliers!F5),Suppliers!F5,DATE(YEAR(TODAY()),MONTH(TODAY()),1))))*12+MONTH(EDATE(DATE(YEAR(TODAY()),MONTH(TODAY()),1),4))-MONTH(IF(ISNUMBER(Suppliers!F5),Suppliers!F5,DATE(YEAR(TODAY()),MONTH(TODAY()),1))),3)=0,1,0),IF(Suppliers!E5="Semi-annual",IF(MOD((YEAR(EDATE(DATE(YEAR(TODAY()),MONTH(TODAY()),1),4))-YEAR(IF(ISNUMBER(Suppliers!F5),Suppliers!F5,DATE(YEAR(TODAY()),MONTH(TODAY()),1))))*12+MONTH(EDATE(DATE(YEAR(TODAY()),MONTH(TODAY()),1),4))-MONTH(IF(ISNUMBER(Suppliers!F5),Suppliers!F5,DATE(YEAR(TODAY()),MONTH(TODAY()),1))),6)=0,1,0),IF(Suppliers!E5="Annual",IF(MOD((YEAR(EDATE(DATE(YEAR(TODAY()),MONTH(TODAY()),1),4))-YEAR(IF(ISNUMBER(Suppliers!F5),Suppliers!F5,DATE(YEAR(TODAY()),MONTH(TODAY()),1))))*12+MONTH(EDATE(DATE(YEAR(TODAY()),MONTH(TODAY()),1),4))-MONTH(IF(ISNUMBER(Suppliers!F5),Suppliers!F5,DATE(YEAR(TODAY()),MONTH(TODAY()),1))),12)=0,1,0),IF(Suppliers!E5="One-time",IF(4=0,1,0),1)))))),"")</f>
        <v/>
      </c>
      <c r="K7" s="10" t="str">
        <f ca="1">IFERROR(IF(OR(5&gt;=$B$1,Suppliers!A5="",NOT(ISNUMBER(Suppliers!D5)),Suppliers!L5="Expired",Suppliers!L5="Terminate"),"",Suppliers!D5*-1*IF(Suppliers!E5="Monthly",IF(AND(ISNUMBER(Suppliers!G5),(YEAR(EDATE(DATE(YEAR(TODAY()),MONTH(TODAY()),1),5))*12+MONTH(EDATE(DATE(YEAR(TODAY()),MONTH(TODAY()),1),5)))&gt;(YEAR(Suppliers!G5)*12+MONTH(Suppliers!G5))),"",1),IF(Suppliers!E5="Quarterly",IF(MOD((YEAR(EDATE(DATE(YEAR(TODAY()),MONTH(TODAY()),1),5))-YEAR(IF(ISNUMBER(Suppliers!F5),Suppliers!F5,DATE(YEAR(TODAY()),MONTH(TODAY()),1))))*12+MONTH(EDATE(DATE(YEAR(TODAY()),MONTH(TODAY()),1),5))-MONTH(IF(ISNUMBER(Suppliers!F5),Suppliers!F5,DATE(YEAR(TODAY()),MONTH(TODAY()),1))),3)=0,1,0),IF(Suppliers!E5="Semi-annual",IF(MOD((YEAR(EDATE(DATE(YEAR(TODAY()),MONTH(TODAY()),1),5))-YEAR(IF(ISNUMBER(Suppliers!F5),Suppliers!F5,DATE(YEAR(TODAY()),MONTH(TODAY()),1))))*12+MONTH(EDATE(DATE(YEAR(TODAY()),MONTH(TODAY()),1),5))-MONTH(IF(ISNUMBER(Suppliers!F5),Suppliers!F5,DATE(YEAR(TODAY()),MONTH(TODAY()),1))),6)=0,1,0),IF(Suppliers!E5="Annual",IF(MOD((YEAR(EDATE(DATE(YEAR(TODAY()),MONTH(TODAY()),1),5))-YEAR(IF(ISNUMBER(Suppliers!F5),Suppliers!F5,DATE(YEAR(TODAY()),MONTH(TODAY()),1))))*12+MONTH(EDATE(DATE(YEAR(TODAY()),MONTH(TODAY()),1),5))-MONTH(IF(ISNUMBER(Suppliers!F5),Suppliers!F5,DATE(YEAR(TODAY()),MONTH(TODAY()),1))),12)=0,1,0),IF(Suppliers!E5="One-time",IF(5=0,1,0),1)))))),"")</f>
        <v/>
      </c>
      <c r="L7" s="10" t="str">
        <f ca="1">IFERROR(IF(OR(6&gt;=$B$1,Suppliers!A5="",NOT(ISNUMBER(Suppliers!D5)),Suppliers!L5="Expired",Suppliers!L5="Terminate"),"",Suppliers!D5*-1*IF(Suppliers!E5="Monthly",IF(AND(ISNUMBER(Suppliers!G5),(YEAR(EDATE(DATE(YEAR(TODAY()),MONTH(TODAY()),1),6))*12+MONTH(EDATE(DATE(YEAR(TODAY()),MONTH(TODAY()),1),6)))&gt;(YEAR(Suppliers!G5)*12+MONTH(Suppliers!G5))),"",1),IF(Suppliers!E5="Quarterly",IF(MOD((YEAR(EDATE(DATE(YEAR(TODAY()),MONTH(TODAY()),1),6))-YEAR(IF(ISNUMBER(Suppliers!F5),Suppliers!F5,DATE(YEAR(TODAY()),MONTH(TODAY()),1))))*12+MONTH(EDATE(DATE(YEAR(TODAY()),MONTH(TODAY()),1),6))-MONTH(IF(ISNUMBER(Suppliers!F5),Suppliers!F5,DATE(YEAR(TODAY()),MONTH(TODAY()),1))),3)=0,1,0),IF(Suppliers!E5="Semi-annual",IF(MOD((YEAR(EDATE(DATE(YEAR(TODAY()),MONTH(TODAY()),1),6))-YEAR(IF(ISNUMBER(Suppliers!F5),Suppliers!F5,DATE(YEAR(TODAY()),MONTH(TODAY()),1))))*12+MONTH(EDATE(DATE(YEAR(TODAY()),MONTH(TODAY()),1),6))-MONTH(IF(ISNUMBER(Suppliers!F5),Suppliers!F5,DATE(YEAR(TODAY()),MONTH(TODAY()),1))),6)=0,1,0),IF(Suppliers!E5="Annual",IF(MOD((YEAR(EDATE(DATE(YEAR(TODAY()),MONTH(TODAY()),1),6))-YEAR(IF(ISNUMBER(Suppliers!F5),Suppliers!F5,DATE(YEAR(TODAY()),MONTH(TODAY()),1))))*12+MONTH(EDATE(DATE(YEAR(TODAY()),MONTH(TODAY()),1),6))-MONTH(IF(ISNUMBER(Suppliers!F5),Suppliers!F5,DATE(YEAR(TODAY()),MONTH(TODAY()),1))),12)=0,1,0),IF(Suppliers!E5="One-time",IF(6=0,1,0),1)))))),"")</f>
        <v/>
      </c>
      <c r="M7" s="10" t="str">
        <f ca="1">IFERROR(IF(OR(7&gt;=$B$1,Suppliers!A5="",NOT(ISNUMBER(Suppliers!D5)),Suppliers!L5="Expired",Suppliers!L5="Terminate"),"",Suppliers!D5*-1*IF(Suppliers!E5="Monthly",IF(AND(ISNUMBER(Suppliers!G5),(YEAR(EDATE(DATE(YEAR(TODAY()),MONTH(TODAY()),1),7))*12+MONTH(EDATE(DATE(YEAR(TODAY()),MONTH(TODAY()),1),7)))&gt;(YEAR(Suppliers!G5)*12+MONTH(Suppliers!G5))),"",1),IF(Suppliers!E5="Quarterly",IF(MOD((YEAR(EDATE(DATE(YEAR(TODAY()),MONTH(TODAY()),1),7))-YEAR(IF(ISNUMBER(Suppliers!F5),Suppliers!F5,DATE(YEAR(TODAY()),MONTH(TODAY()),1))))*12+MONTH(EDATE(DATE(YEAR(TODAY()),MONTH(TODAY()),1),7))-MONTH(IF(ISNUMBER(Suppliers!F5),Suppliers!F5,DATE(YEAR(TODAY()),MONTH(TODAY()),1))),3)=0,1,0),IF(Suppliers!E5="Semi-annual",IF(MOD((YEAR(EDATE(DATE(YEAR(TODAY()),MONTH(TODAY()),1),7))-YEAR(IF(ISNUMBER(Suppliers!F5),Suppliers!F5,DATE(YEAR(TODAY()),MONTH(TODAY()),1))))*12+MONTH(EDATE(DATE(YEAR(TODAY()),MONTH(TODAY()),1),7))-MONTH(IF(ISNUMBER(Suppliers!F5),Suppliers!F5,DATE(YEAR(TODAY()),MONTH(TODAY()),1))),6)=0,1,0),IF(Suppliers!E5="Annual",IF(MOD((YEAR(EDATE(DATE(YEAR(TODAY()),MONTH(TODAY()),1),7))-YEAR(IF(ISNUMBER(Suppliers!F5),Suppliers!F5,DATE(YEAR(TODAY()),MONTH(TODAY()),1))))*12+MONTH(EDATE(DATE(YEAR(TODAY()),MONTH(TODAY()),1),7))-MONTH(IF(ISNUMBER(Suppliers!F5),Suppliers!F5,DATE(YEAR(TODAY()),MONTH(TODAY()),1))),12)=0,1,0),IF(Suppliers!E5="One-time",IF(7=0,1,0),1)))))),"")</f>
        <v/>
      </c>
      <c r="N7" s="10" t="str">
        <f ca="1">IFERROR(IF(OR(8&gt;=$B$1,Suppliers!A5="",NOT(ISNUMBER(Suppliers!D5)),Suppliers!L5="Expired",Suppliers!L5="Terminate"),"",Suppliers!D5*-1*IF(Suppliers!E5="Monthly",IF(AND(ISNUMBER(Suppliers!G5),(YEAR(EDATE(DATE(YEAR(TODAY()),MONTH(TODAY()),1),8))*12+MONTH(EDATE(DATE(YEAR(TODAY()),MONTH(TODAY()),1),8)))&gt;(YEAR(Suppliers!G5)*12+MONTH(Suppliers!G5))),"",1),IF(Suppliers!E5="Quarterly",IF(MOD((YEAR(EDATE(DATE(YEAR(TODAY()),MONTH(TODAY()),1),8))-YEAR(IF(ISNUMBER(Suppliers!F5),Suppliers!F5,DATE(YEAR(TODAY()),MONTH(TODAY()),1))))*12+MONTH(EDATE(DATE(YEAR(TODAY()),MONTH(TODAY()),1),8))-MONTH(IF(ISNUMBER(Suppliers!F5),Suppliers!F5,DATE(YEAR(TODAY()),MONTH(TODAY()),1))),3)=0,1,0),IF(Suppliers!E5="Semi-annual",IF(MOD((YEAR(EDATE(DATE(YEAR(TODAY()),MONTH(TODAY()),1),8))-YEAR(IF(ISNUMBER(Suppliers!F5),Suppliers!F5,DATE(YEAR(TODAY()),MONTH(TODAY()),1))))*12+MONTH(EDATE(DATE(YEAR(TODAY()),MONTH(TODAY()),1),8))-MONTH(IF(ISNUMBER(Suppliers!F5),Suppliers!F5,DATE(YEAR(TODAY()),MONTH(TODAY()),1))),6)=0,1,0),IF(Suppliers!E5="Annual",IF(MOD((YEAR(EDATE(DATE(YEAR(TODAY()),MONTH(TODAY()),1),8))-YEAR(IF(ISNUMBER(Suppliers!F5),Suppliers!F5,DATE(YEAR(TODAY()),MONTH(TODAY()),1))))*12+MONTH(EDATE(DATE(YEAR(TODAY()),MONTH(TODAY()),1),8))-MONTH(IF(ISNUMBER(Suppliers!F5),Suppliers!F5,DATE(YEAR(TODAY()),MONTH(TODAY()),1))),12)=0,1,0),IF(Suppliers!E5="One-time",IF(8=0,1,0),1)))))),"")</f>
        <v/>
      </c>
      <c r="O7" s="10" t="str">
        <f ca="1">IFERROR(IF(OR(9&gt;=$B$1,Suppliers!A5="",NOT(ISNUMBER(Suppliers!D5)),Suppliers!L5="Expired",Suppliers!L5="Terminate"),"",Suppliers!D5*-1*IF(Suppliers!E5="Monthly",IF(AND(ISNUMBER(Suppliers!G5),(YEAR(EDATE(DATE(YEAR(TODAY()),MONTH(TODAY()),1),9))*12+MONTH(EDATE(DATE(YEAR(TODAY()),MONTH(TODAY()),1),9)))&gt;(YEAR(Suppliers!G5)*12+MONTH(Suppliers!G5))),"",1),IF(Suppliers!E5="Quarterly",IF(MOD((YEAR(EDATE(DATE(YEAR(TODAY()),MONTH(TODAY()),1),9))-YEAR(IF(ISNUMBER(Suppliers!F5),Suppliers!F5,DATE(YEAR(TODAY()),MONTH(TODAY()),1))))*12+MONTH(EDATE(DATE(YEAR(TODAY()),MONTH(TODAY()),1),9))-MONTH(IF(ISNUMBER(Suppliers!F5),Suppliers!F5,DATE(YEAR(TODAY()),MONTH(TODAY()),1))),3)=0,1,0),IF(Suppliers!E5="Semi-annual",IF(MOD((YEAR(EDATE(DATE(YEAR(TODAY()),MONTH(TODAY()),1),9))-YEAR(IF(ISNUMBER(Suppliers!F5),Suppliers!F5,DATE(YEAR(TODAY()),MONTH(TODAY()),1))))*12+MONTH(EDATE(DATE(YEAR(TODAY()),MONTH(TODAY()),1),9))-MONTH(IF(ISNUMBER(Suppliers!F5),Suppliers!F5,DATE(YEAR(TODAY()),MONTH(TODAY()),1))),6)=0,1,0),IF(Suppliers!E5="Annual",IF(MOD((YEAR(EDATE(DATE(YEAR(TODAY()),MONTH(TODAY()),1),9))-YEAR(IF(ISNUMBER(Suppliers!F5),Suppliers!F5,DATE(YEAR(TODAY()),MONTH(TODAY()),1))))*12+MONTH(EDATE(DATE(YEAR(TODAY()),MONTH(TODAY()),1),9))-MONTH(IF(ISNUMBER(Suppliers!F5),Suppliers!F5,DATE(YEAR(TODAY()),MONTH(TODAY()),1))),12)=0,1,0),IF(Suppliers!E5="One-time",IF(9=0,1,0),1)))))),"")</f>
        <v/>
      </c>
      <c r="P7" s="10" t="str">
        <f ca="1">IFERROR(IF(OR(10&gt;=$B$1,Suppliers!A5="",NOT(ISNUMBER(Suppliers!D5)),Suppliers!L5="Expired",Suppliers!L5="Terminate"),"",Suppliers!D5*-1*IF(Suppliers!E5="Monthly",IF(AND(ISNUMBER(Suppliers!G5),(YEAR(EDATE(DATE(YEAR(TODAY()),MONTH(TODAY()),1),10))*12+MONTH(EDATE(DATE(YEAR(TODAY()),MONTH(TODAY()),1),10)))&gt;(YEAR(Suppliers!G5)*12+MONTH(Suppliers!G5))),"",1),IF(Suppliers!E5="Quarterly",IF(MOD((YEAR(EDATE(DATE(YEAR(TODAY()),MONTH(TODAY()),1),10))-YEAR(IF(ISNUMBER(Suppliers!F5),Suppliers!F5,DATE(YEAR(TODAY()),MONTH(TODAY()),1))))*12+MONTH(EDATE(DATE(YEAR(TODAY()),MONTH(TODAY()),1),10))-MONTH(IF(ISNUMBER(Suppliers!F5),Suppliers!F5,DATE(YEAR(TODAY()),MONTH(TODAY()),1))),3)=0,1,0),IF(Suppliers!E5="Semi-annual",IF(MOD((YEAR(EDATE(DATE(YEAR(TODAY()),MONTH(TODAY()),1),10))-YEAR(IF(ISNUMBER(Suppliers!F5),Suppliers!F5,DATE(YEAR(TODAY()),MONTH(TODAY()),1))))*12+MONTH(EDATE(DATE(YEAR(TODAY()),MONTH(TODAY()),1),10))-MONTH(IF(ISNUMBER(Suppliers!F5),Suppliers!F5,DATE(YEAR(TODAY()),MONTH(TODAY()),1))),6)=0,1,0),IF(Suppliers!E5="Annual",IF(MOD((YEAR(EDATE(DATE(YEAR(TODAY()),MONTH(TODAY()),1),10))-YEAR(IF(ISNUMBER(Suppliers!F5),Suppliers!F5,DATE(YEAR(TODAY()),MONTH(TODAY()),1))))*12+MONTH(EDATE(DATE(YEAR(TODAY()),MONTH(TODAY()),1),10))-MONTH(IF(ISNUMBER(Suppliers!F5),Suppliers!F5,DATE(YEAR(TODAY()),MONTH(TODAY()),1))),12)=0,1,0),IF(Suppliers!E5="One-time",IF(10=0,1,0),1)))))),"")</f>
        <v/>
      </c>
      <c r="Q7" s="10" t="str">
        <f ca="1">IFERROR(IF(OR(11&gt;=$B$1,Suppliers!A5="",NOT(ISNUMBER(Suppliers!D5)),Suppliers!L5="Expired",Suppliers!L5="Terminate"),"",Suppliers!D5*-1*IF(Suppliers!E5="Monthly",IF(AND(ISNUMBER(Suppliers!G5),(YEAR(EDATE(DATE(YEAR(TODAY()),MONTH(TODAY()),1),11))*12+MONTH(EDATE(DATE(YEAR(TODAY()),MONTH(TODAY()),1),11)))&gt;(YEAR(Suppliers!G5)*12+MONTH(Suppliers!G5))),"",1),IF(Suppliers!E5="Quarterly",IF(MOD((YEAR(EDATE(DATE(YEAR(TODAY()),MONTH(TODAY()),1),11))-YEAR(IF(ISNUMBER(Suppliers!F5),Suppliers!F5,DATE(YEAR(TODAY()),MONTH(TODAY()),1))))*12+MONTH(EDATE(DATE(YEAR(TODAY()),MONTH(TODAY()),1),11))-MONTH(IF(ISNUMBER(Suppliers!F5),Suppliers!F5,DATE(YEAR(TODAY()),MONTH(TODAY()),1))),3)=0,1,0),IF(Suppliers!E5="Semi-annual",IF(MOD((YEAR(EDATE(DATE(YEAR(TODAY()),MONTH(TODAY()),1),11))-YEAR(IF(ISNUMBER(Suppliers!F5),Suppliers!F5,DATE(YEAR(TODAY()),MONTH(TODAY()),1))))*12+MONTH(EDATE(DATE(YEAR(TODAY()),MONTH(TODAY()),1),11))-MONTH(IF(ISNUMBER(Suppliers!F5),Suppliers!F5,DATE(YEAR(TODAY()),MONTH(TODAY()),1))),6)=0,1,0),IF(Suppliers!E5="Annual",IF(MOD((YEAR(EDATE(DATE(YEAR(TODAY()),MONTH(TODAY()),1),11))-YEAR(IF(ISNUMBER(Suppliers!F5),Suppliers!F5,DATE(YEAR(TODAY()),MONTH(TODAY()),1))))*12+MONTH(EDATE(DATE(YEAR(TODAY()),MONTH(TODAY()),1),11))-MONTH(IF(ISNUMBER(Suppliers!F5),Suppliers!F5,DATE(YEAR(TODAY()),MONTH(TODAY()),1))),12)=0,1,0),IF(Suppliers!E5="One-time",IF(11=0,1,0),1)))))),"")</f>
        <v/>
      </c>
      <c r="R7" s="10" t="str">
        <f ca="1">IFERROR(IF(OR(12&gt;=$B$1,Suppliers!A5="",NOT(ISNUMBER(Suppliers!D5)),Suppliers!L5="Expired",Suppliers!L5="Terminate"),"",Suppliers!D5*-1*IF(Suppliers!E5="Monthly",IF(AND(ISNUMBER(Suppliers!G5),(YEAR(EDATE(DATE(YEAR(TODAY()),MONTH(TODAY()),1),12))*12+MONTH(EDATE(DATE(YEAR(TODAY()),MONTH(TODAY()),1),12)))&gt;(YEAR(Suppliers!G5)*12+MONTH(Suppliers!G5))),"",1),IF(Suppliers!E5="Quarterly",IF(MOD((YEAR(EDATE(DATE(YEAR(TODAY()),MONTH(TODAY()),1),12))-YEAR(IF(ISNUMBER(Suppliers!F5),Suppliers!F5,DATE(YEAR(TODAY()),MONTH(TODAY()),1))))*12+MONTH(EDATE(DATE(YEAR(TODAY()),MONTH(TODAY()),1),12))-MONTH(IF(ISNUMBER(Suppliers!F5),Suppliers!F5,DATE(YEAR(TODAY()),MONTH(TODAY()),1))),3)=0,1,0),IF(Suppliers!E5="Semi-annual",IF(MOD((YEAR(EDATE(DATE(YEAR(TODAY()),MONTH(TODAY()),1),12))-YEAR(IF(ISNUMBER(Suppliers!F5),Suppliers!F5,DATE(YEAR(TODAY()),MONTH(TODAY()),1))))*12+MONTH(EDATE(DATE(YEAR(TODAY()),MONTH(TODAY()),1),12))-MONTH(IF(ISNUMBER(Suppliers!F5),Suppliers!F5,DATE(YEAR(TODAY()),MONTH(TODAY()),1))),6)=0,1,0),IF(Suppliers!E5="Annual",IF(MOD((YEAR(EDATE(DATE(YEAR(TODAY()),MONTH(TODAY()),1),12))-YEAR(IF(ISNUMBER(Suppliers!F5),Suppliers!F5,DATE(YEAR(TODAY()),MONTH(TODAY()),1))))*12+MONTH(EDATE(DATE(YEAR(TODAY()),MONTH(TODAY()),1),12))-MONTH(IF(ISNUMBER(Suppliers!F5),Suppliers!F5,DATE(YEAR(TODAY()),MONTH(TODAY()),1))),12)=0,1,0),IF(Suppliers!E5="One-time",IF(12=0,1,0),1)))))),"")</f>
        <v/>
      </c>
      <c r="S7" s="10" t="str">
        <f ca="1">IFERROR(IF(OR(13&gt;=$B$1,Suppliers!A5="",NOT(ISNUMBER(Suppliers!D5)),Suppliers!L5="Expired",Suppliers!L5="Terminate"),"",Suppliers!D5*-1*IF(Suppliers!E5="Monthly",IF(AND(ISNUMBER(Suppliers!G5),(YEAR(EDATE(DATE(YEAR(TODAY()),MONTH(TODAY()),1),13))*12+MONTH(EDATE(DATE(YEAR(TODAY()),MONTH(TODAY()),1),13)))&gt;(YEAR(Suppliers!G5)*12+MONTH(Suppliers!G5))),"",1),IF(Suppliers!E5="Quarterly",IF(MOD((YEAR(EDATE(DATE(YEAR(TODAY()),MONTH(TODAY()),1),13))-YEAR(IF(ISNUMBER(Suppliers!F5),Suppliers!F5,DATE(YEAR(TODAY()),MONTH(TODAY()),1))))*12+MONTH(EDATE(DATE(YEAR(TODAY()),MONTH(TODAY()),1),13))-MONTH(IF(ISNUMBER(Suppliers!F5),Suppliers!F5,DATE(YEAR(TODAY()),MONTH(TODAY()),1))),3)=0,1,0),IF(Suppliers!E5="Semi-annual",IF(MOD((YEAR(EDATE(DATE(YEAR(TODAY()),MONTH(TODAY()),1),13))-YEAR(IF(ISNUMBER(Suppliers!F5),Suppliers!F5,DATE(YEAR(TODAY()),MONTH(TODAY()),1))))*12+MONTH(EDATE(DATE(YEAR(TODAY()),MONTH(TODAY()),1),13))-MONTH(IF(ISNUMBER(Suppliers!F5),Suppliers!F5,DATE(YEAR(TODAY()),MONTH(TODAY()),1))),6)=0,1,0),IF(Suppliers!E5="Annual",IF(MOD((YEAR(EDATE(DATE(YEAR(TODAY()),MONTH(TODAY()),1),13))-YEAR(IF(ISNUMBER(Suppliers!F5),Suppliers!F5,DATE(YEAR(TODAY()),MONTH(TODAY()),1))))*12+MONTH(EDATE(DATE(YEAR(TODAY()),MONTH(TODAY()),1),13))-MONTH(IF(ISNUMBER(Suppliers!F5),Suppliers!F5,DATE(YEAR(TODAY()),MONTH(TODAY()),1))),12)=0,1,0),IF(Suppliers!E5="One-time",IF(13=0,1,0),1)))))),"")</f>
        <v/>
      </c>
      <c r="T7" s="10" t="str">
        <f ca="1">IFERROR(IF(OR(14&gt;=$B$1,Suppliers!A5="",NOT(ISNUMBER(Suppliers!D5)),Suppliers!L5="Expired",Suppliers!L5="Terminate"),"",Suppliers!D5*-1*IF(Suppliers!E5="Monthly",IF(AND(ISNUMBER(Suppliers!G5),(YEAR(EDATE(DATE(YEAR(TODAY()),MONTH(TODAY()),1),14))*12+MONTH(EDATE(DATE(YEAR(TODAY()),MONTH(TODAY()),1),14)))&gt;(YEAR(Suppliers!G5)*12+MONTH(Suppliers!G5))),"",1),IF(Suppliers!E5="Quarterly",IF(MOD((YEAR(EDATE(DATE(YEAR(TODAY()),MONTH(TODAY()),1),14))-YEAR(IF(ISNUMBER(Suppliers!F5),Suppliers!F5,DATE(YEAR(TODAY()),MONTH(TODAY()),1))))*12+MONTH(EDATE(DATE(YEAR(TODAY()),MONTH(TODAY()),1),14))-MONTH(IF(ISNUMBER(Suppliers!F5),Suppliers!F5,DATE(YEAR(TODAY()),MONTH(TODAY()),1))),3)=0,1,0),IF(Suppliers!E5="Semi-annual",IF(MOD((YEAR(EDATE(DATE(YEAR(TODAY()),MONTH(TODAY()),1),14))-YEAR(IF(ISNUMBER(Suppliers!F5),Suppliers!F5,DATE(YEAR(TODAY()),MONTH(TODAY()),1))))*12+MONTH(EDATE(DATE(YEAR(TODAY()),MONTH(TODAY()),1),14))-MONTH(IF(ISNUMBER(Suppliers!F5),Suppliers!F5,DATE(YEAR(TODAY()),MONTH(TODAY()),1))),6)=0,1,0),IF(Suppliers!E5="Annual",IF(MOD((YEAR(EDATE(DATE(YEAR(TODAY()),MONTH(TODAY()),1),14))-YEAR(IF(ISNUMBER(Suppliers!F5),Suppliers!F5,DATE(YEAR(TODAY()),MONTH(TODAY()),1))))*12+MONTH(EDATE(DATE(YEAR(TODAY()),MONTH(TODAY()),1),14))-MONTH(IF(ISNUMBER(Suppliers!F5),Suppliers!F5,DATE(YEAR(TODAY()),MONTH(TODAY()),1))),12)=0,1,0),IF(Suppliers!E5="One-time",IF(14=0,1,0),1)))))),"")</f>
        <v/>
      </c>
      <c r="U7" s="10" t="str">
        <f ca="1">IFERROR(IF(OR(15&gt;=$B$1,Suppliers!A5="",NOT(ISNUMBER(Suppliers!D5)),Suppliers!L5="Expired",Suppliers!L5="Terminate"),"",Suppliers!D5*-1*IF(Suppliers!E5="Monthly",IF(AND(ISNUMBER(Suppliers!G5),(YEAR(EDATE(DATE(YEAR(TODAY()),MONTH(TODAY()),1),15))*12+MONTH(EDATE(DATE(YEAR(TODAY()),MONTH(TODAY()),1),15)))&gt;(YEAR(Suppliers!G5)*12+MONTH(Suppliers!G5))),"",1),IF(Suppliers!E5="Quarterly",IF(MOD((YEAR(EDATE(DATE(YEAR(TODAY()),MONTH(TODAY()),1),15))-YEAR(IF(ISNUMBER(Suppliers!F5),Suppliers!F5,DATE(YEAR(TODAY()),MONTH(TODAY()),1))))*12+MONTH(EDATE(DATE(YEAR(TODAY()),MONTH(TODAY()),1),15))-MONTH(IF(ISNUMBER(Suppliers!F5),Suppliers!F5,DATE(YEAR(TODAY()),MONTH(TODAY()),1))),3)=0,1,0),IF(Suppliers!E5="Semi-annual",IF(MOD((YEAR(EDATE(DATE(YEAR(TODAY()),MONTH(TODAY()),1),15))-YEAR(IF(ISNUMBER(Suppliers!F5),Suppliers!F5,DATE(YEAR(TODAY()),MONTH(TODAY()),1))))*12+MONTH(EDATE(DATE(YEAR(TODAY()),MONTH(TODAY()),1),15))-MONTH(IF(ISNUMBER(Suppliers!F5),Suppliers!F5,DATE(YEAR(TODAY()),MONTH(TODAY()),1))),6)=0,1,0),IF(Suppliers!E5="Annual",IF(MOD((YEAR(EDATE(DATE(YEAR(TODAY()),MONTH(TODAY()),1),15))-YEAR(IF(ISNUMBER(Suppliers!F5),Suppliers!F5,DATE(YEAR(TODAY()),MONTH(TODAY()),1))))*12+MONTH(EDATE(DATE(YEAR(TODAY()),MONTH(TODAY()),1),15))-MONTH(IF(ISNUMBER(Suppliers!F5),Suppliers!F5,DATE(YEAR(TODAY()),MONTH(TODAY()),1))),12)=0,1,0),IF(Suppliers!E5="One-time",IF(15=0,1,0),1)))))),"")</f>
        <v/>
      </c>
      <c r="V7" s="10" t="str">
        <f ca="1">IFERROR(IF(OR(16&gt;=$B$1,Suppliers!A5="",NOT(ISNUMBER(Suppliers!D5)),Suppliers!L5="Expired",Suppliers!L5="Terminate"),"",Suppliers!D5*-1*IF(Suppliers!E5="Monthly",IF(AND(ISNUMBER(Suppliers!G5),(YEAR(EDATE(DATE(YEAR(TODAY()),MONTH(TODAY()),1),16))*12+MONTH(EDATE(DATE(YEAR(TODAY()),MONTH(TODAY()),1),16)))&gt;(YEAR(Suppliers!G5)*12+MONTH(Suppliers!G5))),"",1),IF(Suppliers!E5="Quarterly",IF(MOD((YEAR(EDATE(DATE(YEAR(TODAY()),MONTH(TODAY()),1),16))-YEAR(IF(ISNUMBER(Suppliers!F5),Suppliers!F5,DATE(YEAR(TODAY()),MONTH(TODAY()),1))))*12+MONTH(EDATE(DATE(YEAR(TODAY()),MONTH(TODAY()),1),16))-MONTH(IF(ISNUMBER(Suppliers!F5),Suppliers!F5,DATE(YEAR(TODAY()),MONTH(TODAY()),1))),3)=0,1,0),IF(Suppliers!E5="Semi-annual",IF(MOD((YEAR(EDATE(DATE(YEAR(TODAY()),MONTH(TODAY()),1),16))-YEAR(IF(ISNUMBER(Suppliers!F5),Suppliers!F5,DATE(YEAR(TODAY()),MONTH(TODAY()),1))))*12+MONTH(EDATE(DATE(YEAR(TODAY()),MONTH(TODAY()),1),16))-MONTH(IF(ISNUMBER(Suppliers!F5),Suppliers!F5,DATE(YEAR(TODAY()),MONTH(TODAY()),1))),6)=0,1,0),IF(Suppliers!E5="Annual",IF(MOD((YEAR(EDATE(DATE(YEAR(TODAY()),MONTH(TODAY()),1),16))-YEAR(IF(ISNUMBER(Suppliers!F5),Suppliers!F5,DATE(YEAR(TODAY()),MONTH(TODAY()),1))))*12+MONTH(EDATE(DATE(YEAR(TODAY()),MONTH(TODAY()),1),16))-MONTH(IF(ISNUMBER(Suppliers!F5),Suppliers!F5,DATE(YEAR(TODAY()),MONTH(TODAY()),1))),12)=0,1,0),IF(Suppliers!E5="One-time",IF(16=0,1,0),1)))))),"")</f>
        <v/>
      </c>
      <c r="W7" s="10" t="str">
        <f ca="1">IFERROR(IF(OR(17&gt;=$B$1,Suppliers!A5="",NOT(ISNUMBER(Suppliers!D5)),Suppliers!L5="Expired",Suppliers!L5="Terminate"),"",Suppliers!D5*-1*IF(Suppliers!E5="Monthly",IF(AND(ISNUMBER(Suppliers!G5),(YEAR(EDATE(DATE(YEAR(TODAY()),MONTH(TODAY()),1),17))*12+MONTH(EDATE(DATE(YEAR(TODAY()),MONTH(TODAY()),1),17)))&gt;(YEAR(Suppliers!G5)*12+MONTH(Suppliers!G5))),"",1),IF(Suppliers!E5="Quarterly",IF(MOD((YEAR(EDATE(DATE(YEAR(TODAY()),MONTH(TODAY()),1),17))-YEAR(IF(ISNUMBER(Suppliers!F5),Suppliers!F5,DATE(YEAR(TODAY()),MONTH(TODAY()),1))))*12+MONTH(EDATE(DATE(YEAR(TODAY()),MONTH(TODAY()),1),17))-MONTH(IF(ISNUMBER(Suppliers!F5),Suppliers!F5,DATE(YEAR(TODAY()),MONTH(TODAY()),1))),3)=0,1,0),IF(Suppliers!E5="Semi-annual",IF(MOD((YEAR(EDATE(DATE(YEAR(TODAY()),MONTH(TODAY()),1),17))-YEAR(IF(ISNUMBER(Suppliers!F5),Suppliers!F5,DATE(YEAR(TODAY()),MONTH(TODAY()),1))))*12+MONTH(EDATE(DATE(YEAR(TODAY()),MONTH(TODAY()),1),17))-MONTH(IF(ISNUMBER(Suppliers!F5),Suppliers!F5,DATE(YEAR(TODAY()),MONTH(TODAY()),1))),6)=0,1,0),IF(Suppliers!E5="Annual",IF(MOD((YEAR(EDATE(DATE(YEAR(TODAY()),MONTH(TODAY()),1),17))-YEAR(IF(ISNUMBER(Suppliers!F5),Suppliers!F5,DATE(YEAR(TODAY()),MONTH(TODAY()),1))))*12+MONTH(EDATE(DATE(YEAR(TODAY()),MONTH(TODAY()),1),17))-MONTH(IF(ISNUMBER(Suppliers!F5),Suppliers!F5,DATE(YEAR(TODAY()),MONTH(TODAY()),1))),12)=0,1,0),IF(Suppliers!E5="One-time",IF(17=0,1,0),1)))))),"")</f>
        <v/>
      </c>
      <c r="X7" s="10" t="str">
        <f ca="1">IFERROR(IF(OR(18&gt;=$B$1,Suppliers!A5="",NOT(ISNUMBER(Suppliers!D5)),Suppliers!L5="Expired",Suppliers!L5="Terminate"),"",Suppliers!D5*-1*IF(Suppliers!E5="Monthly",IF(AND(ISNUMBER(Suppliers!G5),(YEAR(EDATE(DATE(YEAR(TODAY()),MONTH(TODAY()),1),18))*12+MONTH(EDATE(DATE(YEAR(TODAY()),MONTH(TODAY()),1),18)))&gt;(YEAR(Suppliers!G5)*12+MONTH(Suppliers!G5))),"",1),IF(Suppliers!E5="Quarterly",IF(MOD((YEAR(EDATE(DATE(YEAR(TODAY()),MONTH(TODAY()),1),18))-YEAR(IF(ISNUMBER(Suppliers!F5),Suppliers!F5,DATE(YEAR(TODAY()),MONTH(TODAY()),1))))*12+MONTH(EDATE(DATE(YEAR(TODAY()),MONTH(TODAY()),1),18))-MONTH(IF(ISNUMBER(Suppliers!F5),Suppliers!F5,DATE(YEAR(TODAY()),MONTH(TODAY()),1))),3)=0,1,0),IF(Suppliers!E5="Semi-annual",IF(MOD((YEAR(EDATE(DATE(YEAR(TODAY()),MONTH(TODAY()),1),18))-YEAR(IF(ISNUMBER(Suppliers!F5),Suppliers!F5,DATE(YEAR(TODAY()),MONTH(TODAY()),1))))*12+MONTH(EDATE(DATE(YEAR(TODAY()),MONTH(TODAY()),1),18))-MONTH(IF(ISNUMBER(Suppliers!F5),Suppliers!F5,DATE(YEAR(TODAY()),MONTH(TODAY()),1))),6)=0,1,0),IF(Suppliers!E5="Annual",IF(MOD((YEAR(EDATE(DATE(YEAR(TODAY()),MONTH(TODAY()),1),18))-YEAR(IF(ISNUMBER(Suppliers!F5),Suppliers!F5,DATE(YEAR(TODAY()),MONTH(TODAY()),1))))*12+MONTH(EDATE(DATE(YEAR(TODAY()),MONTH(TODAY()),1),18))-MONTH(IF(ISNUMBER(Suppliers!F5),Suppliers!F5,DATE(YEAR(TODAY()),MONTH(TODAY()),1))),12)=0,1,0),IF(Suppliers!E5="One-time",IF(18=0,1,0),1)))))),"")</f>
        <v/>
      </c>
      <c r="Y7" s="10" t="str">
        <f ca="1">IFERROR(IF(OR(19&gt;=$B$1,Suppliers!A5="",NOT(ISNUMBER(Suppliers!D5)),Suppliers!L5="Expired",Suppliers!L5="Terminate"),"",Suppliers!D5*-1*IF(Suppliers!E5="Monthly",IF(AND(ISNUMBER(Suppliers!G5),(YEAR(EDATE(DATE(YEAR(TODAY()),MONTH(TODAY()),1),19))*12+MONTH(EDATE(DATE(YEAR(TODAY()),MONTH(TODAY()),1),19)))&gt;(YEAR(Suppliers!G5)*12+MONTH(Suppliers!G5))),"",1),IF(Suppliers!E5="Quarterly",IF(MOD((YEAR(EDATE(DATE(YEAR(TODAY()),MONTH(TODAY()),1),19))-YEAR(IF(ISNUMBER(Suppliers!F5),Suppliers!F5,DATE(YEAR(TODAY()),MONTH(TODAY()),1))))*12+MONTH(EDATE(DATE(YEAR(TODAY()),MONTH(TODAY()),1),19))-MONTH(IF(ISNUMBER(Suppliers!F5),Suppliers!F5,DATE(YEAR(TODAY()),MONTH(TODAY()),1))),3)=0,1,0),IF(Suppliers!E5="Semi-annual",IF(MOD((YEAR(EDATE(DATE(YEAR(TODAY()),MONTH(TODAY()),1),19))-YEAR(IF(ISNUMBER(Suppliers!F5),Suppliers!F5,DATE(YEAR(TODAY()),MONTH(TODAY()),1))))*12+MONTH(EDATE(DATE(YEAR(TODAY()),MONTH(TODAY()),1),19))-MONTH(IF(ISNUMBER(Suppliers!F5),Suppliers!F5,DATE(YEAR(TODAY()),MONTH(TODAY()),1))),6)=0,1,0),IF(Suppliers!E5="Annual",IF(MOD((YEAR(EDATE(DATE(YEAR(TODAY()),MONTH(TODAY()),1),19))-YEAR(IF(ISNUMBER(Suppliers!F5),Suppliers!F5,DATE(YEAR(TODAY()),MONTH(TODAY()),1))))*12+MONTH(EDATE(DATE(YEAR(TODAY()),MONTH(TODAY()),1),19))-MONTH(IF(ISNUMBER(Suppliers!F5),Suppliers!F5,DATE(YEAR(TODAY()),MONTH(TODAY()),1))),12)=0,1,0),IF(Suppliers!E5="One-time",IF(19=0,1,0),1)))))),"")</f>
        <v/>
      </c>
      <c r="Z7" s="10" t="str">
        <f ca="1">IFERROR(IF(OR(20&gt;=$B$1,Suppliers!A5="",NOT(ISNUMBER(Suppliers!D5)),Suppliers!L5="Expired",Suppliers!L5="Terminate"),"",Suppliers!D5*-1*IF(Suppliers!E5="Monthly",IF(AND(ISNUMBER(Suppliers!G5),(YEAR(EDATE(DATE(YEAR(TODAY()),MONTH(TODAY()),1),20))*12+MONTH(EDATE(DATE(YEAR(TODAY()),MONTH(TODAY()),1),20)))&gt;(YEAR(Suppliers!G5)*12+MONTH(Suppliers!G5))),"",1),IF(Suppliers!E5="Quarterly",IF(MOD((YEAR(EDATE(DATE(YEAR(TODAY()),MONTH(TODAY()),1),20))-YEAR(IF(ISNUMBER(Suppliers!F5),Suppliers!F5,DATE(YEAR(TODAY()),MONTH(TODAY()),1))))*12+MONTH(EDATE(DATE(YEAR(TODAY()),MONTH(TODAY()),1),20))-MONTH(IF(ISNUMBER(Suppliers!F5),Suppliers!F5,DATE(YEAR(TODAY()),MONTH(TODAY()),1))),3)=0,1,0),IF(Suppliers!E5="Semi-annual",IF(MOD((YEAR(EDATE(DATE(YEAR(TODAY()),MONTH(TODAY()),1),20))-YEAR(IF(ISNUMBER(Suppliers!F5),Suppliers!F5,DATE(YEAR(TODAY()),MONTH(TODAY()),1))))*12+MONTH(EDATE(DATE(YEAR(TODAY()),MONTH(TODAY()),1),20))-MONTH(IF(ISNUMBER(Suppliers!F5),Suppliers!F5,DATE(YEAR(TODAY()),MONTH(TODAY()),1))),6)=0,1,0),IF(Suppliers!E5="Annual",IF(MOD((YEAR(EDATE(DATE(YEAR(TODAY()),MONTH(TODAY()),1),20))-YEAR(IF(ISNUMBER(Suppliers!F5),Suppliers!F5,DATE(YEAR(TODAY()),MONTH(TODAY()),1))))*12+MONTH(EDATE(DATE(YEAR(TODAY()),MONTH(TODAY()),1),20))-MONTH(IF(ISNUMBER(Suppliers!F5),Suppliers!F5,DATE(YEAR(TODAY()),MONTH(TODAY()),1))),12)=0,1,0),IF(Suppliers!E5="One-time",IF(20=0,1,0),1)))))),"")</f>
        <v/>
      </c>
      <c r="AA7" s="10" t="str">
        <f ca="1">IFERROR(IF(OR(21&gt;=$B$1,Suppliers!A5="",NOT(ISNUMBER(Suppliers!D5)),Suppliers!L5="Expired",Suppliers!L5="Terminate"),"",Suppliers!D5*-1*IF(Suppliers!E5="Monthly",IF(AND(ISNUMBER(Suppliers!G5),(YEAR(EDATE(DATE(YEAR(TODAY()),MONTH(TODAY()),1),21))*12+MONTH(EDATE(DATE(YEAR(TODAY()),MONTH(TODAY()),1),21)))&gt;(YEAR(Suppliers!G5)*12+MONTH(Suppliers!G5))),"",1),IF(Suppliers!E5="Quarterly",IF(MOD((YEAR(EDATE(DATE(YEAR(TODAY()),MONTH(TODAY()),1),21))-YEAR(IF(ISNUMBER(Suppliers!F5),Suppliers!F5,DATE(YEAR(TODAY()),MONTH(TODAY()),1))))*12+MONTH(EDATE(DATE(YEAR(TODAY()),MONTH(TODAY()),1),21))-MONTH(IF(ISNUMBER(Suppliers!F5),Suppliers!F5,DATE(YEAR(TODAY()),MONTH(TODAY()),1))),3)=0,1,0),IF(Suppliers!E5="Semi-annual",IF(MOD((YEAR(EDATE(DATE(YEAR(TODAY()),MONTH(TODAY()),1),21))-YEAR(IF(ISNUMBER(Suppliers!F5),Suppliers!F5,DATE(YEAR(TODAY()),MONTH(TODAY()),1))))*12+MONTH(EDATE(DATE(YEAR(TODAY()),MONTH(TODAY()),1),21))-MONTH(IF(ISNUMBER(Suppliers!F5),Suppliers!F5,DATE(YEAR(TODAY()),MONTH(TODAY()),1))),6)=0,1,0),IF(Suppliers!E5="Annual",IF(MOD((YEAR(EDATE(DATE(YEAR(TODAY()),MONTH(TODAY()),1),21))-YEAR(IF(ISNUMBER(Suppliers!F5),Suppliers!F5,DATE(YEAR(TODAY()),MONTH(TODAY()),1))))*12+MONTH(EDATE(DATE(YEAR(TODAY()),MONTH(TODAY()),1),21))-MONTH(IF(ISNUMBER(Suppliers!F5),Suppliers!F5,DATE(YEAR(TODAY()),MONTH(TODAY()),1))),12)=0,1,0),IF(Suppliers!E5="One-time",IF(21=0,1,0),1)))))),"")</f>
        <v/>
      </c>
      <c r="AB7" s="10" t="str">
        <f ca="1">IFERROR(IF(OR(22&gt;=$B$1,Suppliers!A5="",NOT(ISNUMBER(Suppliers!D5)),Suppliers!L5="Expired",Suppliers!L5="Terminate"),"",Suppliers!D5*-1*IF(Suppliers!E5="Monthly",IF(AND(ISNUMBER(Suppliers!G5),(YEAR(EDATE(DATE(YEAR(TODAY()),MONTH(TODAY()),1),22))*12+MONTH(EDATE(DATE(YEAR(TODAY()),MONTH(TODAY()),1),22)))&gt;(YEAR(Suppliers!G5)*12+MONTH(Suppliers!G5))),"",1),IF(Suppliers!E5="Quarterly",IF(MOD((YEAR(EDATE(DATE(YEAR(TODAY()),MONTH(TODAY()),1),22))-YEAR(IF(ISNUMBER(Suppliers!F5),Suppliers!F5,DATE(YEAR(TODAY()),MONTH(TODAY()),1))))*12+MONTH(EDATE(DATE(YEAR(TODAY()),MONTH(TODAY()),1),22))-MONTH(IF(ISNUMBER(Suppliers!F5),Suppliers!F5,DATE(YEAR(TODAY()),MONTH(TODAY()),1))),3)=0,1,0),IF(Suppliers!E5="Semi-annual",IF(MOD((YEAR(EDATE(DATE(YEAR(TODAY()),MONTH(TODAY()),1),22))-YEAR(IF(ISNUMBER(Suppliers!F5),Suppliers!F5,DATE(YEAR(TODAY()),MONTH(TODAY()),1))))*12+MONTH(EDATE(DATE(YEAR(TODAY()),MONTH(TODAY()),1),22))-MONTH(IF(ISNUMBER(Suppliers!F5),Suppliers!F5,DATE(YEAR(TODAY()),MONTH(TODAY()),1))),6)=0,1,0),IF(Suppliers!E5="Annual",IF(MOD((YEAR(EDATE(DATE(YEAR(TODAY()),MONTH(TODAY()),1),22))-YEAR(IF(ISNUMBER(Suppliers!F5),Suppliers!F5,DATE(YEAR(TODAY()),MONTH(TODAY()),1))))*12+MONTH(EDATE(DATE(YEAR(TODAY()),MONTH(TODAY()),1),22))-MONTH(IF(ISNUMBER(Suppliers!F5),Suppliers!F5,DATE(YEAR(TODAY()),MONTH(TODAY()),1))),12)=0,1,0),IF(Suppliers!E5="One-time",IF(22=0,1,0),1)))))),"")</f>
        <v/>
      </c>
      <c r="AC7" s="10" t="str">
        <f ca="1">IFERROR(IF(OR(23&gt;=$B$1,Suppliers!A5="",NOT(ISNUMBER(Suppliers!D5)),Suppliers!L5="Expired",Suppliers!L5="Terminate"),"",Suppliers!D5*-1*IF(Suppliers!E5="Monthly",IF(AND(ISNUMBER(Suppliers!G5),(YEAR(EDATE(DATE(YEAR(TODAY()),MONTH(TODAY()),1),23))*12+MONTH(EDATE(DATE(YEAR(TODAY()),MONTH(TODAY()),1),23)))&gt;(YEAR(Suppliers!G5)*12+MONTH(Suppliers!G5))),"",1),IF(Suppliers!E5="Quarterly",IF(MOD((YEAR(EDATE(DATE(YEAR(TODAY()),MONTH(TODAY()),1),23))-YEAR(IF(ISNUMBER(Suppliers!F5),Suppliers!F5,DATE(YEAR(TODAY()),MONTH(TODAY()),1))))*12+MONTH(EDATE(DATE(YEAR(TODAY()),MONTH(TODAY()),1),23))-MONTH(IF(ISNUMBER(Suppliers!F5),Suppliers!F5,DATE(YEAR(TODAY()),MONTH(TODAY()),1))),3)=0,1,0),IF(Suppliers!E5="Semi-annual",IF(MOD((YEAR(EDATE(DATE(YEAR(TODAY()),MONTH(TODAY()),1),23))-YEAR(IF(ISNUMBER(Suppliers!F5),Suppliers!F5,DATE(YEAR(TODAY()),MONTH(TODAY()),1))))*12+MONTH(EDATE(DATE(YEAR(TODAY()),MONTH(TODAY()),1),23))-MONTH(IF(ISNUMBER(Suppliers!F5),Suppliers!F5,DATE(YEAR(TODAY()),MONTH(TODAY()),1))),6)=0,1,0),IF(Suppliers!E5="Annual",IF(MOD((YEAR(EDATE(DATE(YEAR(TODAY()),MONTH(TODAY()),1),23))-YEAR(IF(ISNUMBER(Suppliers!F5),Suppliers!F5,DATE(YEAR(TODAY()),MONTH(TODAY()),1))))*12+MONTH(EDATE(DATE(YEAR(TODAY()),MONTH(TODAY()),1),23))-MONTH(IF(ISNUMBER(Suppliers!F5),Suppliers!F5,DATE(YEAR(TODAY()),MONTH(TODAY()),1))),12)=0,1,0),IF(Suppliers!E5="One-time",IF(23=0,1,0),1)))))),"")</f>
        <v/>
      </c>
    </row>
    <row r="8" spans="1:29" ht="15" customHeight="1" x14ac:dyDescent="0.35">
      <c r="A8" s="4" t="s">
        <v>80</v>
      </c>
      <c r="B8" s="4" t="str">
        <f>IF(Suppliers!A6="","",Suppliers!A6)</f>
        <v>Epsilon HR Solutions</v>
      </c>
      <c r="C8" s="10">
        <f>IF(Suppliers!C6="","",Suppliers!C6)</f>
        <v>420.17</v>
      </c>
      <c r="D8" s="10">
        <f>IF(Suppliers!D6="","",Suppliers!D6)</f>
        <v>500</v>
      </c>
      <c r="E8" s="4" t="str">
        <f>IF(Suppliers!E6="","",Suppliers!E6)</f>
        <v>Monthly</v>
      </c>
      <c r="F8" s="10">
        <f ca="1">IFERROR(IF(OR(0&gt;=$B$1,Suppliers!A6="",NOT(ISNUMBER(Suppliers!D6)),Suppliers!L6="Expired",Suppliers!L6="Terminate"),"",Suppliers!D6*-1*IF(Suppliers!E6="Monthly",IF(AND(ISNUMBER(Suppliers!G6),(YEAR(EDATE(DATE(YEAR(TODAY()),MONTH(TODAY()),1),0))*12+MONTH(EDATE(DATE(YEAR(TODAY()),MONTH(TODAY()),1),0)))&gt;(YEAR(Suppliers!G6)*12+MONTH(Suppliers!G6))),"",1),IF(Suppliers!E6="Quarterly",IF(MOD((YEAR(EDATE(DATE(YEAR(TODAY()),MONTH(TODAY()),1),0))-YEAR(IF(ISNUMBER(Suppliers!F6),Suppliers!F6,DATE(YEAR(TODAY()),MONTH(TODAY()),1))))*12+MONTH(EDATE(DATE(YEAR(TODAY()),MONTH(TODAY()),1),0))-MONTH(IF(ISNUMBER(Suppliers!F6),Suppliers!F6,DATE(YEAR(TODAY()),MONTH(TODAY()),1))),3)=0,1,0),IF(Suppliers!E6="Semi-annual",IF(MOD((YEAR(EDATE(DATE(YEAR(TODAY()),MONTH(TODAY()),1),0))-YEAR(IF(ISNUMBER(Suppliers!F6),Suppliers!F6,DATE(YEAR(TODAY()),MONTH(TODAY()),1))))*12+MONTH(EDATE(DATE(YEAR(TODAY()),MONTH(TODAY()),1),0))-MONTH(IF(ISNUMBER(Suppliers!F6),Suppliers!F6,DATE(YEAR(TODAY()),MONTH(TODAY()),1))),6)=0,1,0),IF(Suppliers!E6="Annual",IF(MOD((YEAR(EDATE(DATE(YEAR(TODAY()),MONTH(TODAY()),1),0))-YEAR(IF(ISNUMBER(Suppliers!F6),Suppliers!F6,DATE(YEAR(TODAY()),MONTH(TODAY()),1))))*12+MONTH(EDATE(DATE(YEAR(TODAY()),MONTH(TODAY()),1),0))-MONTH(IF(ISNUMBER(Suppliers!F6),Suppliers!F6,DATE(YEAR(TODAY()),MONTH(TODAY()),1))),12)=0,1,0),IF(Suppliers!E6="One-time",IF(0=0,1,0),1)))))),"")</f>
        <v>-500</v>
      </c>
      <c r="G8" s="10">
        <f ca="1">IFERROR(IF(OR(1&gt;=$B$1,Suppliers!A6="",NOT(ISNUMBER(Suppliers!D6)),Suppliers!L6="Expired",Suppliers!L6="Terminate"),"",Suppliers!D6*-1*IF(Suppliers!E6="Monthly",IF(AND(ISNUMBER(Suppliers!G6),(YEAR(EDATE(DATE(YEAR(TODAY()),MONTH(TODAY()),1),1))*12+MONTH(EDATE(DATE(YEAR(TODAY()),MONTH(TODAY()),1),1)))&gt;(YEAR(Suppliers!G6)*12+MONTH(Suppliers!G6))),"",1),IF(Suppliers!E6="Quarterly",IF(MOD((YEAR(EDATE(DATE(YEAR(TODAY()),MONTH(TODAY()),1),1))-YEAR(IF(ISNUMBER(Suppliers!F6),Suppliers!F6,DATE(YEAR(TODAY()),MONTH(TODAY()),1))))*12+MONTH(EDATE(DATE(YEAR(TODAY()),MONTH(TODAY()),1),1))-MONTH(IF(ISNUMBER(Suppliers!F6),Suppliers!F6,DATE(YEAR(TODAY()),MONTH(TODAY()),1))),3)=0,1,0),IF(Suppliers!E6="Semi-annual",IF(MOD((YEAR(EDATE(DATE(YEAR(TODAY()),MONTH(TODAY()),1),1))-YEAR(IF(ISNUMBER(Suppliers!F6),Suppliers!F6,DATE(YEAR(TODAY()),MONTH(TODAY()),1))))*12+MONTH(EDATE(DATE(YEAR(TODAY()),MONTH(TODAY()),1),1))-MONTH(IF(ISNUMBER(Suppliers!F6),Suppliers!F6,DATE(YEAR(TODAY()),MONTH(TODAY()),1))),6)=0,1,0),IF(Suppliers!E6="Annual",IF(MOD((YEAR(EDATE(DATE(YEAR(TODAY()),MONTH(TODAY()),1),1))-YEAR(IF(ISNUMBER(Suppliers!F6),Suppliers!F6,DATE(YEAR(TODAY()),MONTH(TODAY()),1))))*12+MONTH(EDATE(DATE(YEAR(TODAY()),MONTH(TODAY()),1),1))-MONTH(IF(ISNUMBER(Suppliers!F6),Suppliers!F6,DATE(YEAR(TODAY()),MONTH(TODAY()),1))),12)=0,1,0),IF(Suppliers!E6="One-time",IF(1=0,1,0),1)))))),"")</f>
        <v>-500</v>
      </c>
      <c r="H8" s="10">
        <f ca="1">IFERROR(IF(OR(2&gt;=$B$1,Suppliers!A6="",NOT(ISNUMBER(Suppliers!D6)),Suppliers!L6="Expired",Suppliers!L6="Terminate"),"",Suppliers!D6*-1*IF(Suppliers!E6="Monthly",IF(AND(ISNUMBER(Suppliers!G6),(YEAR(EDATE(DATE(YEAR(TODAY()),MONTH(TODAY()),1),2))*12+MONTH(EDATE(DATE(YEAR(TODAY()),MONTH(TODAY()),1),2)))&gt;(YEAR(Suppliers!G6)*12+MONTH(Suppliers!G6))),"",1),IF(Suppliers!E6="Quarterly",IF(MOD((YEAR(EDATE(DATE(YEAR(TODAY()),MONTH(TODAY()),1),2))-YEAR(IF(ISNUMBER(Suppliers!F6),Suppliers!F6,DATE(YEAR(TODAY()),MONTH(TODAY()),1))))*12+MONTH(EDATE(DATE(YEAR(TODAY()),MONTH(TODAY()),1),2))-MONTH(IF(ISNUMBER(Suppliers!F6),Suppliers!F6,DATE(YEAR(TODAY()),MONTH(TODAY()),1))),3)=0,1,0),IF(Suppliers!E6="Semi-annual",IF(MOD((YEAR(EDATE(DATE(YEAR(TODAY()),MONTH(TODAY()),1),2))-YEAR(IF(ISNUMBER(Suppliers!F6),Suppliers!F6,DATE(YEAR(TODAY()),MONTH(TODAY()),1))))*12+MONTH(EDATE(DATE(YEAR(TODAY()),MONTH(TODAY()),1),2))-MONTH(IF(ISNUMBER(Suppliers!F6),Suppliers!F6,DATE(YEAR(TODAY()),MONTH(TODAY()),1))),6)=0,1,0),IF(Suppliers!E6="Annual",IF(MOD((YEAR(EDATE(DATE(YEAR(TODAY()),MONTH(TODAY()),1),2))-YEAR(IF(ISNUMBER(Suppliers!F6),Suppliers!F6,DATE(YEAR(TODAY()),MONTH(TODAY()),1))))*12+MONTH(EDATE(DATE(YEAR(TODAY()),MONTH(TODAY()),1),2))-MONTH(IF(ISNUMBER(Suppliers!F6),Suppliers!F6,DATE(YEAR(TODAY()),MONTH(TODAY()),1))),12)=0,1,0),IF(Suppliers!E6="One-time",IF(2=0,1,0),1)))))),"")</f>
        <v>-500</v>
      </c>
      <c r="I8" s="10" t="str">
        <f ca="1">IFERROR(IF(OR(3&gt;=$B$1,Suppliers!A6="",NOT(ISNUMBER(Suppliers!D6)),Suppliers!L6="Expired",Suppliers!L6="Terminate"),"",Suppliers!D6*-1*IF(Suppliers!E6="Monthly",IF(AND(ISNUMBER(Suppliers!G6),(YEAR(EDATE(DATE(YEAR(TODAY()),MONTH(TODAY()),1),3))*12+MONTH(EDATE(DATE(YEAR(TODAY()),MONTH(TODAY()),1),3)))&gt;(YEAR(Suppliers!G6)*12+MONTH(Suppliers!G6))),"",1),IF(Suppliers!E6="Quarterly",IF(MOD((YEAR(EDATE(DATE(YEAR(TODAY()),MONTH(TODAY()),1),3))-YEAR(IF(ISNUMBER(Suppliers!F6),Suppliers!F6,DATE(YEAR(TODAY()),MONTH(TODAY()),1))))*12+MONTH(EDATE(DATE(YEAR(TODAY()),MONTH(TODAY()),1),3))-MONTH(IF(ISNUMBER(Suppliers!F6),Suppliers!F6,DATE(YEAR(TODAY()),MONTH(TODAY()),1))),3)=0,1,0),IF(Suppliers!E6="Semi-annual",IF(MOD((YEAR(EDATE(DATE(YEAR(TODAY()),MONTH(TODAY()),1),3))-YEAR(IF(ISNUMBER(Suppliers!F6),Suppliers!F6,DATE(YEAR(TODAY()),MONTH(TODAY()),1))))*12+MONTH(EDATE(DATE(YEAR(TODAY()),MONTH(TODAY()),1),3))-MONTH(IF(ISNUMBER(Suppliers!F6),Suppliers!F6,DATE(YEAR(TODAY()),MONTH(TODAY()),1))),6)=0,1,0),IF(Suppliers!E6="Annual",IF(MOD((YEAR(EDATE(DATE(YEAR(TODAY()),MONTH(TODAY()),1),3))-YEAR(IF(ISNUMBER(Suppliers!F6),Suppliers!F6,DATE(YEAR(TODAY()),MONTH(TODAY()),1))))*12+MONTH(EDATE(DATE(YEAR(TODAY()),MONTH(TODAY()),1),3))-MONTH(IF(ISNUMBER(Suppliers!F6),Suppliers!F6,DATE(YEAR(TODAY()),MONTH(TODAY()),1))),12)=0,1,0),IF(Suppliers!E6="One-time",IF(3=0,1,0),1)))))),"")</f>
        <v/>
      </c>
      <c r="J8" s="10" t="str">
        <f ca="1">IFERROR(IF(OR(4&gt;=$B$1,Suppliers!A6="",NOT(ISNUMBER(Suppliers!D6)),Suppliers!L6="Expired",Suppliers!L6="Terminate"),"",Suppliers!D6*-1*IF(Suppliers!E6="Monthly",IF(AND(ISNUMBER(Suppliers!G6),(YEAR(EDATE(DATE(YEAR(TODAY()),MONTH(TODAY()),1),4))*12+MONTH(EDATE(DATE(YEAR(TODAY()),MONTH(TODAY()),1),4)))&gt;(YEAR(Suppliers!G6)*12+MONTH(Suppliers!G6))),"",1),IF(Suppliers!E6="Quarterly",IF(MOD((YEAR(EDATE(DATE(YEAR(TODAY()),MONTH(TODAY()),1),4))-YEAR(IF(ISNUMBER(Suppliers!F6),Suppliers!F6,DATE(YEAR(TODAY()),MONTH(TODAY()),1))))*12+MONTH(EDATE(DATE(YEAR(TODAY()),MONTH(TODAY()),1),4))-MONTH(IF(ISNUMBER(Suppliers!F6),Suppliers!F6,DATE(YEAR(TODAY()),MONTH(TODAY()),1))),3)=0,1,0),IF(Suppliers!E6="Semi-annual",IF(MOD((YEAR(EDATE(DATE(YEAR(TODAY()),MONTH(TODAY()),1),4))-YEAR(IF(ISNUMBER(Suppliers!F6),Suppliers!F6,DATE(YEAR(TODAY()),MONTH(TODAY()),1))))*12+MONTH(EDATE(DATE(YEAR(TODAY()),MONTH(TODAY()),1),4))-MONTH(IF(ISNUMBER(Suppliers!F6),Suppliers!F6,DATE(YEAR(TODAY()),MONTH(TODAY()),1))),6)=0,1,0),IF(Suppliers!E6="Annual",IF(MOD((YEAR(EDATE(DATE(YEAR(TODAY()),MONTH(TODAY()),1),4))-YEAR(IF(ISNUMBER(Suppliers!F6),Suppliers!F6,DATE(YEAR(TODAY()),MONTH(TODAY()),1))))*12+MONTH(EDATE(DATE(YEAR(TODAY()),MONTH(TODAY()),1),4))-MONTH(IF(ISNUMBER(Suppliers!F6),Suppliers!F6,DATE(YEAR(TODAY()),MONTH(TODAY()),1))),12)=0,1,0),IF(Suppliers!E6="One-time",IF(4=0,1,0),1)))))),"")</f>
        <v/>
      </c>
      <c r="K8" s="10" t="str">
        <f ca="1">IFERROR(IF(OR(5&gt;=$B$1,Suppliers!A6="",NOT(ISNUMBER(Suppliers!D6)),Suppliers!L6="Expired",Suppliers!L6="Terminate"),"",Suppliers!D6*-1*IF(Suppliers!E6="Monthly",IF(AND(ISNUMBER(Suppliers!G6),(YEAR(EDATE(DATE(YEAR(TODAY()),MONTH(TODAY()),1),5))*12+MONTH(EDATE(DATE(YEAR(TODAY()),MONTH(TODAY()),1),5)))&gt;(YEAR(Suppliers!G6)*12+MONTH(Suppliers!G6))),"",1),IF(Suppliers!E6="Quarterly",IF(MOD((YEAR(EDATE(DATE(YEAR(TODAY()),MONTH(TODAY()),1),5))-YEAR(IF(ISNUMBER(Suppliers!F6),Suppliers!F6,DATE(YEAR(TODAY()),MONTH(TODAY()),1))))*12+MONTH(EDATE(DATE(YEAR(TODAY()),MONTH(TODAY()),1),5))-MONTH(IF(ISNUMBER(Suppliers!F6),Suppliers!F6,DATE(YEAR(TODAY()),MONTH(TODAY()),1))),3)=0,1,0),IF(Suppliers!E6="Semi-annual",IF(MOD((YEAR(EDATE(DATE(YEAR(TODAY()),MONTH(TODAY()),1),5))-YEAR(IF(ISNUMBER(Suppliers!F6),Suppliers!F6,DATE(YEAR(TODAY()),MONTH(TODAY()),1))))*12+MONTH(EDATE(DATE(YEAR(TODAY()),MONTH(TODAY()),1),5))-MONTH(IF(ISNUMBER(Suppliers!F6),Suppliers!F6,DATE(YEAR(TODAY()),MONTH(TODAY()),1))),6)=0,1,0),IF(Suppliers!E6="Annual",IF(MOD((YEAR(EDATE(DATE(YEAR(TODAY()),MONTH(TODAY()),1),5))-YEAR(IF(ISNUMBER(Suppliers!F6),Suppliers!F6,DATE(YEAR(TODAY()),MONTH(TODAY()),1))))*12+MONTH(EDATE(DATE(YEAR(TODAY()),MONTH(TODAY()),1),5))-MONTH(IF(ISNUMBER(Suppliers!F6),Suppliers!F6,DATE(YEAR(TODAY()),MONTH(TODAY()),1))),12)=0,1,0),IF(Suppliers!E6="One-time",IF(5=0,1,0),1)))))),"")</f>
        <v/>
      </c>
      <c r="L8" s="10" t="str">
        <f ca="1">IFERROR(IF(OR(6&gt;=$B$1,Suppliers!A6="",NOT(ISNUMBER(Suppliers!D6)),Suppliers!L6="Expired",Suppliers!L6="Terminate"),"",Suppliers!D6*-1*IF(Suppliers!E6="Monthly",IF(AND(ISNUMBER(Suppliers!G6),(YEAR(EDATE(DATE(YEAR(TODAY()),MONTH(TODAY()),1),6))*12+MONTH(EDATE(DATE(YEAR(TODAY()),MONTH(TODAY()),1),6)))&gt;(YEAR(Suppliers!G6)*12+MONTH(Suppliers!G6))),"",1),IF(Suppliers!E6="Quarterly",IF(MOD((YEAR(EDATE(DATE(YEAR(TODAY()),MONTH(TODAY()),1),6))-YEAR(IF(ISNUMBER(Suppliers!F6),Suppliers!F6,DATE(YEAR(TODAY()),MONTH(TODAY()),1))))*12+MONTH(EDATE(DATE(YEAR(TODAY()),MONTH(TODAY()),1),6))-MONTH(IF(ISNUMBER(Suppliers!F6),Suppliers!F6,DATE(YEAR(TODAY()),MONTH(TODAY()),1))),3)=0,1,0),IF(Suppliers!E6="Semi-annual",IF(MOD((YEAR(EDATE(DATE(YEAR(TODAY()),MONTH(TODAY()),1),6))-YEAR(IF(ISNUMBER(Suppliers!F6),Suppliers!F6,DATE(YEAR(TODAY()),MONTH(TODAY()),1))))*12+MONTH(EDATE(DATE(YEAR(TODAY()),MONTH(TODAY()),1),6))-MONTH(IF(ISNUMBER(Suppliers!F6),Suppliers!F6,DATE(YEAR(TODAY()),MONTH(TODAY()),1))),6)=0,1,0),IF(Suppliers!E6="Annual",IF(MOD((YEAR(EDATE(DATE(YEAR(TODAY()),MONTH(TODAY()),1),6))-YEAR(IF(ISNUMBER(Suppliers!F6),Suppliers!F6,DATE(YEAR(TODAY()),MONTH(TODAY()),1))))*12+MONTH(EDATE(DATE(YEAR(TODAY()),MONTH(TODAY()),1),6))-MONTH(IF(ISNUMBER(Suppliers!F6),Suppliers!F6,DATE(YEAR(TODAY()),MONTH(TODAY()),1))),12)=0,1,0),IF(Suppliers!E6="One-time",IF(6=0,1,0),1)))))),"")</f>
        <v/>
      </c>
      <c r="M8" s="10" t="str">
        <f ca="1">IFERROR(IF(OR(7&gt;=$B$1,Suppliers!A6="",NOT(ISNUMBER(Suppliers!D6)),Suppliers!L6="Expired",Suppliers!L6="Terminate"),"",Suppliers!D6*-1*IF(Suppliers!E6="Monthly",IF(AND(ISNUMBER(Suppliers!G6),(YEAR(EDATE(DATE(YEAR(TODAY()),MONTH(TODAY()),1),7))*12+MONTH(EDATE(DATE(YEAR(TODAY()),MONTH(TODAY()),1),7)))&gt;(YEAR(Suppliers!G6)*12+MONTH(Suppliers!G6))),"",1),IF(Suppliers!E6="Quarterly",IF(MOD((YEAR(EDATE(DATE(YEAR(TODAY()),MONTH(TODAY()),1),7))-YEAR(IF(ISNUMBER(Suppliers!F6),Suppliers!F6,DATE(YEAR(TODAY()),MONTH(TODAY()),1))))*12+MONTH(EDATE(DATE(YEAR(TODAY()),MONTH(TODAY()),1),7))-MONTH(IF(ISNUMBER(Suppliers!F6),Suppliers!F6,DATE(YEAR(TODAY()),MONTH(TODAY()),1))),3)=0,1,0),IF(Suppliers!E6="Semi-annual",IF(MOD((YEAR(EDATE(DATE(YEAR(TODAY()),MONTH(TODAY()),1),7))-YEAR(IF(ISNUMBER(Suppliers!F6),Suppliers!F6,DATE(YEAR(TODAY()),MONTH(TODAY()),1))))*12+MONTH(EDATE(DATE(YEAR(TODAY()),MONTH(TODAY()),1),7))-MONTH(IF(ISNUMBER(Suppliers!F6),Suppliers!F6,DATE(YEAR(TODAY()),MONTH(TODAY()),1))),6)=0,1,0),IF(Suppliers!E6="Annual",IF(MOD((YEAR(EDATE(DATE(YEAR(TODAY()),MONTH(TODAY()),1),7))-YEAR(IF(ISNUMBER(Suppliers!F6),Suppliers!F6,DATE(YEAR(TODAY()),MONTH(TODAY()),1))))*12+MONTH(EDATE(DATE(YEAR(TODAY()),MONTH(TODAY()),1),7))-MONTH(IF(ISNUMBER(Suppliers!F6),Suppliers!F6,DATE(YEAR(TODAY()),MONTH(TODAY()),1))),12)=0,1,0),IF(Suppliers!E6="One-time",IF(7=0,1,0),1)))))),"")</f>
        <v/>
      </c>
      <c r="N8" s="10" t="str">
        <f ca="1">IFERROR(IF(OR(8&gt;=$B$1,Suppliers!A6="",NOT(ISNUMBER(Suppliers!D6)),Suppliers!L6="Expired",Suppliers!L6="Terminate"),"",Suppliers!D6*-1*IF(Suppliers!E6="Monthly",IF(AND(ISNUMBER(Suppliers!G6),(YEAR(EDATE(DATE(YEAR(TODAY()),MONTH(TODAY()),1),8))*12+MONTH(EDATE(DATE(YEAR(TODAY()),MONTH(TODAY()),1),8)))&gt;(YEAR(Suppliers!G6)*12+MONTH(Suppliers!G6))),"",1),IF(Suppliers!E6="Quarterly",IF(MOD((YEAR(EDATE(DATE(YEAR(TODAY()),MONTH(TODAY()),1),8))-YEAR(IF(ISNUMBER(Suppliers!F6),Suppliers!F6,DATE(YEAR(TODAY()),MONTH(TODAY()),1))))*12+MONTH(EDATE(DATE(YEAR(TODAY()),MONTH(TODAY()),1),8))-MONTH(IF(ISNUMBER(Suppliers!F6),Suppliers!F6,DATE(YEAR(TODAY()),MONTH(TODAY()),1))),3)=0,1,0),IF(Suppliers!E6="Semi-annual",IF(MOD((YEAR(EDATE(DATE(YEAR(TODAY()),MONTH(TODAY()),1),8))-YEAR(IF(ISNUMBER(Suppliers!F6),Suppliers!F6,DATE(YEAR(TODAY()),MONTH(TODAY()),1))))*12+MONTH(EDATE(DATE(YEAR(TODAY()),MONTH(TODAY()),1),8))-MONTH(IF(ISNUMBER(Suppliers!F6),Suppliers!F6,DATE(YEAR(TODAY()),MONTH(TODAY()),1))),6)=0,1,0),IF(Suppliers!E6="Annual",IF(MOD((YEAR(EDATE(DATE(YEAR(TODAY()),MONTH(TODAY()),1),8))-YEAR(IF(ISNUMBER(Suppliers!F6),Suppliers!F6,DATE(YEAR(TODAY()),MONTH(TODAY()),1))))*12+MONTH(EDATE(DATE(YEAR(TODAY()),MONTH(TODAY()),1),8))-MONTH(IF(ISNUMBER(Suppliers!F6),Suppliers!F6,DATE(YEAR(TODAY()),MONTH(TODAY()),1))),12)=0,1,0),IF(Suppliers!E6="One-time",IF(8=0,1,0),1)))))),"")</f>
        <v/>
      </c>
      <c r="O8" s="10" t="str">
        <f ca="1">IFERROR(IF(OR(9&gt;=$B$1,Suppliers!A6="",NOT(ISNUMBER(Suppliers!D6)),Suppliers!L6="Expired",Suppliers!L6="Terminate"),"",Suppliers!D6*-1*IF(Suppliers!E6="Monthly",IF(AND(ISNUMBER(Suppliers!G6),(YEAR(EDATE(DATE(YEAR(TODAY()),MONTH(TODAY()),1),9))*12+MONTH(EDATE(DATE(YEAR(TODAY()),MONTH(TODAY()),1),9)))&gt;(YEAR(Suppliers!G6)*12+MONTH(Suppliers!G6))),"",1),IF(Suppliers!E6="Quarterly",IF(MOD((YEAR(EDATE(DATE(YEAR(TODAY()),MONTH(TODAY()),1),9))-YEAR(IF(ISNUMBER(Suppliers!F6),Suppliers!F6,DATE(YEAR(TODAY()),MONTH(TODAY()),1))))*12+MONTH(EDATE(DATE(YEAR(TODAY()),MONTH(TODAY()),1),9))-MONTH(IF(ISNUMBER(Suppliers!F6),Suppliers!F6,DATE(YEAR(TODAY()),MONTH(TODAY()),1))),3)=0,1,0),IF(Suppliers!E6="Semi-annual",IF(MOD((YEAR(EDATE(DATE(YEAR(TODAY()),MONTH(TODAY()),1),9))-YEAR(IF(ISNUMBER(Suppliers!F6),Suppliers!F6,DATE(YEAR(TODAY()),MONTH(TODAY()),1))))*12+MONTH(EDATE(DATE(YEAR(TODAY()),MONTH(TODAY()),1),9))-MONTH(IF(ISNUMBER(Suppliers!F6),Suppliers!F6,DATE(YEAR(TODAY()),MONTH(TODAY()),1))),6)=0,1,0),IF(Suppliers!E6="Annual",IF(MOD((YEAR(EDATE(DATE(YEAR(TODAY()),MONTH(TODAY()),1),9))-YEAR(IF(ISNUMBER(Suppliers!F6),Suppliers!F6,DATE(YEAR(TODAY()),MONTH(TODAY()),1))))*12+MONTH(EDATE(DATE(YEAR(TODAY()),MONTH(TODAY()),1),9))-MONTH(IF(ISNUMBER(Suppliers!F6),Suppliers!F6,DATE(YEAR(TODAY()),MONTH(TODAY()),1))),12)=0,1,0),IF(Suppliers!E6="One-time",IF(9=0,1,0),1)))))),"")</f>
        <v/>
      </c>
      <c r="P8" s="10" t="str">
        <f ca="1">IFERROR(IF(OR(10&gt;=$B$1,Suppliers!A6="",NOT(ISNUMBER(Suppliers!D6)),Suppliers!L6="Expired",Suppliers!L6="Terminate"),"",Suppliers!D6*-1*IF(Suppliers!E6="Monthly",IF(AND(ISNUMBER(Suppliers!G6),(YEAR(EDATE(DATE(YEAR(TODAY()),MONTH(TODAY()),1),10))*12+MONTH(EDATE(DATE(YEAR(TODAY()),MONTH(TODAY()),1),10)))&gt;(YEAR(Suppliers!G6)*12+MONTH(Suppliers!G6))),"",1),IF(Suppliers!E6="Quarterly",IF(MOD((YEAR(EDATE(DATE(YEAR(TODAY()),MONTH(TODAY()),1),10))-YEAR(IF(ISNUMBER(Suppliers!F6),Suppliers!F6,DATE(YEAR(TODAY()),MONTH(TODAY()),1))))*12+MONTH(EDATE(DATE(YEAR(TODAY()),MONTH(TODAY()),1),10))-MONTH(IF(ISNUMBER(Suppliers!F6),Suppliers!F6,DATE(YEAR(TODAY()),MONTH(TODAY()),1))),3)=0,1,0),IF(Suppliers!E6="Semi-annual",IF(MOD((YEAR(EDATE(DATE(YEAR(TODAY()),MONTH(TODAY()),1),10))-YEAR(IF(ISNUMBER(Suppliers!F6),Suppliers!F6,DATE(YEAR(TODAY()),MONTH(TODAY()),1))))*12+MONTH(EDATE(DATE(YEAR(TODAY()),MONTH(TODAY()),1),10))-MONTH(IF(ISNUMBER(Suppliers!F6),Suppliers!F6,DATE(YEAR(TODAY()),MONTH(TODAY()),1))),6)=0,1,0),IF(Suppliers!E6="Annual",IF(MOD((YEAR(EDATE(DATE(YEAR(TODAY()),MONTH(TODAY()),1),10))-YEAR(IF(ISNUMBER(Suppliers!F6),Suppliers!F6,DATE(YEAR(TODAY()),MONTH(TODAY()),1))))*12+MONTH(EDATE(DATE(YEAR(TODAY()),MONTH(TODAY()),1),10))-MONTH(IF(ISNUMBER(Suppliers!F6),Suppliers!F6,DATE(YEAR(TODAY()),MONTH(TODAY()),1))),12)=0,1,0),IF(Suppliers!E6="One-time",IF(10=0,1,0),1)))))),"")</f>
        <v/>
      </c>
      <c r="Q8" s="10" t="str">
        <f ca="1">IFERROR(IF(OR(11&gt;=$B$1,Suppliers!A6="",NOT(ISNUMBER(Suppliers!D6)),Suppliers!L6="Expired",Suppliers!L6="Terminate"),"",Suppliers!D6*-1*IF(Suppliers!E6="Monthly",IF(AND(ISNUMBER(Suppliers!G6),(YEAR(EDATE(DATE(YEAR(TODAY()),MONTH(TODAY()),1),11))*12+MONTH(EDATE(DATE(YEAR(TODAY()),MONTH(TODAY()),1),11)))&gt;(YEAR(Suppliers!G6)*12+MONTH(Suppliers!G6))),"",1),IF(Suppliers!E6="Quarterly",IF(MOD((YEAR(EDATE(DATE(YEAR(TODAY()),MONTH(TODAY()),1),11))-YEAR(IF(ISNUMBER(Suppliers!F6),Suppliers!F6,DATE(YEAR(TODAY()),MONTH(TODAY()),1))))*12+MONTH(EDATE(DATE(YEAR(TODAY()),MONTH(TODAY()),1),11))-MONTH(IF(ISNUMBER(Suppliers!F6),Suppliers!F6,DATE(YEAR(TODAY()),MONTH(TODAY()),1))),3)=0,1,0),IF(Suppliers!E6="Semi-annual",IF(MOD((YEAR(EDATE(DATE(YEAR(TODAY()),MONTH(TODAY()),1),11))-YEAR(IF(ISNUMBER(Suppliers!F6),Suppliers!F6,DATE(YEAR(TODAY()),MONTH(TODAY()),1))))*12+MONTH(EDATE(DATE(YEAR(TODAY()),MONTH(TODAY()),1),11))-MONTH(IF(ISNUMBER(Suppliers!F6),Suppliers!F6,DATE(YEAR(TODAY()),MONTH(TODAY()),1))),6)=0,1,0),IF(Suppliers!E6="Annual",IF(MOD((YEAR(EDATE(DATE(YEAR(TODAY()),MONTH(TODAY()),1),11))-YEAR(IF(ISNUMBER(Suppliers!F6),Suppliers!F6,DATE(YEAR(TODAY()),MONTH(TODAY()),1))))*12+MONTH(EDATE(DATE(YEAR(TODAY()),MONTH(TODAY()),1),11))-MONTH(IF(ISNUMBER(Suppliers!F6),Suppliers!F6,DATE(YEAR(TODAY()),MONTH(TODAY()),1))),12)=0,1,0),IF(Suppliers!E6="One-time",IF(11=0,1,0),1)))))),"")</f>
        <v/>
      </c>
      <c r="R8" s="10" t="str">
        <f ca="1">IFERROR(IF(OR(12&gt;=$B$1,Suppliers!A6="",NOT(ISNUMBER(Suppliers!D6)),Suppliers!L6="Expired",Suppliers!L6="Terminate"),"",Suppliers!D6*-1*IF(Suppliers!E6="Monthly",IF(AND(ISNUMBER(Suppliers!G6),(YEAR(EDATE(DATE(YEAR(TODAY()),MONTH(TODAY()),1),12))*12+MONTH(EDATE(DATE(YEAR(TODAY()),MONTH(TODAY()),1),12)))&gt;(YEAR(Suppliers!G6)*12+MONTH(Suppliers!G6))),"",1),IF(Suppliers!E6="Quarterly",IF(MOD((YEAR(EDATE(DATE(YEAR(TODAY()),MONTH(TODAY()),1),12))-YEAR(IF(ISNUMBER(Suppliers!F6),Suppliers!F6,DATE(YEAR(TODAY()),MONTH(TODAY()),1))))*12+MONTH(EDATE(DATE(YEAR(TODAY()),MONTH(TODAY()),1),12))-MONTH(IF(ISNUMBER(Suppliers!F6),Suppliers!F6,DATE(YEAR(TODAY()),MONTH(TODAY()),1))),3)=0,1,0),IF(Suppliers!E6="Semi-annual",IF(MOD((YEAR(EDATE(DATE(YEAR(TODAY()),MONTH(TODAY()),1),12))-YEAR(IF(ISNUMBER(Suppliers!F6),Suppliers!F6,DATE(YEAR(TODAY()),MONTH(TODAY()),1))))*12+MONTH(EDATE(DATE(YEAR(TODAY()),MONTH(TODAY()),1),12))-MONTH(IF(ISNUMBER(Suppliers!F6),Suppliers!F6,DATE(YEAR(TODAY()),MONTH(TODAY()),1))),6)=0,1,0),IF(Suppliers!E6="Annual",IF(MOD((YEAR(EDATE(DATE(YEAR(TODAY()),MONTH(TODAY()),1),12))-YEAR(IF(ISNUMBER(Suppliers!F6),Suppliers!F6,DATE(YEAR(TODAY()),MONTH(TODAY()),1))))*12+MONTH(EDATE(DATE(YEAR(TODAY()),MONTH(TODAY()),1),12))-MONTH(IF(ISNUMBER(Suppliers!F6),Suppliers!F6,DATE(YEAR(TODAY()),MONTH(TODAY()),1))),12)=0,1,0),IF(Suppliers!E6="One-time",IF(12=0,1,0),1)))))),"")</f>
        <v/>
      </c>
      <c r="S8" s="10" t="str">
        <f ca="1">IFERROR(IF(OR(13&gt;=$B$1,Suppliers!A6="",NOT(ISNUMBER(Suppliers!D6)),Suppliers!L6="Expired",Suppliers!L6="Terminate"),"",Suppliers!D6*-1*IF(Suppliers!E6="Monthly",IF(AND(ISNUMBER(Suppliers!G6),(YEAR(EDATE(DATE(YEAR(TODAY()),MONTH(TODAY()),1),13))*12+MONTH(EDATE(DATE(YEAR(TODAY()),MONTH(TODAY()),1),13)))&gt;(YEAR(Suppliers!G6)*12+MONTH(Suppliers!G6))),"",1),IF(Suppliers!E6="Quarterly",IF(MOD((YEAR(EDATE(DATE(YEAR(TODAY()),MONTH(TODAY()),1),13))-YEAR(IF(ISNUMBER(Suppliers!F6),Suppliers!F6,DATE(YEAR(TODAY()),MONTH(TODAY()),1))))*12+MONTH(EDATE(DATE(YEAR(TODAY()),MONTH(TODAY()),1),13))-MONTH(IF(ISNUMBER(Suppliers!F6),Suppliers!F6,DATE(YEAR(TODAY()),MONTH(TODAY()),1))),3)=0,1,0),IF(Suppliers!E6="Semi-annual",IF(MOD((YEAR(EDATE(DATE(YEAR(TODAY()),MONTH(TODAY()),1),13))-YEAR(IF(ISNUMBER(Suppliers!F6),Suppliers!F6,DATE(YEAR(TODAY()),MONTH(TODAY()),1))))*12+MONTH(EDATE(DATE(YEAR(TODAY()),MONTH(TODAY()),1),13))-MONTH(IF(ISNUMBER(Suppliers!F6),Suppliers!F6,DATE(YEAR(TODAY()),MONTH(TODAY()),1))),6)=0,1,0),IF(Suppliers!E6="Annual",IF(MOD((YEAR(EDATE(DATE(YEAR(TODAY()),MONTH(TODAY()),1),13))-YEAR(IF(ISNUMBER(Suppliers!F6),Suppliers!F6,DATE(YEAR(TODAY()),MONTH(TODAY()),1))))*12+MONTH(EDATE(DATE(YEAR(TODAY()),MONTH(TODAY()),1),13))-MONTH(IF(ISNUMBER(Suppliers!F6),Suppliers!F6,DATE(YEAR(TODAY()),MONTH(TODAY()),1))),12)=0,1,0),IF(Suppliers!E6="One-time",IF(13=0,1,0),1)))))),"")</f>
        <v/>
      </c>
      <c r="T8" s="10" t="str">
        <f ca="1">IFERROR(IF(OR(14&gt;=$B$1,Suppliers!A6="",NOT(ISNUMBER(Suppliers!D6)),Suppliers!L6="Expired",Suppliers!L6="Terminate"),"",Suppliers!D6*-1*IF(Suppliers!E6="Monthly",IF(AND(ISNUMBER(Suppliers!G6),(YEAR(EDATE(DATE(YEAR(TODAY()),MONTH(TODAY()),1),14))*12+MONTH(EDATE(DATE(YEAR(TODAY()),MONTH(TODAY()),1),14)))&gt;(YEAR(Suppliers!G6)*12+MONTH(Suppliers!G6))),"",1),IF(Suppliers!E6="Quarterly",IF(MOD((YEAR(EDATE(DATE(YEAR(TODAY()),MONTH(TODAY()),1),14))-YEAR(IF(ISNUMBER(Suppliers!F6),Suppliers!F6,DATE(YEAR(TODAY()),MONTH(TODAY()),1))))*12+MONTH(EDATE(DATE(YEAR(TODAY()),MONTH(TODAY()),1),14))-MONTH(IF(ISNUMBER(Suppliers!F6),Suppliers!F6,DATE(YEAR(TODAY()),MONTH(TODAY()),1))),3)=0,1,0),IF(Suppliers!E6="Semi-annual",IF(MOD((YEAR(EDATE(DATE(YEAR(TODAY()),MONTH(TODAY()),1),14))-YEAR(IF(ISNUMBER(Suppliers!F6),Suppliers!F6,DATE(YEAR(TODAY()),MONTH(TODAY()),1))))*12+MONTH(EDATE(DATE(YEAR(TODAY()),MONTH(TODAY()),1),14))-MONTH(IF(ISNUMBER(Suppliers!F6),Suppliers!F6,DATE(YEAR(TODAY()),MONTH(TODAY()),1))),6)=0,1,0),IF(Suppliers!E6="Annual",IF(MOD((YEAR(EDATE(DATE(YEAR(TODAY()),MONTH(TODAY()),1),14))-YEAR(IF(ISNUMBER(Suppliers!F6),Suppliers!F6,DATE(YEAR(TODAY()),MONTH(TODAY()),1))))*12+MONTH(EDATE(DATE(YEAR(TODAY()),MONTH(TODAY()),1),14))-MONTH(IF(ISNUMBER(Suppliers!F6),Suppliers!F6,DATE(YEAR(TODAY()),MONTH(TODAY()),1))),12)=0,1,0),IF(Suppliers!E6="One-time",IF(14=0,1,0),1)))))),"")</f>
        <v/>
      </c>
      <c r="U8" s="10" t="str">
        <f ca="1">IFERROR(IF(OR(15&gt;=$B$1,Suppliers!A6="",NOT(ISNUMBER(Suppliers!D6)),Suppliers!L6="Expired",Suppliers!L6="Terminate"),"",Suppliers!D6*-1*IF(Suppliers!E6="Monthly",IF(AND(ISNUMBER(Suppliers!G6),(YEAR(EDATE(DATE(YEAR(TODAY()),MONTH(TODAY()),1),15))*12+MONTH(EDATE(DATE(YEAR(TODAY()),MONTH(TODAY()),1),15)))&gt;(YEAR(Suppliers!G6)*12+MONTH(Suppliers!G6))),"",1),IF(Suppliers!E6="Quarterly",IF(MOD((YEAR(EDATE(DATE(YEAR(TODAY()),MONTH(TODAY()),1),15))-YEAR(IF(ISNUMBER(Suppliers!F6),Suppliers!F6,DATE(YEAR(TODAY()),MONTH(TODAY()),1))))*12+MONTH(EDATE(DATE(YEAR(TODAY()),MONTH(TODAY()),1),15))-MONTH(IF(ISNUMBER(Suppliers!F6),Suppliers!F6,DATE(YEAR(TODAY()),MONTH(TODAY()),1))),3)=0,1,0),IF(Suppliers!E6="Semi-annual",IF(MOD((YEAR(EDATE(DATE(YEAR(TODAY()),MONTH(TODAY()),1),15))-YEAR(IF(ISNUMBER(Suppliers!F6),Suppliers!F6,DATE(YEAR(TODAY()),MONTH(TODAY()),1))))*12+MONTH(EDATE(DATE(YEAR(TODAY()),MONTH(TODAY()),1),15))-MONTH(IF(ISNUMBER(Suppliers!F6),Suppliers!F6,DATE(YEAR(TODAY()),MONTH(TODAY()),1))),6)=0,1,0),IF(Suppliers!E6="Annual",IF(MOD((YEAR(EDATE(DATE(YEAR(TODAY()),MONTH(TODAY()),1),15))-YEAR(IF(ISNUMBER(Suppliers!F6),Suppliers!F6,DATE(YEAR(TODAY()),MONTH(TODAY()),1))))*12+MONTH(EDATE(DATE(YEAR(TODAY()),MONTH(TODAY()),1),15))-MONTH(IF(ISNUMBER(Suppliers!F6),Suppliers!F6,DATE(YEAR(TODAY()),MONTH(TODAY()),1))),12)=0,1,0),IF(Suppliers!E6="One-time",IF(15=0,1,0),1)))))),"")</f>
        <v/>
      </c>
      <c r="V8" s="10" t="str">
        <f ca="1">IFERROR(IF(OR(16&gt;=$B$1,Suppliers!A6="",NOT(ISNUMBER(Suppliers!D6)),Suppliers!L6="Expired",Suppliers!L6="Terminate"),"",Suppliers!D6*-1*IF(Suppliers!E6="Monthly",IF(AND(ISNUMBER(Suppliers!G6),(YEAR(EDATE(DATE(YEAR(TODAY()),MONTH(TODAY()),1),16))*12+MONTH(EDATE(DATE(YEAR(TODAY()),MONTH(TODAY()),1),16)))&gt;(YEAR(Suppliers!G6)*12+MONTH(Suppliers!G6))),"",1),IF(Suppliers!E6="Quarterly",IF(MOD((YEAR(EDATE(DATE(YEAR(TODAY()),MONTH(TODAY()),1),16))-YEAR(IF(ISNUMBER(Suppliers!F6),Suppliers!F6,DATE(YEAR(TODAY()),MONTH(TODAY()),1))))*12+MONTH(EDATE(DATE(YEAR(TODAY()),MONTH(TODAY()),1),16))-MONTH(IF(ISNUMBER(Suppliers!F6),Suppliers!F6,DATE(YEAR(TODAY()),MONTH(TODAY()),1))),3)=0,1,0),IF(Suppliers!E6="Semi-annual",IF(MOD((YEAR(EDATE(DATE(YEAR(TODAY()),MONTH(TODAY()),1),16))-YEAR(IF(ISNUMBER(Suppliers!F6),Suppliers!F6,DATE(YEAR(TODAY()),MONTH(TODAY()),1))))*12+MONTH(EDATE(DATE(YEAR(TODAY()),MONTH(TODAY()),1),16))-MONTH(IF(ISNUMBER(Suppliers!F6),Suppliers!F6,DATE(YEAR(TODAY()),MONTH(TODAY()),1))),6)=0,1,0),IF(Suppliers!E6="Annual",IF(MOD((YEAR(EDATE(DATE(YEAR(TODAY()),MONTH(TODAY()),1),16))-YEAR(IF(ISNUMBER(Suppliers!F6),Suppliers!F6,DATE(YEAR(TODAY()),MONTH(TODAY()),1))))*12+MONTH(EDATE(DATE(YEAR(TODAY()),MONTH(TODAY()),1),16))-MONTH(IF(ISNUMBER(Suppliers!F6),Suppliers!F6,DATE(YEAR(TODAY()),MONTH(TODAY()),1))),12)=0,1,0),IF(Suppliers!E6="One-time",IF(16=0,1,0),1)))))),"")</f>
        <v/>
      </c>
      <c r="W8" s="10" t="str">
        <f ca="1">IFERROR(IF(OR(17&gt;=$B$1,Suppliers!A6="",NOT(ISNUMBER(Suppliers!D6)),Suppliers!L6="Expired",Suppliers!L6="Terminate"),"",Suppliers!D6*-1*IF(Suppliers!E6="Monthly",IF(AND(ISNUMBER(Suppliers!G6),(YEAR(EDATE(DATE(YEAR(TODAY()),MONTH(TODAY()),1),17))*12+MONTH(EDATE(DATE(YEAR(TODAY()),MONTH(TODAY()),1),17)))&gt;(YEAR(Suppliers!G6)*12+MONTH(Suppliers!G6))),"",1),IF(Suppliers!E6="Quarterly",IF(MOD((YEAR(EDATE(DATE(YEAR(TODAY()),MONTH(TODAY()),1),17))-YEAR(IF(ISNUMBER(Suppliers!F6),Suppliers!F6,DATE(YEAR(TODAY()),MONTH(TODAY()),1))))*12+MONTH(EDATE(DATE(YEAR(TODAY()),MONTH(TODAY()),1),17))-MONTH(IF(ISNUMBER(Suppliers!F6),Suppliers!F6,DATE(YEAR(TODAY()),MONTH(TODAY()),1))),3)=0,1,0),IF(Suppliers!E6="Semi-annual",IF(MOD((YEAR(EDATE(DATE(YEAR(TODAY()),MONTH(TODAY()),1),17))-YEAR(IF(ISNUMBER(Suppliers!F6),Suppliers!F6,DATE(YEAR(TODAY()),MONTH(TODAY()),1))))*12+MONTH(EDATE(DATE(YEAR(TODAY()),MONTH(TODAY()),1),17))-MONTH(IF(ISNUMBER(Suppliers!F6),Suppliers!F6,DATE(YEAR(TODAY()),MONTH(TODAY()),1))),6)=0,1,0),IF(Suppliers!E6="Annual",IF(MOD((YEAR(EDATE(DATE(YEAR(TODAY()),MONTH(TODAY()),1),17))-YEAR(IF(ISNUMBER(Suppliers!F6),Suppliers!F6,DATE(YEAR(TODAY()),MONTH(TODAY()),1))))*12+MONTH(EDATE(DATE(YEAR(TODAY()),MONTH(TODAY()),1),17))-MONTH(IF(ISNUMBER(Suppliers!F6),Suppliers!F6,DATE(YEAR(TODAY()),MONTH(TODAY()),1))),12)=0,1,0),IF(Suppliers!E6="One-time",IF(17=0,1,0),1)))))),"")</f>
        <v/>
      </c>
      <c r="X8" s="10" t="str">
        <f ca="1">IFERROR(IF(OR(18&gt;=$B$1,Suppliers!A6="",NOT(ISNUMBER(Suppliers!D6)),Suppliers!L6="Expired",Suppliers!L6="Terminate"),"",Suppliers!D6*-1*IF(Suppliers!E6="Monthly",IF(AND(ISNUMBER(Suppliers!G6),(YEAR(EDATE(DATE(YEAR(TODAY()),MONTH(TODAY()),1),18))*12+MONTH(EDATE(DATE(YEAR(TODAY()),MONTH(TODAY()),1),18)))&gt;(YEAR(Suppliers!G6)*12+MONTH(Suppliers!G6))),"",1),IF(Suppliers!E6="Quarterly",IF(MOD((YEAR(EDATE(DATE(YEAR(TODAY()),MONTH(TODAY()),1),18))-YEAR(IF(ISNUMBER(Suppliers!F6),Suppliers!F6,DATE(YEAR(TODAY()),MONTH(TODAY()),1))))*12+MONTH(EDATE(DATE(YEAR(TODAY()),MONTH(TODAY()),1),18))-MONTH(IF(ISNUMBER(Suppliers!F6),Suppliers!F6,DATE(YEAR(TODAY()),MONTH(TODAY()),1))),3)=0,1,0),IF(Suppliers!E6="Semi-annual",IF(MOD((YEAR(EDATE(DATE(YEAR(TODAY()),MONTH(TODAY()),1),18))-YEAR(IF(ISNUMBER(Suppliers!F6),Suppliers!F6,DATE(YEAR(TODAY()),MONTH(TODAY()),1))))*12+MONTH(EDATE(DATE(YEAR(TODAY()),MONTH(TODAY()),1),18))-MONTH(IF(ISNUMBER(Suppliers!F6),Suppliers!F6,DATE(YEAR(TODAY()),MONTH(TODAY()),1))),6)=0,1,0),IF(Suppliers!E6="Annual",IF(MOD((YEAR(EDATE(DATE(YEAR(TODAY()),MONTH(TODAY()),1),18))-YEAR(IF(ISNUMBER(Suppliers!F6),Suppliers!F6,DATE(YEAR(TODAY()),MONTH(TODAY()),1))))*12+MONTH(EDATE(DATE(YEAR(TODAY()),MONTH(TODAY()),1),18))-MONTH(IF(ISNUMBER(Suppliers!F6),Suppliers!F6,DATE(YEAR(TODAY()),MONTH(TODAY()),1))),12)=0,1,0),IF(Suppliers!E6="One-time",IF(18=0,1,0),1)))))),"")</f>
        <v/>
      </c>
      <c r="Y8" s="10" t="str">
        <f ca="1">IFERROR(IF(OR(19&gt;=$B$1,Suppliers!A6="",NOT(ISNUMBER(Suppliers!D6)),Suppliers!L6="Expired",Suppliers!L6="Terminate"),"",Suppliers!D6*-1*IF(Suppliers!E6="Monthly",IF(AND(ISNUMBER(Suppliers!G6),(YEAR(EDATE(DATE(YEAR(TODAY()),MONTH(TODAY()),1),19))*12+MONTH(EDATE(DATE(YEAR(TODAY()),MONTH(TODAY()),1),19)))&gt;(YEAR(Suppliers!G6)*12+MONTH(Suppliers!G6))),"",1),IF(Suppliers!E6="Quarterly",IF(MOD((YEAR(EDATE(DATE(YEAR(TODAY()),MONTH(TODAY()),1),19))-YEAR(IF(ISNUMBER(Suppliers!F6),Suppliers!F6,DATE(YEAR(TODAY()),MONTH(TODAY()),1))))*12+MONTH(EDATE(DATE(YEAR(TODAY()),MONTH(TODAY()),1),19))-MONTH(IF(ISNUMBER(Suppliers!F6),Suppliers!F6,DATE(YEAR(TODAY()),MONTH(TODAY()),1))),3)=0,1,0),IF(Suppliers!E6="Semi-annual",IF(MOD((YEAR(EDATE(DATE(YEAR(TODAY()),MONTH(TODAY()),1),19))-YEAR(IF(ISNUMBER(Suppliers!F6),Suppliers!F6,DATE(YEAR(TODAY()),MONTH(TODAY()),1))))*12+MONTH(EDATE(DATE(YEAR(TODAY()),MONTH(TODAY()),1),19))-MONTH(IF(ISNUMBER(Suppliers!F6),Suppliers!F6,DATE(YEAR(TODAY()),MONTH(TODAY()),1))),6)=0,1,0),IF(Suppliers!E6="Annual",IF(MOD((YEAR(EDATE(DATE(YEAR(TODAY()),MONTH(TODAY()),1),19))-YEAR(IF(ISNUMBER(Suppliers!F6),Suppliers!F6,DATE(YEAR(TODAY()),MONTH(TODAY()),1))))*12+MONTH(EDATE(DATE(YEAR(TODAY()),MONTH(TODAY()),1),19))-MONTH(IF(ISNUMBER(Suppliers!F6),Suppliers!F6,DATE(YEAR(TODAY()),MONTH(TODAY()),1))),12)=0,1,0),IF(Suppliers!E6="One-time",IF(19=0,1,0),1)))))),"")</f>
        <v/>
      </c>
      <c r="Z8" s="10" t="str">
        <f ca="1">IFERROR(IF(OR(20&gt;=$B$1,Suppliers!A6="",NOT(ISNUMBER(Suppliers!D6)),Suppliers!L6="Expired",Suppliers!L6="Terminate"),"",Suppliers!D6*-1*IF(Suppliers!E6="Monthly",IF(AND(ISNUMBER(Suppliers!G6),(YEAR(EDATE(DATE(YEAR(TODAY()),MONTH(TODAY()),1),20))*12+MONTH(EDATE(DATE(YEAR(TODAY()),MONTH(TODAY()),1),20)))&gt;(YEAR(Suppliers!G6)*12+MONTH(Suppliers!G6))),"",1),IF(Suppliers!E6="Quarterly",IF(MOD((YEAR(EDATE(DATE(YEAR(TODAY()),MONTH(TODAY()),1),20))-YEAR(IF(ISNUMBER(Suppliers!F6),Suppliers!F6,DATE(YEAR(TODAY()),MONTH(TODAY()),1))))*12+MONTH(EDATE(DATE(YEAR(TODAY()),MONTH(TODAY()),1),20))-MONTH(IF(ISNUMBER(Suppliers!F6),Suppliers!F6,DATE(YEAR(TODAY()),MONTH(TODAY()),1))),3)=0,1,0),IF(Suppliers!E6="Semi-annual",IF(MOD((YEAR(EDATE(DATE(YEAR(TODAY()),MONTH(TODAY()),1),20))-YEAR(IF(ISNUMBER(Suppliers!F6),Suppliers!F6,DATE(YEAR(TODAY()),MONTH(TODAY()),1))))*12+MONTH(EDATE(DATE(YEAR(TODAY()),MONTH(TODAY()),1),20))-MONTH(IF(ISNUMBER(Suppliers!F6),Suppliers!F6,DATE(YEAR(TODAY()),MONTH(TODAY()),1))),6)=0,1,0),IF(Suppliers!E6="Annual",IF(MOD((YEAR(EDATE(DATE(YEAR(TODAY()),MONTH(TODAY()),1),20))-YEAR(IF(ISNUMBER(Suppliers!F6),Suppliers!F6,DATE(YEAR(TODAY()),MONTH(TODAY()),1))))*12+MONTH(EDATE(DATE(YEAR(TODAY()),MONTH(TODAY()),1),20))-MONTH(IF(ISNUMBER(Suppliers!F6),Suppliers!F6,DATE(YEAR(TODAY()),MONTH(TODAY()),1))),12)=0,1,0),IF(Suppliers!E6="One-time",IF(20=0,1,0),1)))))),"")</f>
        <v/>
      </c>
      <c r="AA8" s="10" t="str">
        <f ca="1">IFERROR(IF(OR(21&gt;=$B$1,Suppliers!A6="",NOT(ISNUMBER(Suppliers!D6)),Suppliers!L6="Expired",Suppliers!L6="Terminate"),"",Suppliers!D6*-1*IF(Suppliers!E6="Monthly",IF(AND(ISNUMBER(Suppliers!G6),(YEAR(EDATE(DATE(YEAR(TODAY()),MONTH(TODAY()),1),21))*12+MONTH(EDATE(DATE(YEAR(TODAY()),MONTH(TODAY()),1),21)))&gt;(YEAR(Suppliers!G6)*12+MONTH(Suppliers!G6))),"",1),IF(Suppliers!E6="Quarterly",IF(MOD((YEAR(EDATE(DATE(YEAR(TODAY()),MONTH(TODAY()),1),21))-YEAR(IF(ISNUMBER(Suppliers!F6),Suppliers!F6,DATE(YEAR(TODAY()),MONTH(TODAY()),1))))*12+MONTH(EDATE(DATE(YEAR(TODAY()),MONTH(TODAY()),1),21))-MONTH(IF(ISNUMBER(Suppliers!F6),Suppliers!F6,DATE(YEAR(TODAY()),MONTH(TODAY()),1))),3)=0,1,0),IF(Suppliers!E6="Semi-annual",IF(MOD((YEAR(EDATE(DATE(YEAR(TODAY()),MONTH(TODAY()),1),21))-YEAR(IF(ISNUMBER(Suppliers!F6),Suppliers!F6,DATE(YEAR(TODAY()),MONTH(TODAY()),1))))*12+MONTH(EDATE(DATE(YEAR(TODAY()),MONTH(TODAY()),1),21))-MONTH(IF(ISNUMBER(Suppliers!F6),Suppliers!F6,DATE(YEAR(TODAY()),MONTH(TODAY()),1))),6)=0,1,0),IF(Suppliers!E6="Annual",IF(MOD((YEAR(EDATE(DATE(YEAR(TODAY()),MONTH(TODAY()),1),21))-YEAR(IF(ISNUMBER(Suppliers!F6),Suppliers!F6,DATE(YEAR(TODAY()),MONTH(TODAY()),1))))*12+MONTH(EDATE(DATE(YEAR(TODAY()),MONTH(TODAY()),1),21))-MONTH(IF(ISNUMBER(Suppliers!F6),Suppliers!F6,DATE(YEAR(TODAY()),MONTH(TODAY()),1))),12)=0,1,0),IF(Suppliers!E6="One-time",IF(21=0,1,0),1)))))),"")</f>
        <v/>
      </c>
      <c r="AB8" s="10" t="str">
        <f ca="1">IFERROR(IF(OR(22&gt;=$B$1,Suppliers!A6="",NOT(ISNUMBER(Suppliers!D6)),Suppliers!L6="Expired",Suppliers!L6="Terminate"),"",Suppliers!D6*-1*IF(Suppliers!E6="Monthly",IF(AND(ISNUMBER(Suppliers!G6),(YEAR(EDATE(DATE(YEAR(TODAY()),MONTH(TODAY()),1),22))*12+MONTH(EDATE(DATE(YEAR(TODAY()),MONTH(TODAY()),1),22)))&gt;(YEAR(Suppliers!G6)*12+MONTH(Suppliers!G6))),"",1),IF(Suppliers!E6="Quarterly",IF(MOD((YEAR(EDATE(DATE(YEAR(TODAY()),MONTH(TODAY()),1),22))-YEAR(IF(ISNUMBER(Suppliers!F6),Suppliers!F6,DATE(YEAR(TODAY()),MONTH(TODAY()),1))))*12+MONTH(EDATE(DATE(YEAR(TODAY()),MONTH(TODAY()),1),22))-MONTH(IF(ISNUMBER(Suppliers!F6),Suppliers!F6,DATE(YEAR(TODAY()),MONTH(TODAY()),1))),3)=0,1,0),IF(Suppliers!E6="Semi-annual",IF(MOD((YEAR(EDATE(DATE(YEAR(TODAY()),MONTH(TODAY()),1),22))-YEAR(IF(ISNUMBER(Suppliers!F6),Suppliers!F6,DATE(YEAR(TODAY()),MONTH(TODAY()),1))))*12+MONTH(EDATE(DATE(YEAR(TODAY()),MONTH(TODAY()),1),22))-MONTH(IF(ISNUMBER(Suppliers!F6),Suppliers!F6,DATE(YEAR(TODAY()),MONTH(TODAY()),1))),6)=0,1,0),IF(Suppliers!E6="Annual",IF(MOD((YEAR(EDATE(DATE(YEAR(TODAY()),MONTH(TODAY()),1),22))-YEAR(IF(ISNUMBER(Suppliers!F6),Suppliers!F6,DATE(YEAR(TODAY()),MONTH(TODAY()),1))))*12+MONTH(EDATE(DATE(YEAR(TODAY()),MONTH(TODAY()),1),22))-MONTH(IF(ISNUMBER(Suppliers!F6),Suppliers!F6,DATE(YEAR(TODAY()),MONTH(TODAY()),1))),12)=0,1,0),IF(Suppliers!E6="One-time",IF(22=0,1,0),1)))))),"")</f>
        <v/>
      </c>
      <c r="AC8" s="10" t="str">
        <f ca="1">IFERROR(IF(OR(23&gt;=$B$1,Suppliers!A6="",NOT(ISNUMBER(Suppliers!D6)),Suppliers!L6="Expired",Suppliers!L6="Terminate"),"",Suppliers!D6*-1*IF(Suppliers!E6="Monthly",IF(AND(ISNUMBER(Suppliers!G6),(YEAR(EDATE(DATE(YEAR(TODAY()),MONTH(TODAY()),1),23))*12+MONTH(EDATE(DATE(YEAR(TODAY()),MONTH(TODAY()),1),23)))&gt;(YEAR(Suppliers!G6)*12+MONTH(Suppliers!G6))),"",1),IF(Suppliers!E6="Quarterly",IF(MOD((YEAR(EDATE(DATE(YEAR(TODAY()),MONTH(TODAY()),1),23))-YEAR(IF(ISNUMBER(Suppliers!F6),Suppliers!F6,DATE(YEAR(TODAY()),MONTH(TODAY()),1))))*12+MONTH(EDATE(DATE(YEAR(TODAY()),MONTH(TODAY()),1),23))-MONTH(IF(ISNUMBER(Suppliers!F6),Suppliers!F6,DATE(YEAR(TODAY()),MONTH(TODAY()),1))),3)=0,1,0),IF(Suppliers!E6="Semi-annual",IF(MOD((YEAR(EDATE(DATE(YEAR(TODAY()),MONTH(TODAY()),1),23))-YEAR(IF(ISNUMBER(Suppliers!F6),Suppliers!F6,DATE(YEAR(TODAY()),MONTH(TODAY()),1))))*12+MONTH(EDATE(DATE(YEAR(TODAY()),MONTH(TODAY()),1),23))-MONTH(IF(ISNUMBER(Suppliers!F6),Suppliers!F6,DATE(YEAR(TODAY()),MONTH(TODAY()),1))),6)=0,1,0),IF(Suppliers!E6="Annual",IF(MOD((YEAR(EDATE(DATE(YEAR(TODAY()),MONTH(TODAY()),1),23))-YEAR(IF(ISNUMBER(Suppliers!F6),Suppliers!F6,DATE(YEAR(TODAY()),MONTH(TODAY()),1))))*12+MONTH(EDATE(DATE(YEAR(TODAY()),MONTH(TODAY()),1),23))-MONTH(IF(ISNUMBER(Suppliers!F6),Suppliers!F6,DATE(YEAR(TODAY()),MONTH(TODAY()),1))),12)=0,1,0),IF(Suppliers!E6="One-time",IF(23=0,1,0),1)))))),"")</f>
        <v/>
      </c>
    </row>
    <row r="9" spans="1:29" ht="15" customHeight="1" x14ac:dyDescent="0.35">
      <c r="A9" s="4" t="s">
        <v>80</v>
      </c>
      <c r="B9" s="4" t="str">
        <f>IF(Suppliers!A7="","",Suppliers!A7)</f>
        <v>Zeta Security Ltd</v>
      </c>
      <c r="C9" s="10">
        <f>IF(Suppliers!C7="","",Suppliers!C7)</f>
        <v>252.1</v>
      </c>
      <c r="D9" s="10">
        <f>IF(Suppliers!D7="","",Suppliers!D7)</f>
        <v>300</v>
      </c>
      <c r="E9" s="4" t="str">
        <f>IF(Suppliers!E7="","",Suppliers!E7)</f>
        <v>Quarterly</v>
      </c>
      <c r="F9" s="10">
        <f ca="1">IFERROR(IF(OR(0&gt;=$B$1,Suppliers!A7="",NOT(ISNUMBER(Suppliers!D7)),Suppliers!L7="Expired",Suppliers!L7="Terminate"),"",Suppliers!D7*-1*IF(Suppliers!E7="Monthly",IF(AND(ISNUMBER(Suppliers!G7),(YEAR(EDATE(DATE(YEAR(TODAY()),MONTH(TODAY()),1),0))*12+MONTH(EDATE(DATE(YEAR(TODAY()),MONTH(TODAY()),1),0)))&gt;(YEAR(Suppliers!G7)*12+MONTH(Suppliers!G7))),"",1),IF(Suppliers!E7="Quarterly",IF(MOD((YEAR(EDATE(DATE(YEAR(TODAY()),MONTH(TODAY()),1),0))-YEAR(IF(ISNUMBER(Suppliers!F7),Suppliers!F7,DATE(YEAR(TODAY()),MONTH(TODAY()),1))))*12+MONTH(EDATE(DATE(YEAR(TODAY()),MONTH(TODAY()),1),0))-MONTH(IF(ISNUMBER(Suppliers!F7),Suppliers!F7,DATE(YEAR(TODAY()),MONTH(TODAY()),1))),3)=0,1,0),IF(Suppliers!E7="Semi-annual",IF(MOD((YEAR(EDATE(DATE(YEAR(TODAY()),MONTH(TODAY()),1),0))-YEAR(IF(ISNUMBER(Suppliers!F7),Suppliers!F7,DATE(YEAR(TODAY()),MONTH(TODAY()),1))))*12+MONTH(EDATE(DATE(YEAR(TODAY()),MONTH(TODAY()),1),0))-MONTH(IF(ISNUMBER(Suppliers!F7),Suppliers!F7,DATE(YEAR(TODAY()),MONTH(TODAY()),1))),6)=0,1,0),IF(Suppliers!E7="Annual",IF(MOD((YEAR(EDATE(DATE(YEAR(TODAY()),MONTH(TODAY()),1),0))-YEAR(IF(ISNUMBER(Suppliers!F7),Suppliers!F7,DATE(YEAR(TODAY()),MONTH(TODAY()),1))))*12+MONTH(EDATE(DATE(YEAR(TODAY()),MONTH(TODAY()),1),0))-MONTH(IF(ISNUMBER(Suppliers!F7),Suppliers!F7,DATE(YEAR(TODAY()),MONTH(TODAY()),1))),12)=0,1,0),IF(Suppliers!E7="One-time",IF(0=0,1,0),1)))))),"")</f>
        <v>0</v>
      </c>
      <c r="G9" s="10">
        <f ca="1">IFERROR(IF(OR(1&gt;=$B$1,Suppliers!A7="",NOT(ISNUMBER(Suppliers!D7)),Suppliers!L7="Expired",Suppliers!L7="Terminate"),"",Suppliers!D7*-1*IF(Suppliers!E7="Monthly",IF(AND(ISNUMBER(Suppliers!G7),(YEAR(EDATE(DATE(YEAR(TODAY()),MONTH(TODAY()),1),1))*12+MONTH(EDATE(DATE(YEAR(TODAY()),MONTH(TODAY()),1),1)))&gt;(YEAR(Suppliers!G7)*12+MONTH(Suppliers!G7))),"",1),IF(Suppliers!E7="Quarterly",IF(MOD((YEAR(EDATE(DATE(YEAR(TODAY()),MONTH(TODAY()),1),1))-YEAR(IF(ISNUMBER(Suppliers!F7),Suppliers!F7,DATE(YEAR(TODAY()),MONTH(TODAY()),1))))*12+MONTH(EDATE(DATE(YEAR(TODAY()),MONTH(TODAY()),1),1))-MONTH(IF(ISNUMBER(Suppliers!F7),Suppliers!F7,DATE(YEAR(TODAY()),MONTH(TODAY()),1))),3)=0,1,0),IF(Suppliers!E7="Semi-annual",IF(MOD((YEAR(EDATE(DATE(YEAR(TODAY()),MONTH(TODAY()),1),1))-YEAR(IF(ISNUMBER(Suppliers!F7),Suppliers!F7,DATE(YEAR(TODAY()),MONTH(TODAY()),1))))*12+MONTH(EDATE(DATE(YEAR(TODAY()),MONTH(TODAY()),1),1))-MONTH(IF(ISNUMBER(Suppliers!F7),Suppliers!F7,DATE(YEAR(TODAY()),MONTH(TODAY()),1))),6)=0,1,0),IF(Suppliers!E7="Annual",IF(MOD((YEAR(EDATE(DATE(YEAR(TODAY()),MONTH(TODAY()),1),1))-YEAR(IF(ISNUMBER(Suppliers!F7),Suppliers!F7,DATE(YEAR(TODAY()),MONTH(TODAY()),1))))*12+MONTH(EDATE(DATE(YEAR(TODAY()),MONTH(TODAY()),1),1))-MONTH(IF(ISNUMBER(Suppliers!F7),Suppliers!F7,DATE(YEAR(TODAY()),MONTH(TODAY()),1))),12)=0,1,0),IF(Suppliers!E7="One-time",IF(1=0,1,0),1)))))),"")</f>
        <v>0</v>
      </c>
      <c r="H9" s="10">
        <f ca="1">IFERROR(IF(OR(2&gt;=$B$1,Suppliers!A7="",NOT(ISNUMBER(Suppliers!D7)),Suppliers!L7="Expired",Suppliers!L7="Terminate"),"",Suppliers!D7*-1*IF(Suppliers!E7="Monthly",IF(AND(ISNUMBER(Suppliers!G7),(YEAR(EDATE(DATE(YEAR(TODAY()),MONTH(TODAY()),1),2))*12+MONTH(EDATE(DATE(YEAR(TODAY()),MONTH(TODAY()),1),2)))&gt;(YEAR(Suppliers!G7)*12+MONTH(Suppliers!G7))),"",1),IF(Suppliers!E7="Quarterly",IF(MOD((YEAR(EDATE(DATE(YEAR(TODAY()),MONTH(TODAY()),1),2))-YEAR(IF(ISNUMBER(Suppliers!F7),Suppliers!F7,DATE(YEAR(TODAY()),MONTH(TODAY()),1))))*12+MONTH(EDATE(DATE(YEAR(TODAY()),MONTH(TODAY()),1),2))-MONTH(IF(ISNUMBER(Suppliers!F7),Suppliers!F7,DATE(YEAR(TODAY()),MONTH(TODAY()),1))),3)=0,1,0),IF(Suppliers!E7="Semi-annual",IF(MOD((YEAR(EDATE(DATE(YEAR(TODAY()),MONTH(TODAY()),1),2))-YEAR(IF(ISNUMBER(Suppliers!F7),Suppliers!F7,DATE(YEAR(TODAY()),MONTH(TODAY()),1))))*12+MONTH(EDATE(DATE(YEAR(TODAY()),MONTH(TODAY()),1),2))-MONTH(IF(ISNUMBER(Suppliers!F7),Suppliers!F7,DATE(YEAR(TODAY()),MONTH(TODAY()),1))),6)=0,1,0),IF(Suppliers!E7="Annual",IF(MOD((YEAR(EDATE(DATE(YEAR(TODAY()),MONTH(TODAY()),1),2))-YEAR(IF(ISNUMBER(Suppliers!F7),Suppliers!F7,DATE(YEAR(TODAY()),MONTH(TODAY()),1))))*12+MONTH(EDATE(DATE(YEAR(TODAY()),MONTH(TODAY()),1),2))-MONTH(IF(ISNUMBER(Suppliers!F7),Suppliers!F7,DATE(YEAR(TODAY()),MONTH(TODAY()),1))),12)=0,1,0),IF(Suppliers!E7="One-time",IF(2=0,1,0),1)))))),"")</f>
        <v>-300</v>
      </c>
      <c r="I9" s="10" t="str">
        <f ca="1">IFERROR(IF(OR(3&gt;=$B$1,Suppliers!A7="",NOT(ISNUMBER(Suppliers!D7)),Suppliers!L7="Expired",Suppliers!L7="Terminate"),"",Suppliers!D7*-1*IF(Suppliers!E7="Monthly",IF(AND(ISNUMBER(Suppliers!G7),(YEAR(EDATE(DATE(YEAR(TODAY()),MONTH(TODAY()),1),3))*12+MONTH(EDATE(DATE(YEAR(TODAY()),MONTH(TODAY()),1),3)))&gt;(YEAR(Suppliers!G7)*12+MONTH(Suppliers!G7))),"",1),IF(Suppliers!E7="Quarterly",IF(MOD((YEAR(EDATE(DATE(YEAR(TODAY()),MONTH(TODAY()),1),3))-YEAR(IF(ISNUMBER(Suppliers!F7),Suppliers!F7,DATE(YEAR(TODAY()),MONTH(TODAY()),1))))*12+MONTH(EDATE(DATE(YEAR(TODAY()),MONTH(TODAY()),1),3))-MONTH(IF(ISNUMBER(Suppliers!F7),Suppliers!F7,DATE(YEAR(TODAY()),MONTH(TODAY()),1))),3)=0,1,0),IF(Suppliers!E7="Semi-annual",IF(MOD((YEAR(EDATE(DATE(YEAR(TODAY()),MONTH(TODAY()),1),3))-YEAR(IF(ISNUMBER(Suppliers!F7),Suppliers!F7,DATE(YEAR(TODAY()),MONTH(TODAY()),1))))*12+MONTH(EDATE(DATE(YEAR(TODAY()),MONTH(TODAY()),1),3))-MONTH(IF(ISNUMBER(Suppliers!F7),Suppliers!F7,DATE(YEAR(TODAY()),MONTH(TODAY()),1))),6)=0,1,0),IF(Suppliers!E7="Annual",IF(MOD((YEAR(EDATE(DATE(YEAR(TODAY()),MONTH(TODAY()),1),3))-YEAR(IF(ISNUMBER(Suppliers!F7),Suppliers!F7,DATE(YEAR(TODAY()),MONTH(TODAY()),1))))*12+MONTH(EDATE(DATE(YEAR(TODAY()),MONTH(TODAY()),1),3))-MONTH(IF(ISNUMBER(Suppliers!F7),Suppliers!F7,DATE(YEAR(TODAY()),MONTH(TODAY()),1))),12)=0,1,0),IF(Suppliers!E7="One-time",IF(3=0,1,0),1)))))),"")</f>
        <v/>
      </c>
      <c r="J9" s="10" t="str">
        <f ca="1">IFERROR(IF(OR(4&gt;=$B$1,Suppliers!A7="",NOT(ISNUMBER(Suppliers!D7)),Suppliers!L7="Expired",Suppliers!L7="Terminate"),"",Suppliers!D7*-1*IF(Suppliers!E7="Monthly",IF(AND(ISNUMBER(Suppliers!G7),(YEAR(EDATE(DATE(YEAR(TODAY()),MONTH(TODAY()),1),4))*12+MONTH(EDATE(DATE(YEAR(TODAY()),MONTH(TODAY()),1),4)))&gt;(YEAR(Suppliers!G7)*12+MONTH(Suppliers!G7))),"",1),IF(Suppliers!E7="Quarterly",IF(MOD((YEAR(EDATE(DATE(YEAR(TODAY()),MONTH(TODAY()),1),4))-YEAR(IF(ISNUMBER(Suppliers!F7),Suppliers!F7,DATE(YEAR(TODAY()),MONTH(TODAY()),1))))*12+MONTH(EDATE(DATE(YEAR(TODAY()),MONTH(TODAY()),1),4))-MONTH(IF(ISNUMBER(Suppliers!F7),Suppliers!F7,DATE(YEAR(TODAY()),MONTH(TODAY()),1))),3)=0,1,0),IF(Suppliers!E7="Semi-annual",IF(MOD((YEAR(EDATE(DATE(YEAR(TODAY()),MONTH(TODAY()),1),4))-YEAR(IF(ISNUMBER(Suppliers!F7),Suppliers!F7,DATE(YEAR(TODAY()),MONTH(TODAY()),1))))*12+MONTH(EDATE(DATE(YEAR(TODAY()),MONTH(TODAY()),1),4))-MONTH(IF(ISNUMBER(Suppliers!F7),Suppliers!F7,DATE(YEAR(TODAY()),MONTH(TODAY()),1))),6)=0,1,0),IF(Suppliers!E7="Annual",IF(MOD((YEAR(EDATE(DATE(YEAR(TODAY()),MONTH(TODAY()),1),4))-YEAR(IF(ISNUMBER(Suppliers!F7),Suppliers!F7,DATE(YEAR(TODAY()),MONTH(TODAY()),1))))*12+MONTH(EDATE(DATE(YEAR(TODAY()),MONTH(TODAY()),1),4))-MONTH(IF(ISNUMBER(Suppliers!F7),Suppliers!F7,DATE(YEAR(TODAY()),MONTH(TODAY()),1))),12)=0,1,0),IF(Suppliers!E7="One-time",IF(4=0,1,0),1)))))),"")</f>
        <v/>
      </c>
      <c r="K9" s="10" t="str">
        <f ca="1">IFERROR(IF(OR(5&gt;=$B$1,Suppliers!A7="",NOT(ISNUMBER(Suppliers!D7)),Suppliers!L7="Expired",Suppliers!L7="Terminate"),"",Suppliers!D7*-1*IF(Suppliers!E7="Monthly",IF(AND(ISNUMBER(Suppliers!G7),(YEAR(EDATE(DATE(YEAR(TODAY()),MONTH(TODAY()),1),5))*12+MONTH(EDATE(DATE(YEAR(TODAY()),MONTH(TODAY()),1),5)))&gt;(YEAR(Suppliers!G7)*12+MONTH(Suppliers!G7))),"",1),IF(Suppliers!E7="Quarterly",IF(MOD((YEAR(EDATE(DATE(YEAR(TODAY()),MONTH(TODAY()),1),5))-YEAR(IF(ISNUMBER(Suppliers!F7),Suppliers!F7,DATE(YEAR(TODAY()),MONTH(TODAY()),1))))*12+MONTH(EDATE(DATE(YEAR(TODAY()),MONTH(TODAY()),1),5))-MONTH(IF(ISNUMBER(Suppliers!F7),Suppliers!F7,DATE(YEAR(TODAY()),MONTH(TODAY()),1))),3)=0,1,0),IF(Suppliers!E7="Semi-annual",IF(MOD((YEAR(EDATE(DATE(YEAR(TODAY()),MONTH(TODAY()),1),5))-YEAR(IF(ISNUMBER(Suppliers!F7),Suppliers!F7,DATE(YEAR(TODAY()),MONTH(TODAY()),1))))*12+MONTH(EDATE(DATE(YEAR(TODAY()),MONTH(TODAY()),1),5))-MONTH(IF(ISNUMBER(Suppliers!F7),Suppliers!F7,DATE(YEAR(TODAY()),MONTH(TODAY()),1))),6)=0,1,0),IF(Suppliers!E7="Annual",IF(MOD((YEAR(EDATE(DATE(YEAR(TODAY()),MONTH(TODAY()),1),5))-YEAR(IF(ISNUMBER(Suppliers!F7),Suppliers!F7,DATE(YEAR(TODAY()),MONTH(TODAY()),1))))*12+MONTH(EDATE(DATE(YEAR(TODAY()),MONTH(TODAY()),1),5))-MONTH(IF(ISNUMBER(Suppliers!F7),Suppliers!F7,DATE(YEAR(TODAY()),MONTH(TODAY()),1))),12)=0,1,0),IF(Suppliers!E7="One-time",IF(5=0,1,0),1)))))),"")</f>
        <v/>
      </c>
      <c r="L9" s="10" t="str">
        <f ca="1">IFERROR(IF(OR(6&gt;=$B$1,Suppliers!A7="",NOT(ISNUMBER(Suppliers!D7)),Suppliers!L7="Expired",Suppliers!L7="Terminate"),"",Suppliers!D7*-1*IF(Suppliers!E7="Monthly",IF(AND(ISNUMBER(Suppliers!G7),(YEAR(EDATE(DATE(YEAR(TODAY()),MONTH(TODAY()),1),6))*12+MONTH(EDATE(DATE(YEAR(TODAY()),MONTH(TODAY()),1),6)))&gt;(YEAR(Suppliers!G7)*12+MONTH(Suppliers!G7))),"",1),IF(Suppliers!E7="Quarterly",IF(MOD((YEAR(EDATE(DATE(YEAR(TODAY()),MONTH(TODAY()),1),6))-YEAR(IF(ISNUMBER(Suppliers!F7),Suppliers!F7,DATE(YEAR(TODAY()),MONTH(TODAY()),1))))*12+MONTH(EDATE(DATE(YEAR(TODAY()),MONTH(TODAY()),1),6))-MONTH(IF(ISNUMBER(Suppliers!F7),Suppliers!F7,DATE(YEAR(TODAY()),MONTH(TODAY()),1))),3)=0,1,0),IF(Suppliers!E7="Semi-annual",IF(MOD((YEAR(EDATE(DATE(YEAR(TODAY()),MONTH(TODAY()),1),6))-YEAR(IF(ISNUMBER(Suppliers!F7),Suppliers!F7,DATE(YEAR(TODAY()),MONTH(TODAY()),1))))*12+MONTH(EDATE(DATE(YEAR(TODAY()),MONTH(TODAY()),1),6))-MONTH(IF(ISNUMBER(Suppliers!F7),Suppliers!F7,DATE(YEAR(TODAY()),MONTH(TODAY()),1))),6)=0,1,0),IF(Suppliers!E7="Annual",IF(MOD((YEAR(EDATE(DATE(YEAR(TODAY()),MONTH(TODAY()),1),6))-YEAR(IF(ISNUMBER(Suppliers!F7),Suppliers!F7,DATE(YEAR(TODAY()),MONTH(TODAY()),1))))*12+MONTH(EDATE(DATE(YEAR(TODAY()),MONTH(TODAY()),1),6))-MONTH(IF(ISNUMBER(Suppliers!F7),Suppliers!F7,DATE(YEAR(TODAY()),MONTH(TODAY()),1))),12)=0,1,0),IF(Suppliers!E7="One-time",IF(6=0,1,0),1)))))),"")</f>
        <v/>
      </c>
      <c r="M9" s="10" t="str">
        <f ca="1">IFERROR(IF(OR(7&gt;=$B$1,Suppliers!A7="",NOT(ISNUMBER(Suppliers!D7)),Suppliers!L7="Expired",Suppliers!L7="Terminate"),"",Suppliers!D7*-1*IF(Suppliers!E7="Monthly",IF(AND(ISNUMBER(Suppliers!G7),(YEAR(EDATE(DATE(YEAR(TODAY()),MONTH(TODAY()),1),7))*12+MONTH(EDATE(DATE(YEAR(TODAY()),MONTH(TODAY()),1),7)))&gt;(YEAR(Suppliers!G7)*12+MONTH(Suppliers!G7))),"",1),IF(Suppliers!E7="Quarterly",IF(MOD((YEAR(EDATE(DATE(YEAR(TODAY()),MONTH(TODAY()),1),7))-YEAR(IF(ISNUMBER(Suppliers!F7),Suppliers!F7,DATE(YEAR(TODAY()),MONTH(TODAY()),1))))*12+MONTH(EDATE(DATE(YEAR(TODAY()),MONTH(TODAY()),1),7))-MONTH(IF(ISNUMBER(Suppliers!F7),Suppliers!F7,DATE(YEAR(TODAY()),MONTH(TODAY()),1))),3)=0,1,0),IF(Suppliers!E7="Semi-annual",IF(MOD((YEAR(EDATE(DATE(YEAR(TODAY()),MONTH(TODAY()),1),7))-YEAR(IF(ISNUMBER(Suppliers!F7),Suppliers!F7,DATE(YEAR(TODAY()),MONTH(TODAY()),1))))*12+MONTH(EDATE(DATE(YEAR(TODAY()),MONTH(TODAY()),1),7))-MONTH(IF(ISNUMBER(Suppliers!F7),Suppliers!F7,DATE(YEAR(TODAY()),MONTH(TODAY()),1))),6)=0,1,0),IF(Suppliers!E7="Annual",IF(MOD((YEAR(EDATE(DATE(YEAR(TODAY()),MONTH(TODAY()),1),7))-YEAR(IF(ISNUMBER(Suppliers!F7),Suppliers!F7,DATE(YEAR(TODAY()),MONTH(TODAY()),1))))*12+MONTH(EDATE(DATE(YEAR(TODAY()),MONTH(TODAY()),1),7))-MONTH(IF(ISNUMBER(Suppliers!F7),Suppliers!F7,DATE(YEAR(TODAY()),MONTH(TODAY()),1))),12)=0,1,0),IF(Suppliers!E7="One-time",IF(7=0,1,0),1)))))),"")</f>
        <v/>
      </c>
      <c r="N9" s="10" t="str">
        <f ca="1">IFERROR(IF(OR(8&gt;=$B$1,Suppliers!A7="",NOT(ISNUMBER(Suppliers!D7)),Suppliers!L7="Expired",Suppliers!L7="Terminate"),"",Suppliers!D7*-1*IF(Suppliers!E7="Monthly",IF(AND(ISNUMBER(Suppliers!G7),(YEAR(EDATE(DATE(YEAR(TODAY()),MONTH(TODAY()),1),8))*12+MONTH(EDATE(DATE(YEAR(TODAY()),MONTH(TODAY()),1),8)))&gt;(YEAR(Suppliers!G7)*12+MONTH(Suppliers!G7))),"",1),IF(Suppliers!E7="Quarterly",IF(MOD((YEAR(EDATE(DATE(YEAR(TODAY()),MONTH(TODAY()),1),8))-YEAR(IF(ISNUMBER(Suppliers!F7),Suppliers!F7,DATE(YEAR(TODAY()),MONTH(TODAY()),1))))*12+MONTH(EDATE(DATE(YEAR(TODAY()),MONTH(TODAY()),1),8))-MONTH(IF(ISNUMBER(Suppliers!F7),Suppliers!F7,DATE(YEAR(TODAY()),MONTH(TODAY()),1))),3)=0,1,0),IF(Suppliers!E7="Semi-annual",IF(MOD((YEAR(EDATE(DATE(YEAR(TODAY()),MONTH(TODAY()),1),8))-YEAR(IF(ISNUMBER(Suppliers!F7),Suppliers!F7,DATE(YEAR(TODAY()),MONTH(TODAY()),1))))*12+MONTH(EDATE(DATE(YEAR(TODAY()),MONTH(TODAY()),1),8))-MONTH(IF(ISNUMBER(Suppliers!F7),Suppliers!F7,DATE(YEAR(TODAY()),MONTH(TODAY()),1))),6)=0,1,0),IF(Suppliers!E7="Annual",IF(MOD((YEAR(EDATE(DATE(YEAR(TODAY()),MONTH(TODAY()),1),8))-YEAR(IF(ISNUMBER(Suppliers!F7),Suppliers!F7,DATE(YEAR(TODAY()),MONTH(TODAY()),1))))*12+MONTH(EDATE(DATE(YEAR(TODAY()),MONTH(TODAY()),1),8))-MONTH(IF(ISNUMBER(Suppliers!F7),Suppliers!F7,DATE(YEAR(TODAY()),MONTH(TODAY()),1))),12)=0,1,0),IF(Suppliers!E7="One-time",IF(8=0,1,0),1)))))),"")</f>
        <v/>
      </c>
      <c r="O9" s="10" t="str">
        <f ca="1">IFERROR(IF(OR(9&gt;=$B$1,Suppliers!A7="",NOT(ISNUMBER(Suppliers!D7)),Suppliers!L7="Expired",Suppliers!L7="Terminate"),"",Suppliers!D7*-1*IF(Suppliers!E7="Monthly",IF(AND(ISNUMBER(Suppliers!G7),(YEAR(EDATE(DATE(YEAR(TODAY()),MONTH(TODAY()),1),9))*12+MONTH(EDATE(DATE(YEAR(TODAY()),MONTH(TODAY()),1),9)))&gt;(YEAR(Suppliers!G7)*12+MONTH(Suppliers!G7))),"",1),IF(Suppliers!E7="Quarterly",IF(MOD((YEAR(EDATE(DATE(YEAR(TODAY()),MONTH(TODAY()),1),9))-YEAR(IF(ISNUMBER(Suppliers!F7),Suppliers!F7,DATE(YEAR(TODAY()),MONTH(TODAY()),1))))*12+MONTH(EDATE(DATE(YEAR(TODAY()),MONTH(TODAY()),1),9))-MONTH(IF(ISNUMBER(Suppliers!F7),Suppliers!F7,DATE(YEAR(TODAY()),MONTH(TODAY()),1))),3)=0,1,0),IF(Suppliers!E7="Semi-annual",IF(MOD((YEAR(EDATE(DATE(YEAR(TODAY()),MONTH(TODAY()),1),9))-YEAR(IF(ISNUMBER(Suppliers!F7),Suppliers!F7,DATE(YEAR(TODAY()),MONTH(TODAY()),1))))*12+MONTH(EDATE(DATE(YEAR(TODAY()),MONTH(TODAY()),1),9))-MONTH(IF(ISNUMBER(Suppliers!F7),Suppliers!F7,DATE(YEAR(TODAY()),MONTH(TODAY()),1))),6)=0,1,0),IF(Suppliers!E7="Annual",IF(MOD((YEAR(EDATE(DATE(YEAR(TODAY()),MONTH(TODAY()),1),9))-YEAR(IF(ISNUMBER(Suppliers!F7),Suppliers!F7,DATE(YEAR(TODAY()),MONTH(TODAY()),1))))*12+MONTH(EDATE(DATE(YEAR(TODAY()),MONTH(TODAY()),1),9))-MONTH(IF(ISNUMBER(Suppliers!F7),Suppliers!F7,DATE(YEAR(TODAY()),MONTH(TODAY()),1))),12)=0,1,0),IF(Suppliers!E7="One-time",IF(9=0,1,0),1)))))),"")</f>
        <v/>
      </c>
      <c r="P9" s="10" t="str">
        <f ca="1">IFERROR(IF(OR(10&gt;=$B$1,Suppliers!A7="",NOT(ISNUMBER(Suppliers!D7)),Suppliers!L7="Expired",Suppliers!L7="Terminate"),"",Suppliers!D7*-1*IF(Suppliers!E7="Monthly",IF(AND(ISNUMBER(Suppliers!G7),(YEAR(EDATE(DATE(YEAR(TODAY()),MONTH(TODAY()),1),10))*12+MONTH(EDATE(DATE(YEAR(TODAY()),MONTH(TODAY()),1),10)))&gt;(YEAR(Suppliers!G7)*12+MONTH(Suppliers!G7))),"",1),IF(Suppliers!E7="Quarterly",IF(MOD((YEAR(EDATE(DATE(YEAR(TODAY()),MONTH(TODAY()),1),10))-YEAR(IF(ISNUMBER(Suppliers!F7),Suppliers!F7,DATE(YEAR(TODAY()),MONTH(TODAY()),1))))*12+MONTH(EDATE(DATE(YEAR(TODAY()),MONTH(TODAY()),1),10))-MONTH(IF(ISNUMBER(Suppliers!F7),Suppliers!F7,DATE(YEAR(TODAY()),MONTH(TODAY()),1))),3)=0,1,0),IF(Suppliers!E7="Semi-annual",IF(MOD((YEAR(EDATE(DATE(YEAR(TODAY()),MONTH(TODAY()),1),10))-YEAR(IF(ISNUMBER(Suppliers!F7),Suppliers!F7,DATE(YEAR(TODAY()),MONTH(TODAY()),1))))*12+MONTH(EDATE(DATE(YEAR(TODAY()),MONTH(TODAY()),1),10))-MONTH(IF(ISNUMBER(Suppliers!F7),Suppliers!F7,DATE(YEAR(TODAY()),MONTH(TODAY()),1))),6)=0,1,0),IF(Suppliers!E7="Annual",IF(MOD((YEAR(EDATE(DATE(YEAR(TODAY()),MONTH(TODAY()),1),10))-YEAR(IF(ISNUMBER(Suppliers!F7),Suppliers!F7,DATE(YEAR(TODAY()),MONTH(TODAY()),1))))*12+MONTH(EDATE(DATE(YEAR(TODAY()),MONTH(TODAY()),1),10))-MONTH(IF(ISNUMBER(Suppliers!F7),Suppliers!F7,DATE(YEAR(TODAY()),MONTH(TODAY()),1))),12)=0,1,0),IF(Suppliers!E7="One-time",IF(10=0,1,0),1)))))),"")</f>
        <v/>
      </c>
      <c r="Q9" s="10" t="str">
        <f ca="1">IFERROR(IF(OR(11&gt;=$B$1,Suppliers!A7="",NOT(ISNUMBER(Suppliers!D7)),Suppliers!L7="Expired",Suppliers!L7="Terminate"),"",Suppliers!D7*-1*IF(Suppliers!E7="Monthly",IF(AND(ISNUMBER(Suppliers!G7),(YEAR(EDATE(DATE(YEAR(TODAY()),MONTH(TODAY()),1),11))*12+MONTH(EDATE(DATE(YEAR(TODAY()),MONTH(TODAY()),1),11)))&gt;(YEAR(Suppliers!G7)*12+MONTH(Suppliers!G7))),"",1),IF(Suppliers!E7="Quarterly",IF(MOD((YEAR(EDATE(DATE(YEAR(TODAY()),MONTH(TODAY()),1),11))-YEAR(IF(ISNUMBER(Suppliers!F7),Suppliers!F7,DATE(YEAR(TODAY()),MONTH(TODAY()),1))))*12+MONTH(EDATE(DATE(YEAR(TODAY()),MONTH(TODAY()),1),11))-MONTH(IF(ISNUMBER(Suppliers!F7),Suppliers!F7,DATE(YEAR(TODAY()),MONTH(TODAY()),1))),3)=0,1,0),IF(Suppliers!E7="Semi-annual",IF(MOD((YEAR(EDATE(DATE(YEAR(TODAY()),MONTH(TODAY()),1),11))-YEAR(IF(ISNUMBER(Suppliers!F7),Suppliers!F7,DATE(YEAR(TODAY()),MONTH(TODAY()),1))))*12+MONTH(EDATE(DATE(YEAR(TODAY()),MONTH(TODAY()),1),11))-MONTH(IF(ISNUMBER(Suppliers!F7),Suppliers!F7,DATE(YEAR(TODAY()),MONTH(TODAY()),1))),6)=0,1,0),IF(Suppliers!E7="Annual",IF(MOD((YEAR(EDATE(DATE(YEAR(TODAY()),MONTH(TODAY()),1),11))-YEAR(IF(ISNUMBER(Suppliers!F7),Suppliers!F7,DATE(YEAR(TODAY()),MONTH(TODAY()),1))))*12+MONTH(EDATE(DATE(YEAR(TODAY()),MONTH(TODAY()),1),11))-MONTH(IF(ISNUMBER(Suppliers!F7),Suppliers!F7,DATE(YEAR(TODAY()),MONTH(TODAY()),1))),12)=0,1,0),IF(Suppliers!E7="One-time",IF(11=0,1,0),1)))))),"")</f>
        <v/>
      </c>
      <c r="R9" s="10" t="str">
        <f ca="1">IFERROR(IF(OR(12&gt;=$B$1,Suppliers!A7="",NOT(ISNUMBER(Suppliers!D7)),Suppliers!L7="Expired",Suppliers!L7="Terminate"),"",Suppliers!D7*-1*IF(Suppliers!E7="Monthly",IF(AND(ISNUMBER(Suppliers!G7),(YEAR(EDATE(DATE(YEAR(TODAY()),MONTH(TODAY()),1),12))*12+MONTH(EDATE(DATE(YEAR(TODAY()),MONTH(TODAY()),1),12)))&gt;(YEAR(Suppliers!G7)*12+MONTH(Suppliers!G7))),"",1),IF(Suppliers!E7="Quarterly",IF(MOD((YEAR(EDATE(DATE(YEAR(TODAY()),MONTH(TODAY()),1),12))-YEAR(IF(ISNUMBER(Suppliers!F7),Suppliers!F7,DATE(YEAR(TODAY()),MONTH(TODAY()),1))))*12+MONTH(EDATE(DATE(YEAR(TODAY()),MONTH(TODAY()),1),12))-MONTH(IF(ISNUMBER(Suppliers!F7),Suppliers!F7,DATE(YEAR(TODAY()),MONTH(TODAY()),1))),3)=0,1,0),IF(Suppliers!E7="Semi-annual",IF(MOD((YEAR(EDATE(DATE(YEAR(TODAY()),MONTH(TODAY()),1),12))-YEAR(IF(ISNUMBER(Suppliers!F7),Suppliers!F7,DATE(YEAR(TODAY()),MONTH(TODAY()),1))))*12+MONTH(EDATE(DATE(YEAR(TODAY()),MONTH(TODAY()),1),12))-MONTH(IF(ISNUMBER(Suppliers!F7),Suppliers!F7,DATE(YEAR(TODAY()),MONTH(TODAY()),1))),6)=0,1,0),IF(Suppliers!E7="Annual",IF(MOD((YEAR(EDATE(DATE(YEAR(TODAY()),MONTH(TODAY()),1),12))-YEAR(IF(ISNUMBER(Suppliers!F7),Suppliers!F7,DATE(YEAR(TODAY()),MONTH(TODAY()),1))))*12+MONTH(EDATE(DATE(YEAR(TODAY()),MONTH(TODAY()),1),12))-MONTH(IF(ISNUMBER(Suppliers!F7),Suppliers!F7,DATE(YEAR(TODAY()),MONTH(TODAY()),1))),12)=0,1,0),IF(Suppliers!E7="One-time",IF(12=0,1,0),1)))))),"")</f>
        <v/>
      </c>
      <c r="S9" s="10" t="str">
        <f ca="1">IFERROR(IF(OR(13&gt;=$B$1,Suppliers!A7="",NOT(ISNUMBER(Suppliers!D7)),Suppliers!L7="Expired",Suppliers!L7="Terminate"),"",Suppliers!D7*-1*IF(Suppliers!E7="Monthly",IF(AND(ISNUMBER(Suppliers!G7),(YEAR(EDATE(DATE(YEAR(TODAY()),MONTH(TODAY()),1),13))*12+MONTH(EDATE(DATE(YEAR(TODAY()),MONTH(TODAY()),1),13)))&gt;(YEAR(Suppliers!G7)*12+MONTH(Suppliers!G7))),"",1),IF(Suppliers!E7="Quarterly",IF(MOD((YEAR(EDATE(DATE(YEAR(TODAY()),MONTH(TODAY()),1),13))-YEAR(IF(ISNUMBER(Suppliers!F7),Suppliers!F7,DATE(YEAR(TODAY()),MONTH(TODAY()),1))))*12+MONTH(EDATE(DATE(YEAR(TODAY()),MONTH(TODAY()),1),13))-MONTH(IF(ISNUMBER(Suppliers!F7),Suppliers!F7,DATE(YEAR(TODAY()),MONTH(TODAY()),1))),3)=0,1,0),IF(Suppliers!E7="Semi-annual",IF(MOD((YEAR(EDATE(DATE(YEAR(TODAY()),MONTH(TODAY()),1),13))-YEAR(IF(ISNUMBER(Suppliers!F7),Suppliers!F7,DATE(YEAR(TODAY()),MONTH(TODAY()),1))))*12+MONTH(EDATE(DATE(YEAR(TODAY()),MONTH(TODAY()),1),13))-MONTH(IF(ISNUMBER(Suppliers!F7),Suppliers!F7,DATE(YEAR(TODAY()),MONTH(TODAY()),1))),6)=0,1,0),IF(Suppliers!E7="Annual",IF(MOD((YEAR(EDATE(DATE(YEAR(TODAY()),MONTH(TODAY()),1),13))-YEAR(IF(ISNUMBER(Suppliers!F7),Suppliers!F7,DATE(YEAR(TODAY()),MONTH(TODAY()),1))))*12+MONTH(EDATE(DATE(YEAR(TODAY()),MONTH(TODAY()),1),13))-MONTH(IF(ISNUMBER(Suppliers!F7),Suppliers!F7,DATE(YEAR(TODAY()),MONTH(TODAY()),1))),12)=0,1,0),IF(Suppliers!E7="One-time",IF(13=0,1,0),1)))))),"")</f>
        <v/>
      </c>
      <c r="T9" s="10" t="str">
        <f ca="1">IFERROR(IF(OR(14&gt;=$B$1,Suppliers!A7="",NOT(ISNUMBER(Suppliers!D7)),Suppliers!L7="Expired",Suppliers!L7="Terminate"),"",Suppliers!D7*-1*IF(Suppliers!E7="Monthly",IF(AND(ISNUMBER(Suppliers!G7),(YEAR(EDATE(DATE(YEAR(TODAY()),MONTH(TODAY()),1),14))*12+MONTH(EDATE(DATE(YEAR(TODAY()),MONTH(TODAY()),1),14)))&gt;(YEAR(Suppliers!G7)*12+MONTH(Suppliers!G7))),"",1),IF(Suppliers!E7="Quarterly",IF(MOD((YEAR(EDATE(DATE(YEAR(TODAY()),MONTH(TODAY()),1),14))-YEAR(IF(ISNUMBER(Suppliers!F7),Suppliers!F7,DATE(YEAR(TODAY()),MONTH(TODAY()),1))))*12+MONTH(EDATE(DATE(YEAR(TODAY()),MONTH(TODAY()),1),14))-MONTH(IF(ISNUMBER(Suppliers!F7),Suppliers!F7,DATE(YEAR(TODAY()),MONTH(TODAY()),1))),3)=0,1,0),IF(Suppliers!E7="Semi-annual",IF(MOD((YEAR(EDATE(DATE(YEAR(TODAY()),MONTH(TODAY()),1),14))-YEAR(IF(ISNUMBER(Suppliers!F7),Suppliers!F7,DATE(YEAR(TODAY()),MONTH(TODAY()),1))))*12+MONTH(EDATE(DATE(YEAR(TODAY()),MONTH(TODAY()),1),14))-MONTH(IF(ISNUMBER(Suppliers!F7),Suppliers!F7,DATE(YEAR(TODAY()),MONTH(TODAY()),1))),6)=0,1,0),IF(Suppliers!E7="Annual",IF(MOD((YEAR(EDATE(DATE(YEAR(TODAY()),MONTH(TODAY()),1),14))-YEAR(IF(ISNUMBER(Suppliers!F7),Suppliers!F7,DATE(YEAR(TODAY()),MONTH(TODAY()),1))))*12+MONTH(EDATE(DATE(YEAR(TODAY()),MONTH(TODAY()),1),14))-MONTH(IF(ISNUMBER(Suppliers!F7),Suppliers!F7,DATE(YEAR(TODAY()),MONTH(TODAY()),1))),12)=0,1,0),IF(Suppliers!E7="One-time",IF(14=0,1,0),1)))))),"")</f>
        <v/>
      </c>
      <c r="U9" s="10" t="str">
        <f ca="1">IFERROR(IF(OR(15&gt;=$B$1,Suppliers!A7="",NOT(ISNUMBER(Suppliers!D7)),Suppliers!L7="Expired",Suppliers!L7="Terminate"),"",Suppliers!D7*-1*IF(Suppliers!E7="Monthly",IF(AND(ISNUMBER(Suppliers!G7),(YEAR(EDATE(DATE(YEAR(TODAY()),MONTH(TODAY()),1),15))*12+MONTH(EDATE(DATE(YEAR(TODAY()),MONTH(TODAY()),1),15)))&gt;(YEAR(Suppliers!G7)*12+MONTH(Suppliers!G7))),"",1),IF(Suppliers!E7="Quarterly",IF(MOD((YEAR(EDATE(DATE(YEAR(TODAY()),MONTH(TODAY()),1),15))-YEAR(IF(ISNUMBER(Suppliers!F7),Suppliers!F7,DATE(YEAR(TODAY()),MONTH(TODAY()),1))))*12+MONTH(EDATE(DATE(YEAR(TODAY()),MONTH(TODAY()),1),15))-MONTH(IF(ISNUMBER(Suppliers!F7),Suppliers!F7,DATE(YEAR(TODAY()),MONTH(TODAY()),1))),3)=0,1,0),IF(Suppliers!E7="Semi-annual",IF(MOD((YEAR(EDATE(DATE(YEAR(TODAY()),MONTH(TODAY()),1),15))-YEAR(IF(ISNUMBER(Suppliers!F7),Suppliers!F7,DATE(YEAR(TODAY()),MONTH(TODAY()),1))))*12+MONTH(EDATE(DATE(YEAR(TODAY()),MONTH(TODAY()),1),15))-MONTH(IF(ISNUMBER(Suppliers!F7),Suppliers!F7,DATE(YEAR(TODAY()),MONTH(TODAY()),1))),6)=0,1,0),IF(Suppliers!E7="Annual",IF(MOD((YEAR(EDATE(DATE(YEAR(TODAY()),MONTH(TODAY()),1),15))-YEAR(IF(ISNUMBER(Suppliers!F7),Suppliers!F7,DATE(YEAR(TODAY()),MONTH(TODAY()),1))))*12+MONTH(EDATE(DATE(YEAR(TODAY()),MONTH(TODAY()),1),15))-MONTH(IF(ISNUMBER(Suppliers!F7),Suppliers!F7,DATE(YEAR(TODAY()),MONTH(TODAY()),1))),12)=0,1,0),IF(Suppliers!E7="One-time",IF(15=0,1,0),1)))))),"")</f>
        <v/>
      </c>
      <c r="V9" s="10" t="str">
        <f ca="1">IFERROR(IF(OR(16&gt;=$B$1,Suppliers!A7="",NOT(ISNUMBER(Suppliers!D7)),Suppliers!L7="Expired",Suppliers!L7="Terminate"),"",Suppliers!D7*-1*IF(Suppliers!E7="Monthly",IF(AND(ISNUMBER(Suppliers!G7),(YEAR(EDATE(DATE(YEAR(TODAY()),MONTH(TODAY()),1),16))*12+MONTH(EDATE(DATE(YEAR(TODAY()),MONTH(TODAY()),1),16)))&gt;(YEAR(Suppliers!G7)*12+MONTH(Suppliers!G7))),"",1),IF(Suppliers!E7="Quarterly",IF(MOD((YEAR(EDATE(DATE(YEAR(TODAY()),MONTH(TODAY()),1),16))-YEAR(IF(ISNUMBER(Suppliers!F7),Suppliers!F7,DATE(YEAR(TODAY()),MONTH(TODAY()),1))))*12+MONTH(EDATE(DATE(YEAR(TODAY()),MONTH(TODAY()),1),16))-MONTH(IF(ISNUMBER(Suppliers!F7),Suppliers!F7,DATE(YEAR(TODAY()),MONTH(TODAY()),1))),3)=0,1,0),IF(Suppliers!E7="Semi-annual",IF(MOD((YEAR(EDATE(DATE(YEAR(TODAY()),MONTH(TODAY()),1),16))-YEAR(IF(ISNUMBER(Suppliers!F7),Suppliers!F7,DATE(YEAR(TODAY()),MONTH(TODAY()),1))))*12+MONTH(EDATE(DATE(YEAR(TODAY()),MONTH(TODAY()),1),16))-MONTH(IF(ISNUMBER(Suppliers!F7),Suppliers!F7,DATE(YEAR(TODAY()),MONTH(TODAY()),1))),6)=0,1,0),IF(Suppliers!E7="Annual",IF(MOD((YEAR(EDATE(DATE(YEAR(TODAY()),MONTH(TODAY()),1),16))-YEAR(IF(ISNUMBER(Suppliers!F7),Suppliers!F7,DATE(YEAR(TODAY()),MONTH(TODAY()),1))))*12+MONTH(EDATE(DATE(YEAR(TODAY()),MONTH(TODAY()),1),16))-MONTH(IF(ISNUMBER(Suppliers!F7),Suppliers!F7,DATE(YEAR(TODAY()),MONTH(TODAY()),1))),12)=0,1,0),IF(Suppliers!E7="One-time",IF(16=0,1,0),1)))))),"")</f>
        <v/>
      </c>
      <c r="W9" s="10" t="str">
        <f ca="1">IFERROR(IF(OR(17&gt;=$B$1,Suppliers!A7="",NOT(ISNUMBER(Suppliers!D7)),Suppliers!L7="Expired",Suppliers!L7="Terminate"),"",Suppliers!D7*-1*IF(Suppliers!E7="Monthly",IF(AND(ISNUMBER(Suppliers!G7),(YEAR(EDATE(DATE(YEAR(TODAY()),MONTH(TODAY()),1),17))*12+MONTH(EDATE(DATE(YEAR(TODAY()),MONTH(TODAY()),1),17)))&gt;(YEAR(Suppliers!G7)*12+MONTH(Suppliers!G7))),"",1),IF(Suppliers!E7="Quarterly",IF(MOD((YEAR(EDATE(DATE(YEAR(TODAY()),MONTH(TODAY()),1),17))-YEAR(IF(ISNUMBER(Suppliers!F7),Suppliers!F7,DATE(YEAR(TODAY()),MONTH(TODAY()),1))))*12+MONTH(EDATE(DATE(YEAR(TODAY()),MONTH(TODAY()),1),17))-MONTH(IF(ISNUMBER(Suppliers!F7),Suppliers!F7,DATE(YEAR(TODAY()),MONTH(TODAY()),1))),3)=0,1,0),IF(Suppliers!E7="Semi-annual",IF(MOD((YEAR(EDATE(DATE(YEAR(TODAY()),MONTH(TODAY()),1),17))-YEAR(IF(ISNUMBER(Suppliers!F7),Suppliers!F7,DATE(YEAR(TODAY()),MONTH(TODAY()),1))))*12+MONTH(EDATE(DATE(YEAR(TODAY()),MONTH(TODAY()),1),17))-MONTH(IF(ISNUMBER(Suppliers!F7),Suppliers!F7,DATE(YEAR(TODAY()),MONTH(TODAY()),1))),6)=0,1,0),IF(Suppliers!E7="Annual",IF(MOD((YEAR(EDATE(DATE(YEAR(TODAY()),MONTH(TODAY()),1),17))-YEAR(IF(ISNUMBER(Suppliers!F7),Suppliers!F7,DATE(YEAR(TODAY()),MONTH(TODAY()),1))))*12+MONTH(EDATE(DATE(YEAR(TODAY()),MONTH(TODAY()),1),17))-MONTH(IF(ISNUMBER(Suppliers!F7),Suppliers!F7,DATE(YEAR(TODAY()),MONTH(TODAY()),1))),12)=0,1,0),IF(Suppliers!E7="One-time",IF(17=0,1,0),1)))))),"")</f>
        <v/>
      </c>
      <c r="X9" s="10" t="str">
        <f ca="1">IFERROR(IF(OR(18&gt;=$B$1,Suppliers!A7="",NOT(ISNUMBER(Suppliers!D7)),Suppliers!L7="Expired",Suppliers!L7="Terminate"),"",Suppliers!D7*-1*IF(Suppliers!E7="Monthly",IF(AND(ISNUMBER(Suppliers!G7),(YEAR(EDATE(DATE(YEAR(TODAY()),MONTH(TODAY()),1),18))*12+MONTH(EDATE(DATE(YEAR(TODAY()),MONTH(TODAY()),1),18)))&gt;(YEAR(Suppliers!G7)*12+MONTH(Suppliers!G7))),"",1),IF(Suppliers!E7="Quarterly",IF(MOD((YEAR(EDATE(DATE(YEAR(TODAY()),MONTH(TODAY()),1),18))-YEAR(IF(ISNUMBER(Suppliers!F7),Suppliers!F7,DATE(YEAR(TODAY()),MONTH(TODAY()),1))))*12+MONTH(EDATE(DATE(YEAR(TODAY()),MONTH(TODAY()),1),18))-MONTH(IF(ISNUMBER(Suppliers!F7),Suppliers!F7,DATE(YEAR(TODAY()),MONTH(TODAY()),1))),3)=0,1,0),IF(Suppliers!E7="Semi-annual",IF(MOD((YEAR(EDATE(DATE(YEAR(TODAY()),MONTH(TODAY()),1),18))-YEAR(IF(ISNUMBER(Suppliers!F7),Suppliers!F7,DATE(YEAR(TODAY()),MONTH(TODAY()),1))))*12+MONTH(EDATE(DATE(YEAR(TODAY()),MONTH(TODAY()),1),18))-MONTH(IF(ISNUMBER(Suppliers!F7),Suppliers!F7,DATE(YEAR(TODAY()),MONTH(TODAY()),1))),6)=0,1,0),IF(Suppliers!E7="Annual",IF(MOD((YEAR(EDATE(DATE(YEAR(TODAY()),MONTH(TODAY()),1),18))-YEAR(IF(ISNUMBER(Suppliers!F7),Suppliers!F7,DATE(YEAR(TODAY()),MONTH(TODAY()),1))))*12+MONTH(EDATE(DATE(YEAR(TODAY()),MONTH(TODAY()),1),18))-MONTH(IF(ISNUMBER(Suppliers!F7),Suppliers!F7,DATE(YEAR(TODAY()),MONTH(TODAY()),1))),12)=0,1,0),IF(Suppliers!E7="One-time",IF(18=0,1,0),1)))))),"")</f>
        <v/>
      </c>
      <c r="Y9" s="10" t="str">
        <f ca="1">IFERROR(IF(OR(19&gt;=$B$1,Suppliers!A7="",NOT(ISNUMBER(Suppliers!D7)),Suppliers!L7="Expired",Suppliers!L7="Terminate"),"",Suppliers!D7*-1*IF(Suppliers!E7="Monthly",IF(AND(ISNUMBER(Suppliers!G7),(YEAR(EDATE(DATE(YEAR(TODAY()),MONTH(TODAY()),1),19))*12+MONTH(EDATE(DATE(YEAR(TODAY()),MONTH(TODAY()),1),19)))&gt;(YEAR(Suppliers!G7)*12+MONTH(Suppliers!G7))),"",1),IF(Suppliers!E7="Quarterly",IF(MOD((YEAR(EDATE(DATE(YEAR(TODAY()),MONTH(TODAY()),1),19))-YEAR(IF(ISNUMBER(Suppliers!F7),Suppliers!F7,DATE(YEAR(TODAY()),MONTH(TODAY()),1))))*12+MONTH(EDATE(DATE(YEAR(TODAY()),MONTH(TODAY()),1),19))-MONTH(IF(ISNUMBER(Suppliers!F7),Suppliers!F7,DATE(YEAR(TODAY()),MONTH(TODAY()),1))),3)=0,1,0),IF(Suppliers!E7="Semi-annual",IF(MOD((YEAR(EDATE(DATE(YEAR(TODAY()),MONTH(TODAY()),1),19))-YEAR(IF(ISNUMBER(Suppliers!F7),Suppliers!F7,DATE(YEAR(TODAY()),MONTH(TODAY()),1))))*12+MONTH(EDATE(DATE(YEAR(TODAY()),MONTH(TODAY()),1),19))-MONTH(IF(ISNUMBER(Suppliers!F7),Suppliers!F7,DATE(YEAR(TODAY()),MONTH(TODAY()),1))),6)=0,1,0),IF(Suppliers!E7="Annual",IF(MOD((YEAR(EDATE(DATE(YEAR(TODAY()),MONTH(TODAY()),1),19))-YEAR(IF(ISNUMBER(Suppliers!F7),Suppliers!F7,DATE(YEAR(TODAY()),MONTH(TODAY()),1))))*12+MONTH(EDATE(DATE(YEAR(TODAY()),MONTH(TODAY()),1),19))-MONTH(IF(ISNUMBER(Suppliers!F7),Suppliers!F7,DATE(YEAR(TODAY()),MONTH(TODAY()),1))),12)=0,1,0),IF(Suppliers!E7="One-time",IF(19=0,1,0),1)))))),"")</f>
        <v/>
      </c>
      <c r="Z9" s="10" t="str">
        <f ca="1">IFERROR(IF(OR(20&gt;=$B$1,Suppliers!A7="",NOT(ISNUMBER(Suppliers!D7)),Suppliers!L7="Expired",Suppliers!L7="Terminate"),"",Suppliers!D7*-1*IF(Suppliers!E7="Monthly",IF(AND(ISNUMBER(Suppliers!G7),(YEAR(EDATE(DATE(YEAR(TODAY()),MONTH(TODAY()),1),20))*12+MONTH(EDATE(DATE(YEAR(TODAY()),MONTH(TODAY()),1),20)))&gt;(YEAR(Suppliers!G7)*12+MONTH(Suppliers!G7))),"",1),IF(Suppliers!E7="Quarterly",IF(MOD((YEAR(EDATE(DATE(YEAR(TODAY()),MONTH(TODAY()),1),20))-YEAR(IF(ISNUMBER(Suppliers!F7),Suppliers!F7,DATE(YEAR(TODAY()),MONTH(TODAY()),1))))*12+MONTH(EDATE(DATE(YEAR(TODAY()),MONTH(TODAY()),1),20))-MONTH(IF(ISNUMBER(Suppliers!F7),Suppliers!F7,DATE(YEAR(TODAY()),MONTH(TODAY()),1))),3)=0,1,0),IF(Suppliers!E7="Semi-annual",IF(MOD((YEAR(EDATE(DATE(YEAR(TODAY()),MONTH(TODAY()),1),20))-YEAR(IF(ISNUMBER(Suppliers!F7),Suppliers!F7,DATE(YEAR(TODAY()),MONTH(TODAY()),1))))*12+MONTH(EDATE(DATE(YEAR(TODAY()),MONTH(TODAY()),1),20))-MONTH(IF(ISNUMBER(Suppliers!F7),Suppliers!F7,DATE(YEAR(TODAY()),MONTH(TODAY()),1))),6)=0,1,0),IF(Suppliers!E7="Annual",IF(MOD((YEAR(EDATE(DATE(YEAR(TODAY()),MONTH(TODAY()),1),20))-YEAR(IF(ISNUMBER(Suppliers!F7),Suppliers!F7,DATE(YEAR(TODAY()),MONTH(TODAY()),1))))*12+MONTH(EDATE(DATE(YEAR(TODAY()),MONTH(TODAY()),1),20))-MONTH(IF(ISNUMBER(Suppliers!F7),Suppliers!F7,DATE(YEAR(TODAY()),MONTH(TODAY()),1))),12)=0,1,0),IF(Suppliers!E7="One-time",IF(20=0,1,0),1)))))),"")</f>
        <v/>
      </c>
      <c r="AA9" s="10" t="str">
        <f ca="1">IFERROR(IF(OR(21&gt;=$B$1,Suppliers!A7="",NOT(ISNUMBER(Suppliers!D7)),Suppliers!L7="Expired",Suppliers!L7="Terminate"),"",Suppliers!D7*-1*IF(Suppliers!E7="Monthly",IF(AND(ISNUMBER(Suppliers!G7),(YEAR(EDATE(DATE(YEAR(TODAY()),MONTH(TODAY()),1),21))*12+MONTH(EDATE(DATE(YEAR(TODAY()),MONTH(TODAY()),1),21)))&gt;(YEAR(Suppliers!G7)*12+MONTH(Suppliers!G7))),"",1),IF(Suppliers!E7="Quarterly",IF(MOD((YEAR(EDATE(DATE(YEAR(TODAY()),MONTH(TODAY()),1),21))-YEAR(IF(ISNUMBER(Suppliers!F7),Suppliers!F7,DATE(YEAR(TODAY()),MONTH(TODAY()),1))))*12+MONTH(EDATE(DATE(YEAR(TODAY()),MONTH(TODAY()),1),21))-MONTH(IF(ISNUMBER(Suppliers!F7),Suppliers!F7,DATE(YEAR(TODAY()),MONTH(TODAY()),1))),3)=0,1,0),IF(Suppliers!E7="Semi-annual",IF(MOD((YEAR(EDATE(DATE(YEAR(TODAY()),MONTH(TODAY()),1),21))-YEAR(IF(ISNUMBER(Suppliers!F7),Suppliers!F7,DATE(YEAR(TODAY()),MONTH(TODAY()),1))))*12+MONTH(EDATE(DATE(YEAR(TODAY()),MONTH(TODAY()),1),21))-MONTH(IF(ISNUMBER(Suppliers!F7),Suppliers!F7,DATE(YEAR(TODAY()),MONTH(TODAY()),1))),6)=0,1,0),IF(Suppliers!E7="Annual",IF(MOD((YEAR(EDATE(DATE(YEAR(TODAY()),MONTH(TODAY()),1),21))-YEAR(IF(ISNUMBER(Suppliers!F7),Suppliers!F7,DATE(YEAR(TODAY()),MONTH(TODAY()),1))))*12+MONTH(EDATE(DATE(YEAR(TODAY()),MONTH(TODAY()),1),21))-MONTH(IF(ISNUMBER(Suppliers!F7),Suppliers!F7,DATE(YEAR(TODAY()),MONTH(TODAY()),1))),12)=0,1,0),IF(Suppliers!E7="One-time",IF(21=0,1,0),1)))))),"")</f>
        <v/>
      </c>
      <c r="AB9" s="10" t="str">
        <f ca="1">IFERROR(IF(OR(22&gt;=$B$1,Suppliers!A7="",NOT(ISNUMBER(Suppliers!D7)),Suppliers!L7="Expired",Suppliers!L7="Terminate"),"",Suppliers!D7*-1*IF(Suppliers!E7="Monthly",IF(AND(ISNUMBER(Suppliers!G7),(YEAR(EDATE(DATE(YEAR(TODAY()),MONTH(TODAY()),1),22))*12+MONTH(EDATE(DATE(YEAR(TODAY()),MONTH(TODAY()),1),22)))&gt;(YEAR(Suppliers!G7)*12+MONTH(Suppliers!G7))),"",1),IF(Suppliers!E7="Quarterly",IF(MOD((YEAR(EDATE(DATE(YEAR(TODAY()),MONTH(TODAY()),1),22))-YEAR(IF(ISNUMBER(Suppliers!F7),Suppliers!F7,DATE(YEAR(TODAY()),MONTH(TODAY()),1))))*12+MONTH(EDATE(DATE(YEAR(TODAY()),MONTH(TODAY()),1),22))-MONTH(IF(ISNUMBER(Suppliers!F7),Suppliers!F7,DATE(YEAR(TODAY()),MONTH(TODAY()),1))),3)=0,1,0),IF(Suppliers!E7="Semi-annual",IF(MOD((YEAR(EDATE(DATE(YEAR(TODAY()),MONTH(TODAY()),1),22))-YEAR(IF(ISNUMBER(Suppliers!F7),Suppliers!F7,DATE(YEAR(TODAY()),MONTH(TODAY()),1))))*12+MONTH(EDATE(DATE(YEAR(TODAY()),MONTH(TODAY()),1),22))-MONTH(IF(ISNUMBER(Suppliers!F7),Suppliers!F7,DATE(YEAR(TODAY()),MONTH(TODAY()),1))),6)=0,1,0),IF(Suppliers!E7="Annual",IF(MOD((YEAR(EDATE(DATE(YEAR(TODAY()),MONTH(TODAY()),1),22))-YEAR(IF(ISNUMBER(Suppliers!F7),Suppliers!F7,DATE(YEAR(TODAY()),MONTH(TODAY()),1))))*12+MONTH(EDATE(DATE(YEAR(TODAY()),MONTH(TODAY()),1),22))-MONTH(IF(ISNUMBER(Suppliers!F7),Suppliers!F7,DATE(YEAR(TODAY()),MONTH(TODAY()),1))),12)=0,1,0),IF(Suppliers!E7="One-time",IF(22=0,1,0),1)))))),"")</f>
        <v/>
      </c>
      <c r="AC9" s="10" t="str">
        <f ca="1">IFERROR(IF(OR(23&gt;=$B$1,Suppliers!A7="",NOT(ISNUMBER(Suppliers!D7)),Suppliers!L7="Expired",Suppliers!L7="Terminate"),"",Suppliers!D7*-1*IF(Suppliers!E7="Monthly",IF(AND(ISNUMBER(Suppliers!G7),(YEAR(EDATE(DATE(YEAR(TODAY()),MONTH(TODAY()),1),23))*12+MONTH(EDATE(DATE(YEAR(TODAY()),MONTH(TODAY()),1),23)))&gt;(YEAR(Suppliers!G7)*12+MONTH(Suppliers!G7))),"",1),IF(Suppliers!E7="Quarterly",IF(MOD((YEAR(EDATE(DATE(YEAR(TODAY()),MONTH(TODAY()),1),23))-YEAR(IF(ISNUMBER(Suppliers!F7),Suppliers!F7,DATE(YEAR(TODAY()),MONTH(TODAY()),1))))*12+MONTH(EDATE(DATE(YEAR(TODAY()),MONTH(TODAY()),1),23))-MONTH(IF(ISNUMBER(Suppliers!F7),Suppliers!F7,DATE(YEAR(TODAY()),MONTH(TODAY()),1))),3)=0,1,0),IF(Suppliers!E7="Semi-annual",IF(MOD((YEAR(EDATE(DATE(YEAR(TODAY()),MONTH(TODAY()),1),23))-YEAR(IF(ISNUMBER(Suppliers!F7),Suppliers!F7,DATE(YEAR(TODAY()),MONTH(TODAY()),1))))*12+MONTH(EDATE(DATE(YEAR(TODAY()),MONTH(TODAY()),1),23))-MONTH(IF(ISNUMBER(Suppliers!F7),Suppliers!F7,DATE(YEAR(TODAY()),MONTH(TODAY()),1))),6)=0,1,0),IF(Suppliers!E7="Annual",IF(MOD((YEAR(EDATE(DATE(YEAR(TODAY()),MONTH(TODAY()),1),23))-YEAR(IF(ISNUMBER(Suppliers!F7),Suppliers!F7,DATE(YEAR(TODAY()),MONTH(TODAY()),1))))*12+MONTH(EDATE(DATE(YEAR(TODAY()),MONTH(TODAY()),1),23))-MONTH(IF(ISNUMBER(Suppliers!F7),Suppliers!F7,DATE(YEAR(TODAY()),MONTH(TODAY()),1))),12)=0,1,0),IF(Suppliers!E7="One-time",IF(23=0,1,0),1)))))),"")</f>
        <v/>
      </c>
    </row>
    <row r="10" spans="1:29" ht="15" customHeight="1" x14ac:dyDescent="0.35">
      <c r="A10" s="4" t="s">
        <v>80</v>
      </c>
      <c r="B10" s="4" t="str">
        <f>IF(Suppliers!A8="","",Suppliers!A8)</f>
        <v>Eta Infrastructure AG</v>
      </c>
      <c r="C10" s="10">
        <f>IF(Suppliers!C8="","",Suppliers!C8)</f>
        <v>5882.35</v>
      </c>
      <c r="D10" s="10">
        <f>IF(Suppliers!D8="","",Suppliers!D8)</f>
        <v>7000</v>
      </c>
      <c r="E10" s="4" t="str">
        <f>IF(Suppliers!E8="","",Suppliers!E8)</f>
        <v>Monthly</v>
      </c>
      <c r="F10" s="10">
        <f ca="1">IFERROR(IF(OR(0&gt;=$B$1,Suppliers!A8="",NOT(ISNUMBER(Suppliers!D8)),Suppliers!L8="Expired",Suppliers!L8="Terminate"),"",Suppliers!D8*-1*IF(Suppliers!E8="Monthly",IF(AND(ISNUMBER(Suppliers!G8),(YEAR(EDATE(DATE(YEAR(TODAY()),MONTH(TODAY()),1),0))*12+MONTH(EDATE(DATE(YEAR(TODAY()),MONTH(TODAY()),1),0)))&gt;(YEAR(Suppliers!G8)*12+MONTH(Suppliers!G8))),"",1),IF(Suppliers!E8="Quarterly",IF(MOD((YEAR(EDATE(DATE(YEAR(TODAY()),MONTH(TODAY()),1),0))-YEAR(IF(ISNUMBER(Suppliers!F8),Suppliers!F8,DATE(YEAR(TODAY()),MONTH(TODAY()),1))))*12+MONTH(EDATE(DATE(YEAR(TODAY()),MONTH(TODAY()),1),0))-MONTH(IF(ISNUMBER(Suppliers!F8),Suppliers!F8,DATE(YEAR(TODAY()),MONTH(TODAY()),1))),3)=0,1,0),IF(Suppliers!E8="Semi-annual",IF(MOD((YEAR(EDATE(DATE(YEAR(TODAY()),MONTH(TODAY()),1),0))-YEAR(IF(ISNUMBER(Suppliers!F8),Suppliers!F8,DATE(YEAR(TODAY()),MONTH(TODAY()),1))))*12+MONTH(EDATE(DATE(YEAR(TODAY()),MONTH(TODAY()),1),0))-MONTH(IF(ISNUMBER(Suppliers!F8),Suppliers!F8,DATE(YEAR(TODAY()),MONTH(TODAY()),1))),6)=0,1,0),IF(Suppliers!E8="Annual",IF(MOD((YEAR(EDATE(DATE(YEAR(TODAY()),MONTH(TODAY()),1),0))-YEAR(IF(ISNUMBER(Suppliers!F8),Suppliers!F8,DATE(YEAR(TODAY()),MONTH(TODAY()),1))))*12+MONTH(EDATE(DATE(YEAR(TODAY()),MONTH(TODAY()),1),0))-MONTH(IF(ISNUMBER(Suppliers!F8),Suppliers!F8,DATE(YEAR(TODAY()),MONTH(TODAY()),1))),12)=0,1,0),IF(Suppliers!E8="One-time",IF(0=0,1,0),1)))))),"")</f>
        <v>-7000</v>
      </c>
      <c r="G10" s="10">
        <f ca="1">IFERROR(IF(OR(1&gt;=$B$1,Suppliers!A8="",NOT(ISNUMBER(Suppliers!D8)),Suppliers!L8="Expired",Suppliers!L8="Terminate"),"",Suppliers!D8*-1*IF(Suppliers!E8="Monthly",IF(AND(ISNUMBER(Suppliers!G8),(YEAR(EDATE(DATE(YEAR(TODAY()),MONTH(TODAY()),1),1))*12+MONTH(EDATE(DATE(YEAR(TODAY()),MONTH(TODAY()),1),1)))&gt;(YEAR(Suppliers!G8)*12+MONTH(Suppliers!G8))),"",1),IF(Suppliers!E8="Quarterly",IF(MOD((YEAR(EDATE(DATE(YEAR(TODAY()),MONTH(TODAY()),1),1))-YEAR(IF(ISNUMBER(Suppliers!F8),Suppliers!F8,DATE(YEAR(TODAY()),MONTH(TODAY()),1))))*12+MONTH(EDATE(DATE(YEAR(TODAY()),MONTH(TODAY()),1),1))-MONTH(IF(ISNUMBER(Suppliers!F8),Suppliers!F8,DATE(YEAR(TODAY()),MONTH(TODAY()),1))),3)=0,1,0),IF(Suppliers!E8="Semi-annual",IF(MOD((YEAR(EDATE(DATE(YEAR(TODAY()),MONTH(TODAY()),1),1))-YEAR(IF(ISNUMBER(Suppliers!F8),Suppliers!F8,DATE(YEAR(TODAY()),MONTH(TODAY()),1))))*12+MONTH(EDATE(DATE(YEAR(TODAY()),MONTH(TODAY()),1),1))-MONTH(IF(ISNUMBER(Suppliers!F8),Suppliers!F8,DATE(YEAR(TODAY()),MONTH(TODAY()),1))),6)=0,1,0),IF(Suppliers!E8="Annual",IF(MOD((YEAR(EDATE(DATE(YEAR(TODAY()),MONTH(TODAY()),1),1))-YEAR(IF(ISNUMBER(Suppliers!F8),Suppliers!F8,DATE(YEAR(TODAY()),MONTH(TODAY()),1))))*12+MONTH(EDATE(DATE(YEAR(TODAY()),MONTH(TODAY()),1),1))-MONTH(IF(ISNUMBER(Suppliers!F8),Suppliers!F8,DATE(YEAR(TODAY()),MONTH(TODAY()),1))),12)=0,1,0),IF(Suppliers!E8="One-time",IF(1=0,1,0),1)))))),"")</f>
        <v>-7000</v>
      </c>
      <c r="H10" s="10">
        <f ca="1">IFERROR(IF(OR(2&gt;=$B$1,Suppliers!A8="",NOT(ISNUMBER(Suppliers!D8)),Suppliers!L8="Expired",Suppliers!L8="Terminate"),"",Suppliers!D8*-1*IF(Suppliers!E8="Monthly",IF(AND(ISNUMBER(Suppliers!G8),(YEAR(EDATE(DATE(YEAR(TODAY()),MONTH(TODAY()),1),2))*12+MONTH(EDATE(DATE(YEAR(TODAY()),MONTH(TODAY()),1),2)))&gt;(YEAR(Suppliers!G8)*12+MONTH(Suppliers!G8))),"",1),IF(Suppliers!E8="Quarterly",IF(MOD((YEAR(EDATE(DATE(YEAR(TODAY()),MONTH(TODAY()),1),2))-YEAR(IF(ISNUMBER(Suppliers!F8),Suppliers!F8,DATE(YEAR(TODAY()),MONTH(TODAY()),1))))*12+MONTH(EDATE(DATE(YEAR(TODAY()),MONTH(TODAY()),1),2))-MONTH(IF(ISNUMBER(Suppliers!F8),Suppliers!F8,DATE(YEAR(TODAY()),MONTH(TODAY()),1))),3)=0,1,0),IF(Suppliers!E8="Semi-annual",IF(MOD((YEAR(EDATE(DATE(YEAR(TODAY()),MONTH(TODAY()),1),2))-YEAR(IF(ISNUMBER(Suppliers!F8),Suppliers!F8,DATE(YEAR(TODAY()),MONTH(TODAY()),1))))*12+MONTH(EDATE(DATE(YEAR(TODAY()),MONTH(TODAY()),1),2))-MONTH(IF(ISNUMBER(Suppliers!F8),Suppliers!F8,DATE(YEAR(TODAY()),MONTH(TODAY()),1))),6)=0,1,0),IF(Suppliers!E8="Annual",IF(MOD((YEAR(EDATE(DATE(YEAR(TODAY()),MONTH(TODAY()),1),2))-YEAR(IF(ISNUMBER(Suppliers!F8),Suppliers!F8,DATE(YEAR(TODAY()),MONTH(TODAY()),1))))*12+MONTH(EDATE(DATE(YEAR(TODAY()),MONTH(TODAY()),1),2))-MONTH(IF(ISNUMBER(Suppliers!F8),Suppliers!F8,DATE(YEAR(TODAY()),MONTH(TODAY()),1))),12)=0,1,0),IF(Suppliers!E8="One-time",IF(2=0,1,0),1)))))),"")</f>
        <v>-7000</v>
      </c>
      <c r="I10" s="10" t="str">
        <f ca="1">IFERROR(IF(OR(3&gt;=$B$1,Suppliers!A8="",NOT(ISNUMBER(Suppliers!D8)),Suppliers!L8="Expired",Suppliers!L8="Terminate"),"",Suppliers!D8*-1*IF(Suppliers!E8="Monthly",IF(AND(ISNUMBER(Suppliers!G8),(YEAR(EDATE(DATE(YEAR(TODAY()),MONTH(TODAY()),1),3))*12+MONTH(EDATE(DATE(YEAR(TODAY()),MONTH(TODAY()),1),3)))&gt;(YEAR(Suppliers!G8)*12+MONTH(Suppliers!G8))),"",1),IF(Suppliers!E8="Quarterly",IF(MOD((YEAR(EDATE(DATE(YEAR(TODAY()),MONTH(TODAY()),1),3))-YEAR(IF(ISNUMBER(Suppliers!F8),Suppliers!F8,DATE(YEAR(TODAY()),MONTH(TODAY()),1))))*12+MONTH(EDATE(DATE(YEAR(TODAY()),MONTH(TODAY()),1),3))-MONTH(IF(ISNUMBER(Suppliers!F8),Suppliers!F8,DATE(YEAR(TODAY()),MONTH(TODAY()),1))),3)=0,1,0),IF(Suppliers!E8="Semi-annual",IF(MOD((YEAR(EDATE(DATE(YEAR(TODAY()),MONTH(TODAY()),1),3))-YEAR(IF(ISNUMBER(Suppliers!F8),Suppliers!F8,DATE(YEAR(TODAY()),MONTH(TODAY()),1))))*12+MONTH(EDATE(DATE(YEAR(TODAY()),MONTH(TODAY()),1),3))-MONTH(IF(ISNUMBER(Suppliers!F8),Suppliers!F8,DATE(YEAR(TODAY()),MONTH(TODAY()),1))),6)=0,1,0),IF(Suppliers!E8="Annual",IF(MOD((YEAR(EDATE(DATE(YEAR(TODAY()),MONTH(TODAY()),1),3))-YEAR(IF(ISNUMBER(Suppliers!F8),Suppliers!F8,DATE(YEAR(TODAY()),MONTH(TODAY()),1))))*12+MONTH(EDATE(DATE(YEAR(TODAY()),MONTH(TODAY()),1),3))-MONTH(IF(ISNUMBER(Suppliers!F8),Suppliers!F8,DATE(YEAR(TODAY()),MONTH(TODAY()),1))),12)=0,1,0),IF(Suppliers!E8="One-time",IF(3=0,1,0),1)))))),"")</f>
        <v/>
      </c>
      <c r="J10" s="10" t="str">
        <f ca="1">IFERROR(IF(OR(4&gt;=$B$1,Suppliers!A8="",NOT(ISNUMBER(Suppliers!D8)),Suppliers!L8="Expired",Suppliers!L8="Terminate"),"",Suppliers!D8*-1*IF(Suppliers!E8="Monthly",IF(AND(ISNUMBER(Suppliers!G8),(YEAR(EDATE(DATE(YEAR(TODAY()),MONTH(TODAY()),1),4))*12+MONTH(EDATE(DATE(YEAR(TODAY()),MONTH(TODAY()),1),4)))&gt;(YEAR(Suppliers!G8)*12+MONTH(Suppliers!G8))),"",1),IF(Suppliers!E8="Quarterly",IF(MOD((YEAR(EDATE(DATE(YEAR(TODAY()),MONTH(TODAY()),1),4))-YEAR(IF(ISNUMBER(Suppliers!F8),Suppliers!F8,DATE(YEAR(TODAY()),MONTH(TODAY()),1))))*12+MONTH(EDATE(DATE(YEAR(TODAY()),MONTH(TODAY()),1),4))-MONTH(IF(ISNUMBER(Suppliers!F8),Suppliers!F8,DATE(YEAR(TODAY()),MONTH(TODAY()),1))),3)=0,1,0),IF(Suppliers!E8="Semi-annual",IF(MOD((YEAR(EDATE(DATE(YEAR(TODAY()),MONTH(TODAY()),1),4))-YEAR(IF(ISNUMBER(Suppliers!F8),Suppliers!F8,DATE(YEAR(TODAY()),MONTH(TODAY()),1))))*12+MONTH(EDATE(DATE(YEAR(TODAY()),MONTH(TODAY()),1),4))-MONTH(IF(ISNUMBER(Suppliers!F8),Suppliers!F8,DATE(YEAR(TODAY()),MONTH(TODAY()),1))),6)=0,1,0),IF(Suppliers!E8="Annual",IF(MOD((YEAR(EDATE(DATE(YEAR(TODAY()),MONTH(TODAY()),1),4))-YEAR(IF(ISNUMBER(Suppliers!F8),Suppliers!F8,DATE(YEAR(TODAY()),MONTH(TODAY()),1))))*12+MONTH(EDATE(DATE(YEAR(TODAY()),MONTH(TODAY()),1),4))-MONTH(IF(ISNUMBER(Suppliers!F8),Suppliers!F8,DATE(YEAR(TODAY()),MONTH(TODAY()),1))),12)=0,1,0),IF(Suppliers!E8="One-time",IF(4=0,1,0),1)))))),"")</f>
        <v/>
      </c>
      <c r="K10" s="10" t="str">
        <f ca="1">IFERROR(IF(OR(5&gt;=$B$1,Suppliers!A8="",NOT(ISNUMBER(Suppliers!D8)),Suppliers!L8="Expired",Suppliers!L8="Terminate"),"",Suppliers!D8*-1*IF(Suppliers!E8="Monthly",IF(AND(ISNUMBER(Suppliers!G8),(YEAR(EDATE(DATE(YEAR(TODAY()),MONTH(TODAY()),1),5))*12+MONTH(EDATE(DATE(YEAR(TODAY()),MONTH(TODAY()),1),5)))&gt;(YEAR(Suppliers!G8)*12+MONTH(Suppliers!G8))),"",1),IF(Suppliers!E8="Quarterly",IF(MOD((YEAR(EDATE(DATE(YEAR(TODAY()),MONTH(TODAY()),1),5))-YEAR(IF(ISNUMBER(Suppliers!F8),Suppliers!F8,DATE(YEAR(TODAY()),MONTH(TODAY()),1))))*12+MONTH(EDATE(DATE(YEAR(TODAY()),MONTH(TODAY()),1),5))-MONTH(IF(ISNUMBER(Suppliers!F8),Suppliers!F8,DATE(YEAR(TODAY()),MONTH(TODAY()),1))),3)=0,1,0),IF(Suppliers!E8="Semi-annual",IF(MOD((YEAR(EDATE(DATE(YEAR(TODAY()),MONTH(TODAY()),1),5))-YEAR(IF(ISNUMBER(Suppliers!F8),Suppliers!F8,DATE(YEAR(TODAY()),MONTH(TODAY()),1))))*12+MONTH(EDATE(DATE(YEAR(TODAY()),MONTH(TODAY()),1),5))-MONTH(IF(ISNUMBER(Suppliers!F8),Suppliers!F8,DATE(YEAR(TODAY()),MONTH(TODAY()),1))),6)=0,1,0),IF(Suppliers!E8="Annual",IF(MOD((YEAR(EDATE(DATE(YEAR(TODAY()),MONTH(TODAY()),1),5))-YEAR(IF(ISNUMBER(Suppliers!F8),Suppliers!F8,DATE(YEAR(TODAY()),MONTH(TODAY()),1))))*12+MONTH(EDATE(DATE(YEAR(TODAY()),MONTH(TODAY()),1),5))-MONTH(IF(ISNUMBER(Suppliers!F8),Suppliers!F8,DATE(YEAR(TODAY()),MONTH(TODAY()),1))),12)=0,1,0),IF(Suppliers!E8="One-time",IF(5=0,1,0),1)))))),"")</f>
        <v/>
      </c>
      <c r="L10" s="10" t="str">
        <f ca="1">IFERROR(IF(OR(6&gt;=$B$1,Suppliers!A8="",NOT(ISNUMBER(Suppliers!D8)),Suppliers!L8="Expired",Suppliers!L8="Terminate"),"",Suppliers!D8*-1*IF(Suppliers!E8="Monthly",IF(AND(ISNUMBER(Suppliers!G8),(YEAR(EDATE(DATE(YEAR(TODAY()),MONTH(TODAY()),1),6))*12+MONTH(EDATE(DATE(YEAR(TODAY()),MONTH(TODAY()),1),6)))&gt;(YEAR(Suppliers!G8)*12+MONTH(Suppliers!G8))),"",1),IF(Suppliers!E8="Quarterly",IF(MOD((YEAR(EDATE(DATE(YEAR(TODAY()),MONTH(TODAY()),1),6))-YEAR(IF(ISNUMBER(Suppliers!F8),Suppliers!F8,DATE(YEAR(TODAY()),MONTH(TODAY()),1))))*12+MONTH(EDATE(DATE(YEAR(TODAY()),MONTH(TODAY()),1),6))-MONTH(IF(ISNUMBER(Suppliers!F8),Suppliers!F8,DATE(YEAR(TODAY()),MONTH(TODAY()),1))),3)=0,1,0),IF(Suppliers!E8="Semi-annual",IF(MOD((YEAR(EDATE(DATE(YEAR(TODAY()),MONTH(TODAY()),1),6))-YEAR(IF(ISNUMBER(Suppliers!F8),Suppliers!F8,DATE(YEAR(TODAY()),MONTH(TODAY()),1))))*12+MONTH(EDATE(DATE(YEAR(TODAY()),MONTH(TODAY()),1),6))-MONTH(IF(ISNUMBER(Suppliers!F8),Suppliers!F8,DATE(YEAR(TODAY()),MONTH(TODAY()),1))),6)=0,1,0),IF(Suppliers!E8="Annual",IF(MOD((YEAR(EDATE(DATE(YEAR(TODAY()),MONTH(TODAY()),1),6))-YEAR(IF(ISNUMBER(Suppliers!F8),Suppliers!F8,DATE(YEAR(TODAY()),MONTH(TODAY()),1))))*12+MONTH(EDATE(DATE(YEAR(TODAY()),MONTH(TODAY()),1),6))-MONTH(IF(ISNUMBER(Suppliers!F8),Suppliers!F8,DATE(YEAR(TODAY()),MONTH(TODAY()),1))),12)=0,1,0),IF(Suppliers!E8="One-time",IF(6=0,1,0),1)))))),"")</f>
        <v/>
      </c>
      <c r="M10" s="10" t="str">
        <f ca="1">IFERROR(IF(OR(7&gt;=$B$1,Suppliers!A8="",NOT(ISNUMBER(Suppliers!D8)),Suppliers!L8="Expired",Suppliers!L8="Terminate"),"",Suppliers!D8*-1*IF(Suppliers!E8="Monthly",IF(AND(ISNUMBER(Suppliers!G8),(YEAR(EDATE(DATE(YEAR(TODAY()),MONTH(TODAY()),1),7))*12+MONTH(EDATE(DATE(YEAR(TODAY()),MONTH(TODAY()),1),7)))&gt;(YEAR(Suppliers!G8)*12+MONTH(Suppliers!G8))),"",1),IF(Suppliers!E8="Quarterly",IF(MOD((YEAR(EDATE(DATE(YEAR(TODAY()),MONTH(TODAY()),1),7))-YEAR(IF(ISNUMBER(Suppliers!F8),Suppliers!F8,DATE(YEAR(TODAY()),MONTH(TODAY()),1))))*12+MONTH(EDATE(DATE(YEAR(TODAY()),MONTH(TODAY()),1),7))-MONTH(IF(ISNUMBER(Suppliers!F8),Suppliers!F8,DATE(YEAR(TODAY()),MONTH(TODAY()),1))),3)=0,1,0),IF(Suppliers!E8="Semi-annual",IF(MOD((YEAR(EDATE(DATE(YEAR(TODAY()),MONTH(TODAY()),1),7))-YEAR(IF(ISNUMBER(Suppliers!F8),Suppliers!F8,DATE(YEAR(TODAY()),MONTH(TODAY()),1))))*12+MONTH(EDATE(DATE(YEAR(TODAY()),MONTH(TODAY()),1),7))-MONTH(IF(ISNUMBER(Suppliers!F8),Suppliers!F8,DATE(YEAR(TODAY()),MONTH(TODAY()),1))),6)=0,1,0),IF(Suppliers!E8="Annual",IF(MOD((YEAR(EDATE(DATE(YEAR(TODAY()),MONTH(TODAY()),1),7))-YEAR(IF(ISNUMBER(Suppliers!F8),Suppliers!F8,DATE(YEAR(TODAY()),MONTH(TODAY()),1))))*12+MONTH(EDATE(DATE(YEAR(TODAY()),MONTH(TODAY()),1),7))-MONTH(IF(ISNUMBER(Suppliers!F8),Suppliers!F8,DATE(YEAR(TODAY()),MONTH(TODAY()),1))),12)=0,1,0),IF(Suppliers!E8="One-time",IF(7=0,1,0),1)))))),"")</f>
        <v/>
      </c>
      <c r="N10" s="10" t="str">
        <f ca="1">IFERROR(IF(OR(8&gt;=$B$1,Suppliers!A8="",NOT(ISNUMBER(Suppliers!D8)),Suppliers!L8="Expired",Suppliers!L8="Terminate"),"",Suppliers!D8*-1*IF(Suppliers!E8="Monthly",IF(AND(ISNUMBER(Suppliers!G8),(YEAR(EDATE(DATE(YEAR(TODAY()),MONTH(TODAY()),1),8))*12+MONTH(EDATE(DATE(YEAR(TODAY()),MONTH(TODAY()),1),8)))&gt;(YEAR(Suppliers!G8)*12+MONTH(Suppliers!G8))),"",1),IF(Suppliers!E8="Quarterly",IF(MOD((YEAR(EDATE(DATE(YEAR(TODAY()),MONTH(TODAY()),1),8))-YEAR(IF(ISNUMBER(Suppliers!F8),Suppliers!F8,DATE(YEAR(TODAY()),MONTH(TODAY()),1))))*12+MONTH(EDATE(DATE(YEAR(TODAY()),MONTH(TODAY()),1),8))-MONTH(IF(ISNUMBER(Suppliers!F8),Suppliers!F8,DATE(YEAR(TODAY()),MONTH(TODAY()),1))),3)=0,1,0),IF(Suppliers!E8="Semi-annual",IF(MOD((YEAR(EDATE(DATE(YEAR(TODAY()),MONTH(TODAY()),1),8))-YEAR(IF(ISNUMBER(Suppliers!F8),Suppliers!F8,DATE(YEAR(TODAY()),MONTH(TODAY()),1))))*12+MONTH(EDATE(DATE(YEAR(TODAY()),MONTH(TODAY()),1),8))-MONTH(IF(ISNUMBER(Suppliers!F8),Suppliers!F8,DATE(YEAR(TODAY()),MONTH(TODAY()),1))),6)=0,1,0),IF(Suppliers!E8="Annual",IF(MOD((YEAR(EDATE(DATE(YEAR(TODAY()),MONTH(TODAY()),1),8))-YEAR(IF(ISNUMBER(Suppliers!F8),Suppliers!F8,DATE(YEAR(TODAY()),MONTH(TODAY()),1))))*12+MONTH(EDATE(DATE(YEAR(TODAY()),MONTH(TODAY()),1),8))-MONTH(IF(ISNUMBER(Suppliers!F8),Suppliers!F8,DATE(YEAR(TODAY()),MONTH(TODAY()),1))),12)=0,1,0),IF(Suppliers!E8="One-time",IF(8=0,1,0),1)))))),"")</f>
        <v/>
      </c>
      <c r="O10" s="10" t="str">
        <f ca="1">IFERROR(IF(OR(9&gt;=$B$1,Suppliers!A8="",NOT(ISNUMBER(Suppliers!D8)),Suppliers!L8="Expired",Suppliers!L8="Terminate"),"",Suppliers!D8*-1*IF(Suppliers!E8="Monthly",IF(AND(ISNUMBER(Suppliers!G8),(YEAR(EDATE(DATE(YEAR(TODAY()),MONTH(TODAY()),1),9))*12+MONTH(EDATE(DATE(YEAR(TODAY()),MONTH(TODAY()),1),9)))&gt;(YEAR(Suppliers!G8)*12+MONTH(Suppliers!G8))),"",1),IF(Suppliers!E8="Quarterly",IF(MOD((YEAR(EDATE(DATE(YEAR(TODAY()),MONTH(TODAY()),1),9))-YEAR(IF(ISNUMBER(Suppliers!F8),Suppliers!F8,DATE(YEAR(TODAY()),MONTH(TODAY()),1))))*12+MONTH(EDATE(DATE(YEAR(TODAY()),MONTH(TODAY()),1),9))-MONTH(IF(ISNUMBER(Suppliers!F8),Suppliers!F8,DATE(YEAR(TODAY()),MONTH(TODAY()),1))),3)=0,1,0),IF(Suppliers!E8="Semi-annual",IF(MOD((YEAR(EDATE(DATE(YEAR(TODAY()),MONTH(TODAY()),1),9))-YEAR(IF(ISNUMBER(Suppliers!F8),Suppliers!F8,DATE(YEAR(TODAY()),MONTH(TODAY()),1))))*12+MONTH(EDATE(DATE(YEAR(TODAY()),MONTH(TODAY()),1),9))-MONTH(IF(ISNUMBER(Suppliers!F8),Suppliers!F8,DATE(YEAR(TODAY()),MONTH(TODAY()),1))),6)=0,1,0),IF(Suppliers!E8="Annual",IF(MOD((YEAR(EDATE(DATE(YEAR(TODAY()),MONTH(TODAY()),1),9))-YEAR(IF(ISNUMBER(Suppliers!F8),Suppliers!F8,DATE(YEAR(TODAY()),MONTH(TODAY()),1))))*12+MONTH(EDATE(DATE(YEAR(TODAY()),MONTH(TODAY()),1),9))-MONTH(IF(ISNUMBER(Suppliers!F8),Suppliers!F8,DATE(YEAR(TODAY()),MONTH(TODAY()),1))),12)=0,1,0),IF(Suppliers!E8="One-time",IF(9=0,1,0),1)))))),"")</f>
        <v/>
      </c>
      <c r="P10" s="10" t="str">
        <f ca="1">IFERROR(IF(OR(10&gt;=$B$1,Suppliers!A8="",NOT(ISNUMBER(Suppliers!D8)),Suppliers!L8="Expired",Suppliers!L8="Terminate"),"",Suppliers!D8*-1*IF(Suppliers!E8="Monthly",IF(AND(ISNUMBER(Suppliers!G8),(YEAR(EDATE(DATE(YEAR(TODAY()),MONTH(TODAY()),1),10))*12+MONTH(EDATE(DATE(YEAR(TODAY()),MONTH(TODAY()),1),10)))&gt;(YEAR(Suppliers!G8)*12+MONTH(Suppliers!G8))),"",1),IF(Suppliers!E8="Quarterly",IF(MOD((YEAR(EDATE(DATE(YEAR(TODAY()),MONTH(TODAY()),1),10))-YEAR(IF(ISNUMBER(Suppliers!F8),Suppliers!F8,DATE(YEAR(TODAY()),MONTH(TODAY()),1))))*12+MONTH(EDATE(DATE(YEAR(TODAY()),MONTH(TODAY()),1),10))-MONTH(IF(ISNUMBER(Suppliers!F8),Suppliers!F8,DATE(YEAR(TODAY()),MONTH(TODAY()),1))),3)=0,1,0),IF(Suppliers!E8="Semi-annual",IF(MOD((YEAR(EDATE(DATE(YEAR(TODAY()),MONTH(TODAY()),1),10))-YEAR(IF(ISNUMBER(Suppliers!F8),Suppliers!F8,DATE(YEAR(TODAY()),MONTH(TODAY()),1))))*12+MONTH(EDATE(DATE(YEAR(TODAY()),MONTH(TODAY()),1),10))-MONTH(IF(ISNUMBER(Suppliers!F8),Suppliers!F8,DATE(YEAR(TODAY()),MONTH(TODAY()),1))),6)=0,1,0),IF(Suppliers!E8="Annual",IF(MOD((YEAR(EDATE(DATE(YEAR(TODAY()),MONTH(TODAY()),1),10))-YEAR(IF(ISNUMBER(Suppliers!F8),Suppliers!F8,DATE(YEAR(TODAY()),MONTH(TODAY()),1))))*12+MONTH(EDATE(DATE(YEAR(TODAY()),MONTH(TODAY()),1),10))-MONTH(IF(ISNUMBER(Suppliers!F8),Suppliers!F8,DATE(YEAR(TODAY()),MONTH(TODAY()),1))),12)=0,1,0),IF(Suppliers!E8="One-time",IF(10=0,1,0),1)))))),"")</f>
        <v/>
      </c>
      <c r="Q10" s="10" t="str">
        <f ca="1">IFERROR(IF(OR(11&gt;=$B$1,Suppliers!A8="",NOT(ISNUMBER(Suppliers!D8)),Suppliers!L8="Expired",Suppliers!L8="Terminate"),"",Suppliers!D8*-1*IF(Suppliers!E8="Monthly",IF(AND(ISNUMBER(Suppliers!G8),(YEAR(EDATE(DATE(YEAR(TODAY()),MONTH(TODAY()),1),11))*12+MONTH(EDATE(DATE(YEAR(TODAY()),MONTH(TODAY()),1),11)))&gt;(YEAR(Suppliers!G8)*12+MONTH(Suppliers!G8))),"",1),IF(Suppliers!E8="Quarterly",IF(MOD((YEAR(EDATE(DATE(YEAR(TODAY()),MONTH(TODAY()),1),11))-YEAR(IF(ISNUMBER(Suppliers!F8),Suppliers!F8,DATE(YEAR(TODAY()),MONTH(TODAY()),1))))*12+MONTH(EDATE(DATE(YEAR(TODAY()),MONTH(TODAY()),1),11))-MONTH(IF(ISNUMBER(Suppliers!F8),Suppliers!F8,DATE(YEAR(TODAY()),MONTH(TODAY()),1))),3)=0,1,0),IF(Suppliers!E8="Semi-annual",IF(MOD((YEAR(EDATE(DATE(YEAR(TODAY()),MONTH(TODAY()),1),11))-YEAR(IF(ISNUMBER(Suppliers!F8),Suppliers!F8,DATE(YEAR(TODAY()),MONTH(TODAY()),1))))*12+MONTH(EDATE(DATE(YEAR(TODAY()),MONTH(TODAY()),1),11))-MONTH(IF(ISNUMBER(Suppliers!F8),Suppliers!F8,DATE(YEAR(TODAY()),MONTH(TODAY()),1))),6)=0,1,0),IF(Suppliers!E8="Annual",IF(MOD((YEAR(EDATE(DATE(YEAR(TODAY()),MONTH(TODAY()),1),11))-YEAR(IF(ISNUMBER(Suppliers!F8),Suppliers!F8,DATE(YEAR(TODAY()),MONTH(TODAY()),1))))*12+MONTH(EDATE(DATE(YEAR(TODAY()),MONTH(TODAY()),1),11))-MONTH(IF(ISNUMBER(Suppliers!F8),Suppliers!F8,DATE(YEAR(TODAY()),MONTH(TODAY()),1))),12)=0,1,0),IF(Suppliers!E8="One-time",IF(11=0,1,0),1)))))),"")</f>
        <v/>
      </c>
      <c r="R10" s="10" t="str">
        <f ca="1">IFERROR(IF(OR(12&gt;=$B$1,Suppliers!A8="",NOT(ISNUMBER(Suppliers!D8)),Suppliers!L8="Expired",Suppliers!L8="Terminate"),"",Suppliers!D8*-1*IF(Suppliers!E8="Monthly",IF(AND(ISNUMBER(Suppliers!G8),(YEAR(EDATE(DATE(YEAR(TODAY()),MONTH(TODAY()),1),12))*12+MONTH(EDATE(DATE(YEAR(TODAY()),MONTH(TODAY()),1),12)))&gt;(YEAR(Suppliers!G8)*12+MONTH(Suppliers!G8))),"",1),IF(Suppliers!E8="Quarterly",IF(MOD((YEAR(EDATE(DATE(YEAR(TODAY()),MONTH(TODAY()),1),12))-YEAR(IF(ISNUMBER(Suppliers!F8),Suppliers!F8,DATE(YEAR(TODAY()),MONTH(TODAY()),1))))*12+MONTH(EDATE(DATE(YEAR(TODAY()),MONTH(TODAY()),1),12))-MONTH(IF(ISNUMBER(Suppliers!F8),Suppliers!F8,DATE(YEAR(TODAY()),MONTH(TODAY()),1))),3)=0,1,0),IF(Suppliers!E8="Semi-annual",IF(MOD((YEAR(EDATE(DATE(YEAR(TODAY()),MONTH(TODAY()),1),12))-YEAR(IF(ISNUMBER(Suppliers!F8),Suppliers!F8,DATE(YEAR(TODAY()),MONTH(TODAY()),1))))*12+MONTH(EDATE(DATE(YEAR(TODAY()),MONTH(TODAY()),1),12))-MONTH(IF(ISNUMBER(Suppliers!F8),Suppliers!F8,DATE(YEAR(TODAY()),MONTH(TODAY()),1))),6)=0,1,0),IF(Suppliers!E8="Annual",IF(MOD((YEAR(EDATE(DATE(YEAR(TODAY()),MONTH(TODAY()),1),12))-YEAR(IF(ISNUMBER(Suppliers!F8),Suppliers!F8,DATE(YEAR(TODAY()),MONTH(TODAY()),1))))*12+MONTH(EDATE(DATE(YEAR(TODAY()),MONTH(TODAY()),1),12))-MONTH(IF(ISNUMBER(Suppliers!F8),Suppliers!F8,DATE(YEAR(TODAY()),MONTH(TODAY()),1))),12)=0,1,0),IF(Suppliers!E8="One-time",IF(12=0,1,0),1)))))),"")</f>
        <v/>
      </c>
      <c r="S10" s="10" t="str">
        <f ca="1">IFERROR(IF(OR(13&gt;=$B$1,Suppliers!A8="",NOT(ISNUMBER(Suppliers!D8)),Suppliers!L8="Expired",Suppliers!L8="Terminate"),"",Suppliers!D8*-1*IF(Suppliers!E8="Monthly",IF(AND(ISNUMBER(Suppliers!G8),(YEAR(EDATE(DATE(YEAR(TODAY()),MONTH(TODAY()),1),13))*12+MONTH(EDATE(DATE(YEAR(TODAY()),MONTH(TODAY()),1),13)))&gt;(YEAR(Suppliers!G8)*12+MONTH(Suppliers!G8))),"",1),IF(Suppliers!E8="Quarterly",IF(MOD((YEAR(EDATE(DATE(YEAR(TODAY()),MONTH(TODAY()),1),13))-YEAR(IF(ISNUMBER(Suppliers!F8),Suppliers!F8,DATE(YEAR(TODAY()),MONTH(TODAY()),1))))*12+MONTH(EDATE(DATE(YEAR(TODAY()),MONTH(TODAY()),1),13))-MONTH(IF(ISNUMBER(Suppliers!F8),Suppliers!F8,DATE(YEAR(TODAY()),MONTH(TODAY()),1))),3)=0,1,0),IF(Suppliers!E8="Semi-annual",IF(MOD((YEAR(EDATE(DATE(YEAR(TODAY()),MONTH(TODAY()),1),13))-YEAR(IF(ISNUMBER(Suppliers!F8),Suppliers!F8,DATE(YEAR(TODAY()),MONTH(TODAY()),1))))*12+MONTH(EDATE(DATE(YEAR(TODAY()),MONTH(TODAY()),1),13))-MONTH(IF(ISNUMBER(Suppliers!F8),Suppliers!F8,DATE(YEAR(TODAY()),MONTH(TODAY()),1))),6)=0,1,0),IF(Suppliers!E8="Annual",IF(MOD((YEAR(EDATE(DATE(YEAR(TODAY()),MONTH(TODAY()),1),13))-YEAR(IF(ISNUMBER(Suppliers!F8),Suppliers!F8,DATE(YEAR(TODAY()),MONTH(TODAY()),1))))*12+MONTH(EDATE(DATE(YEAR(TODAY()),MONTH(TODAY()),1),13))-MONTH(IF(ISNUMBER(Suppliers!F8),Suppliers!F8,DATE(YEAR(TODAY()),MONTH(TODAY()),1))),12)=0,1,0),IF(Suppliers!E8="One-time",IF(13=0,1,0),1)))))),"")</f>
        <v/>
      </c>
      <c r="T10" s="10" t="str">
        <f ca="1">IFERROR(IF(OR(14&gt;=$B$1,Suppliers!A8="",NOT(ISNUMBER(Suppliers!D8)),Suppliers!L8="Expired",Suppliers!L8="Terminate"),"",Suppliers!D8*-1*IF(Suppliers!E8="Monthly",IF(AND(ISNUMBER(Suppliers!G8),(YEAR(EDATE(DATE(YEAR(TODAY()),MONTH(TODAY()),1),14))*12+MONTH(EDATE(DATE(YEAR(TODAY()),MONTH(TODAY()),1),14)))&gt;(YEAR(Suppliers!G8)*12+MONTH(Suppliers!G8))),"",1),IF(Suppliers!E8="Quarterly",IF(MOD((YEAR(EDATE(DATE(YEAR(TODAY()),MONTH(TODAY()),1),14))-YEAR(IF(ISNUMBER(Suppliers!F8),Suppliers!F8,DATE(YEAR(TODAY()),MONTH(TODAY()),1))))*12+MONTH(EDATE(DATE(YEAR(TODAY()),MONTH(TODAY()),1),14))-MONTH(IF(ISNUMBER(Suppliers!F8),Suppliers!F8,DATE(YEAR(TODAY()),MONTH(TODAY()),1))),3)=0,1,0),IF(Suppliers!E8="Semi-annual",IF(MOD((YEAR(EDATE(DATE(YEAR(TODAY()),MONTH(TODAY()),1),14))-YEAR(IF(ISNUMBER(Suppliers!F8),Suppliers!F8,DATE(YEAR(TODAY()),MONTH(TODAY()),1))))*12+MONTH(EDATE(DATE(YEAR(TODAY()),MONTH(TODAY()),1),14))-MONTH(IF(ISNUMBER(Suppliers!F8),Suppliers!F8,DATE(YEAR(TODAY()),MONTH(TODAY()),1))),6)=0,1,0),IF(Suppliers!E8="Annual",IF(MOD((YEAR(EDATE(DATE(YEAR(TODAY()),MONTH(TODAY()),1),14))-YEAR(IF(ISNUMBER(Suppliers!F8),Suppliers!F8,DATE(YEAR(TODAY()),MONTH(TODAY()),1))))*12+MONTH(EDATE(DATE(YEAR(TODAY()),MONTH(TODAY()),1),14))-MONTH(IF(ISNUMBER(Suppliers!F8),Suppliers!F8,DATE(YEAR(TODAY()),MONTH(TODAY()),1))),12)=0,1,0),IF(Suppliers!E8="One-time",IF(14=0,1,0),1)))))),"")</f>
        <v/>
      </c>
      <c r="U10" s="10" t="str">
        <f ca="1">IFERROR(IF(OR(15&gt;=$B$1,Suppliers!A8="",NOT(ISNUMBER(Suppliers!D8)),Suppliers!L8="Expired",Suppliers!L8="Terminate"),"",Suppliers!D8*-1*IF(Suppliers!E8="Monthly",IF(AND(ISNUMBER(Suppliers!G8),(YEAR(EDATE(DATE(YEAR(TODAY()),MONTH(TODAY()),1),15))*12+MONTH(EDATE(DATE(YEAR(TODAY()),MONTH(TODAY()),1),15)))&gt;(YEAR(Suppliers!G8)*12+MONTH(Suppliers!G8))),"",1),IF(Suppliers!E8="Quarterly",IF(MOD((YEAR(EDATE(DATE(YEAR(TODAY()),MONTH(TODAY()),1),15))-YEAR(IF(ISNUMBER(Suppliers!F8),Suppliers!F8,DATE(YEAR(TODAY()),MONTH(TODAY()),1))))*12+MONTH(EDATE(DATE(YEAR(TODAY()),MONTH(TODAY()),1),15))-MONTH(IF(ISNUMBER(Suppliers!F8),Suppliers!F8,DATE(YEAR(TODAY()),MONTH(TODAY()),1))),3)=0,1,0),IF(Suppliers!E8="Semi-annual",IF(MOD((YEAR(EDATE(DATE(YEAR(TODAY()),MONTH(TODAY()),1),15))-YEAR(IF(ISNUMBER(Suppliers!F8),Suppliers!F8,DATE(YEAR(TODAY()),MONTH(TODAY()),1))))*12+MONTH(EDATE(DATE(YEAR(TODAY()),MONTH(TODAY()),1),15))-MONTH(IF(ISNUMBER(Suppliers!F8),Suppliers!F8,DATE(YEAR(TODAY()),MONTH(TODAY()),1))),6)=0,1,0),IF(Suppliers!E8="Annual",IF(MOD((YEAR(EDATE(DATE(YEAR(TODAY()),MONTH(TODAY()),1),15))-YEAR(IF(ISNUMBER(Suppliers!F8),Suppliers!F8,DATE(YEAR(TODAY()),MONTH(TODAY()),1))))*12+MONTH(EDATE(DATE(YEAR(TODAY()),MONTH(TODAY()),1),15))-MONTH(IF(ISNUMBER(Suppliers!F8),Suppliers!F8,DATE(YEAR(TODAY()),MONTH(TODAY()),1))),12)=0,1,0),IF(Suppliers!E8="One-time",IF(15=0,1,0),1)))))),"")</f>
        <v/>
      </c>
      <c r="V10" s="10" t="str">
        <f ca="1">IFERROR(IF(OR(16&gt;=$B$1,Suppliers!A8="",NOT(ISNUMBER(Suppliers!D8)),Suppliers!L8="Expired",Suppliers!L8="Terminate"),"",Suppliers!D8*-1*IF(Suppliers!E8="Monthly",IF(AND(ISNUMBER(Suppliers!G8),(YEAR(EDATE(DATE(YEAR(TODAY()),MONTH(TODAY()),1),16))*12+MONTH(EDATE(DATE(YEAR(TODAY()),MONTH(TODAY()),1),16)))&gt;(YEAR(Suppliers!G8)*12+MONTH(Suppliers!G8))),"",1),IF(Suppliers!E8="Quarterly",IF(MOD((YEAR(EDATE(DATE(YEAR(TODAY()),MONTH(TODAY()),1),16))-YEAR(IF(ISNUMBER(Suppliers!F8),Suppliers!F8,DATE(YEAR(TODAY()),MONTH(TODAY()),1))))*12+MONTH(EDATE(DATE(YEAR(TODAY()),MONTH(TODAY()),1),16))-MONTH(IF(ISNUMBER(Suppliers!F8),Suppliers!F8,DATE(YEAR(TODAY()),MONTH(TODAY()),1))),3)=0,1,0),IF(Suppliers!E8="Semi-annual",IF(MOD((YEAR(EDATE(DATE(YEAR(TODAY()),MONTH(TODAY()),1),16))-YEAR(IF(ISNUMBER(Suppliers!F8),Suppliers!F8,DATE(YEAR(TODAY()),MONTH(TODAY()),1))))*12+MONTH(EDATE(DATE(YEAR(TODAY()),MONTH(TODAY()),1),16))-MONTH(IF(ISNUMBER(Suppliers!F8),Suppliers!F8,DATE(YEAR(TODAY()),MONTH(TODAY()),1))),6)=0,1,0),IF(Suppliers!E8="Annual",IF(MOD((YEAR(EDATE(DATE(YEAR(TODAY()),MONTH(TODAY()),1),16))-YEAR(IF(ISNUMBER(Suppliers!F8),Suppliers!F8,DATE(YEAR(TODAY()),MONTH(TODAY()),1))))*12+MONTH(EDATE(DATE(YEAR(TODAY()),MONTH(TODAY()),1),16))-MONTH(IF(ISNUMBER(Suppliers!F8),Suppliers!F8,DATE(YEAR(TODAY()),MONTH(TODAY()),1))),12)=0,1,0),IF(Suppliers!E8="One-time",IF(16=0,1,0),1)))))),"")</f>
        <v/>
      </c>
      <c r="W10" s="10" t="str">
        <f ca="1">IFERROR(IF(OR(17&gt;=$B$1,Suppliers!A8="",NOT(ISNUMBER(Suppliers!D8)),Suppliers!L8="Expired",Suppliers!L8="Terminate"),"",Suppliers!D8*-1*IF(Suppliers!E8="Monthly",IF(AND(ISNUMBER(Suppliers!G8),(YEAR(EDATE(DATE(YEAR(TODAY()),MONTH(TODAY()),1),17))*12+MONTH(EDATE(DATE(YEAR(TODAY()),MONTH(TODAY()),1),17)))&gt;(YEAR(Suppliers!G8)*12+MONTH(Suppliers!G8))),"",1),IF(Suppliers!E8="Quarterly",IF(MOD((YEAR(EDATE(DATE(YEAR(TODAY()),MONTH(TODAY()),1),17))-YEAR(IF(ISNUMBER(Suppliers!F8),Suppliers!F8,DATE(YEAR(TODAY()),MONTH(TODAY()),1))))*12+MONTH(EDATE(DATE(YEAR(TODAY()),MONTH(TODAY()),1),17))-MONTH(IF(ISNUMBER(Suppliers!F8),Suppliers!F8,DATE(YEAR(TODAY()),MONTH(TODAY()),1))),3)=0,1,0),IF(Suppliers!E8="Semi-annual",IF(MOD((YEAR(EDATE(DATE(YEAR(TODAY()),MONTH(TODAY()),1),17))-YEAR(IF(ISNUMBER(Suppliers!F8),Suppliers!F8,DATE(YEAR(TODAY()),MONTH(TODAY()),1))))*12+MONTH(EDATE(DATE(YEAR(TODAY()),MONTH(TODAY()),1),17))-MONTH(IF(ISNUMBER(Suppliers!F8),Suppliers!F8,DATE(YEAR(TODAY()),MONTH(TODAY()),1))),6)=0,1,0),IF(Suppliers!E8="Annual",IF(MOD((YEAR(EDATE(DATE(YEAR(TODAY()),MONTH(TODAY()),1),17))-YEAR(IF(ISNUMBER(Suppliers!F8),Suppliers!F8,DATE(YEAR(TODAY()),MONTH(TODAY()),1))))*12+MONTH(EDATE(DATE(YEAR(TODAY()),MONTH(TODAY()),1),17))-MONTH(IF(ISNUMBER(Suppliers!F8),Suppliers!F8,DATE(YEAR(TODAY()),MONTH(TODAY()),1))),12)=0,1,0),IF(Suppliers!E8="One-time",IF(17=0,1,0),1)))))),"")</f>
        <v/>
      </c>
      <c r="X10" s="10" t="str">
        <f ca="1">IFERROR(IF(OR(18&gt;=$B$1,Suppliers!A8="",NOT(ISNUMBER(Suppliers!D8)),Suppliers!L8="Expired",Suppliers!L8="Terminate"),"",Suppliers!D8*-1*IF(Suppliers!E8="Monthly",IF(AND(ISNUMBER(Suppliers!G8),(YEAR(EDATE(DATE(YEAR(TODAY()),MONTH(TODAY()),1),18))*12+MONTH(EDATE(DATE(YEAR(TODAY()),MONTH(TODAY()),1),18)))&gt;(YEAR(Suppliers!G8)*12+MONTH(Suppliers!G8))),"",1),IF(Suppliers!E8="Quarterly",IF(MOD((YEAR(EDATE(DATE(YEAR(TODAY()),MONTH(TODAY()),1),18))-YEAR(IF(ISNUMBER(Suppliers!F8),Suppliers!F8,DATE(YEAR(TODAY()),MONTH(TODAY()),1))))*12+MONTH(EDATE(DATE(YEAR(TODAY()),MONTH(TODAY()),1),18))-MONTH(IF(ISNUMBER(Suppliers!F8),Suppliers!F8,DATE(YEAR(TODAY()),MONTH(TODAY()),1))),3)=0,1,0),IF(Suppliers!E8="Semi-annual",IF(MOD((YEAR(EDATE(DATE(YEAR(TODAY()),MONTH(TODAY()),1),18))-YEAR(IF(ISNUMBER(Suppliers!F8),Suppliers!F8,DATE(YEAR(TODAY()),MONTH(TODAY()),1))))*12+MONTH(EDATE(DATE(YEAR(TODAY()),MONTH(TODAY()),1),18))-MONTH(IF(ISNUMBER(Suppliers!F8),Suppliers!F8,DATE(YEAR(TODAY()),MONTH(TODAY()),1))),6)=0,1,0),IF(Suppliers!E8="Annual",IF(MOD((YEAR(EDATE(DATE(YEAR(TODAY()),MONTH(TODAY()),1),18))-YEAR(IF(ISNUMBER(Suppliers!F8),Suppliers!F8,DATE(YEAR(TODAY()),MONTH(TODAY()),1))))*12+MONTH(EDATE(DATE(YEAR(TODAY()),MONTH(TODAY()),1),18))-MONTH(IF(ISNUMBER(Suppliers!F8),Suppliers!F8,DATE(YEAR(TODAY()),MONTH(TODAY()),1))),12)=0,1,0),IF(Suppliers!E8="One-time",IF(18=0,1,0),1)))))),"")</f>
        <v/>
      </c>
      <c r="Y10" s="10" t="str">
        <f ca="1">IFERROR(IF(OR(19&gt;=$B$1,Suppliers!A8="",NOT(ISNUMBER(Suppliers!D8)),Suppliers!L8="Expired",Suppliers!L8="Terminate"),"",Suppliers!D8*-1*IF(Suppliers!E8="Monthly",IF(AND(ISNUMBER(Suppliers!G8),(YEAR(EDATE(DATE(YEAR(TODAY()),MONTH(TODAY()),1),19))*12+MONTH(EDATE(DATE(YEAR(TODAY()),MONTH(TODAY()),1),19)))&gt;(YEAR(Suppliers!G8)*12+MONTH(Suppliers!G8))),"",1),IF(Suppliers!E8="Quarterly",IF(MOD((YEAR(EDATE(DATE(YEAR(TODAY()),MONTH(TODAY()),1),19))-YEAR(IF(ISNUMBER(Suppliers!F8),Suppliers!F8,DATE(YEAR(TODAY()),MONTH(TODAY()),1))))*12+MONTH(EDATE(DATE(YEAR(TODAY()),MONTH(TODAY()),1),19))-MONTH(IF(ISNUMBER(Suppliers!F8),Suppliers!F8,DATE(YEAR(TODAY()),MONTH(TODAY()),1))),3)=0,1,0),IF(Suppliers!E8="Semi-annual",IF(MOD((YEAR(EDATE(DATE(YEAR(TODAY()),MONTH(TODAY()),1),19))-YEAR(IF(ISNUMBER(Suppliers!F8),Suppliers!F8,DATE(YEAR(TODAY()),MONTH(TODAY()),1))))*12+MONTH(EDATE(DATE(YEAR(TODAY()),MONTH(TODAY()),1),19))-MONTH(IF(ISNUMBER(Suppliers!F8),Suppliers!F8,DATE(YEAR(TODAY()),MONTH(TODAY()),1))),6)=0,1,0),IF(Suppliers!E8="Annual",IF(MOD((YEAR(EDATE(DATE(YEAR(TODAY()),MONTH(TODAY()),1),19))-YEAR(IF(ISNUMBER(Suppliers!F8),Suppliers!F8,DATE(YEAR(TODAY()),MONTH(TODAY()),1))))*12+MONTH(EDATE(DATE(YEAR(TODAY()),MONTH(TODAY()),1),19))-MONTH(IF(ISNUMBER(Suppliers!F8),Suppliers!F8,DATE(YEAR(TODAY()),MONTH(TODAY()),1))),12)=0,1,0),IF(Suppliers!E8="One-time",IF(19=0,1,0),1)))))),"")</f>
        <v/>
      </c>
      <c r="Z10" s="10" t="str">
        <f ca="1">IFERROR(IF(OR(20&gt;=$B$1,Suppliers!A8="",NOT(ISNUMBER(Suppliers!D8)),Suppliers!L8="Expired",Suppliers!L8="Terminate"),"",Suppliers!D8*-1*IF(Suppliers!E8="Monthly",IF(AND(ISNUMBER(Suppliers!G8),(YEAR(EDATE(DATE(YEAR(TODAY()),MONTH(TODAY()),1),20))*12+MONTH(EDATE(DATE(YEAR(TODAY()),MONTH(TODAY()),1),20)))&gt;(YEAR(Suppliers!G8)*12+MONTH(Suppliers!G8))),"",1),IF(Suppliers!E8="Quarterly",IF(MOD((YEAR(EDATE(DATE(YEAR(TODAY()),MONTH(TODAY()),1),20))-YEAR(IF(ISNUMBER(Suppliers!F8),Suppliers!F8,DATE(YEAR(TODAY()),MONTH(TODAY()),1))))*12+MONTH(EDATE(DATE(YEAR(TODAY()),MONTH(TODAY()),1),20))-MONTH(IF(ISNUMBER(Suppliers!F8),Suppliers!F8,DATE(YEAR(TODAY()),MONTH(TODAY()),1))),3)=0,1,0),IF(Suppliers!E8="Semi-annual",IF(MOD((YEAR(EDATE(DATE(YEAR(TODAY()),MONTH(TODAY()),1),20))-YEAR(IF(ISNUMBER(Suppliers!F8),Suppliers!F8,DATE(YEAR(TODAY()),MONTH(TODAY()),1))))*12+MONTH(EDATE(DATE(YEAR(TODAY()),MONTH(TODAY()),1),20))-MONTH(IF(ISNUMBER(Suppliers!F8),Suppliers!F8,DATE(YEAR(TODAY()),MONTH(TODAY()),1))),6)=0,1,0),IF(Suppliers!E8="Annual",IF(MOD((YEAR(EDATE(DATE(YEAR(TODAY()),MONTH(TODAY()),1),20))-YEAR(IF(ISNUMBER(Suppliers!F8),Suppliers!F8,DATE(YEAR(TODAY()),MONTH(TODAY()),1))))*12+MONTH(EDATE(DATE(YEAR(TODAY()),MONTH(TODAY()),1),20))-MONTH(IF(ISNUMBER(Suppliers!F8),Suppliers!F8,DATE(YEAR(TODAY()),MONTH(TODAY()),1))),12)=0,1,0),IF(Suppliers!E8="One-time",IF(20=0,1,0),1)))))),"")</f>
        <v/>
      </c>
      <c r="AA10" s="10" t="str">
        <f ca="1">IFERROR(IF(OR(21&gt;=$B$1,Suppliers!A8="",NOT(ISNUMBER(Suppliers!D8)),Suppliers!L8="Expired",Suppliers!L8="Terminate"),"",Suppliers!D8*-1*IF(Suppliers!E8="Monthly",IF(AND(ISNUMBER(Suppliers!G8),(YEAR(EDATE(DATE(YEAR(TODAY()),MONTH(TODAY()),1),21))*12+MONTH(EDATE(DATE(YEAR(TODAY()),MONTH(TODAY()),1),21)))&gt;(YEAR(Suppliers!G8)*12+MONTH(Suppliers!G8))),"",1),IF(Suppliers!E8="Quarterly",IF(MOD((YEAR(EDATE(DATE(YEAR(TODAY()),MONTH(TODAY()),1),21))-YEAR(IF(ISNUMBER(Suppliers!F8),Suppliers!F8,DATE(YEAR(TODAY()),MONTH(TODAY()),1))))*12+MONTH(EDATE(DATE(YEAR(TODAY()),MONTH(TODAY()),1),21))-MONTH(IF(ISNUMBER(Suppliers!F8),Suppliers!F8,DATE(YEAR(TODAY()),MONTH(TODAY()),1))),3)=0,1,0),IF(Suppliers!E8="Semi-annual",IF(MOD((YEAR(EDATE(DATE(YEAR(TODAY()),MONTH(TODAY()),1),21))-YEAR(IF(ISNUMBER(Suppliers!F8),Suppliers!F8,DATE(YEAR(TODAY()),MONTH(TODAY()),1))))*12+MONTH(EDATE(DATE(YEAR(TODAY()),MONTH(TODAY()),1),21))-MONTH(IF(ISNUMBER(Suppliers!F8),Suppliers!F8,DATE(YEAR(TODAY()),MONTH(TODAY()),1))),6)=0,1,0),IF(Suppliers!E8="Annual",IF(MOD((YEAR(EDATE(DATE(YEAR(TODAY()),MONTH(TODAY()),1),21))-YEAR(IF(ISNUMBER(Suppliers!F8),Suppliers!F8,DATE(YEAR(TODAY()),MONTH(TODAY()),1))))*12+MONTH(EDATE(DATE(YEAR(TODAY()),MONTH(TODAY()),1),21))-MONTH(IF(ISNUMBER(Suppliers!F8),Suppliers!F8,DATE(YEAR(TODAY()),MONTH(TODAY()),1))),12)=0,1,0),IF(Suppliers!E8="One-time",IF(21=0,1,0),1)))))),"")</f>
        <v/>
      </c>
      <c r="AB10" s="10" t="str">
        <f ca="1">IFERROR(IF(OR(22&gt;=$B$1,Suppliers!A8="",NOT(ISNUMBER(Suppliers!D8)),Suppliers!L8="Expired",Suppliers!L8="Terminate"),"",Suppliers!D8*-1*IF(Suppliers!E8="Monthly",IF(AND(ISNUMBER(Suppliers!G8),(YEAR(EDATE(DATE(YEAR(TODAY()),MONTH(TODAY()),1),22))*12+MONTH(EDATE(DATE(YEAR(TODAY()),MONTH(TODAY()),1),22)))&gt;(YEAR(Suppliers!G8)*12+MONTH(Suppliers!G8))),"",1),IF(Suppliers!E8="Quarterly",IF(MOD((YEAR(EDATE(DATE(YEAR(TODAY()),MONTH(TODAY()),1),22))-YEAR(IF(ISNUMBER(Suppliers!F8),Suppliers!F8,DATE(YEAR(TODAY()),MONTH(TODAY()),1))))*12+MONTH(EDATE(DATE(YEAR(TODAY()),MONTH(TODAY()),1),22))-MONTH(IF(ISNUMBER(Suppliers!F8),Suppliers!F8,DATE(YEAR(TODAY()),MONTH(TODAY()),1))),3)=0,1,0),IF(Suppliers!E8="Semi-annual",IF(MOD((YEAR(EDATE(DATE(YEAR(TODAY()),MONTH(TODAY()),1),22))-YEAR(IF(ISNUMBER(Suppliers!F8),Suppliers!F8,DATE(YEAR(TODAY()),MONTH(TODAY()),1))))*12+MONTH(EDATE(DATE(YEAR(TODAY()),MONTH(TODAY()),1),22))-MONTH(IF(ISNUMBER(Suppliers!F8),Suppliers!F8,DATE(YEAR(TODAY()),MONTH(TODAY()),1))),6)=0,1,0),IF(Suppliers!E8="Annual",IF(MOD((YEAR(EDATE(DATE(YEAR(TODAY()),MONTH(TODAY()),1),22))-YEAR(IF(ISNUMBER(Suppliers!F8),Suppliers!F8,DATE(YEAR(TODAY()),MONTH(TODAY()),1))))*12+MONTH(EDATE(DATE(YEAR(TODAY()),MONTH(TODAY()),1),22))-MONTH(IF(ISNUMBER(Suppliers!F8),Suppliers!F8,DATE(YEAR(TODAY()),MONTH(TODAY()),1))),12)=0,1,0),IF(Suppliers!E8="One-time",IF(22=0,1,0),1)))))),"")</f>
        <v/>
      </c>
      <c r="AC10" s="10" t="str">
        <f ca="1">IFERROR(IF(OR(23&gt;=$B$1,Suppliers!A8="",NOT(ISNUMBER(Suppliers!D8)),Suppliers!L8="Expired",Suppliers!L8="Terminate"),"",Suppliers!D8*-1*IF(Suppliers!E8="Monthly",IF(AND(ISNUMBER(Suppliers!G8),(YEAR(EDATE(DATE(YEAR(TODAY()),MONTH(TODAY()),1),23))*12+MONTH(EDATE(DATE(YEAR(TODAY()),MONTH(TODAY()),1),23)))&gt;(YEAR(Suppliers!G8)*12+MONTH(Suppliers!G8))),"",1),IF(Suppliers!E8="Quarterly",IF(MOD((YEAR(EDATE(DATE(YEAR(TODAY()),MONTH(TODAY()),1),23))-YEAR(IF(ISNUMBER(Suppliers!F8),Suppliers!F8,DATE(YEAR(TODAY()),MONTH(TODAY()),1))))*12+MONTH(EDATE(DATE(YEAR(TODAY()),MONTH(TODAY()),1),23))-MONTH(IF(ISNUMBER(Suppliers!F8),Suppliers!F8,DATE(YEAR(TODAY()),MONTH(TODAY()),1))),3)=0,1,0),IF(Suppliers!E8="Semi-annual",IF(MOD((YEAR(EDATE(DATE(YEAR(TODAY()),MONTH(TODAY()),1),23))-YEAR(IF(ISNUMBER(Suppliers!F8),Suppliers!F8,DATE(YEAR(TODAY()),MONTH(TODAY()),1))))*12+MONTH(EDATE(DATE(YEAR(TODAY()),MONTH(TODAY()),1),23))-MONTH(IF(ISNUMBER(Suppliers!F8),Suppliers!F8,DATE(YEAR(TODAY()),MONTH(TODAY()),1))),6)=0,1,0),IF(Suppliers!E8="Annual",IF(MOD((YEAR(EDATE(DATE(YEAR(TODAY()),MONTH(TODAY()),1),23))-YEAR(IF(ISNUMBER(Suppliers!F8),Suppliers!F8,DATE(YEAR(TODAY()),MONTH(TODAY()),1))))*12+MONTH(EDATE(DATE(YEAR(TODAY()),MONTH(TODAY()),1),23))-MONTH(IF(ISNUMBER(Suppliers!F8),Suppliers!F8,DATE(YEAR(TODAY()),MONTH(TODAY()),1))),12)=0,1,0),IF(Suppliers!E8="One-time",IF(23=0,1,0),1)))))),"")</f>
        <v/>
      </c>
    </row>
    <row r="11" spans="1:29" ht="15" customHeight="1" x14ac:dyDescent="0.35">
      <c r="A11" s="4" t="s">
        <v>80</v>
      </c>
      <c r="B11" s="4" t="str">
        <f>IF(Suppliers!A9="","",Suppliers!A9)</f>
        <v>Theta Analytics GmbH</v>
      </c>
      <c r="C11" s="10">
        <f>IF(Suppliers!C9="","",Suppliers!C9)</f>
        <v>1260.5</v>
      </c>
      <c r="D11" s="10">
        <f>IF(Suppliers!D9="","",Suppliers!D9)</f>
        <v>1500</v>
      </c>
      <c r="E11" s="4" t="str">
        <f>IF(Suppliers!E9="","",Suppliers!E9)</f>
        <v>Annual</v>
      </c>
      <c r="F11" s="10">
        <f ca="1">IFERROR(IF(OR(0&gt;=$B$1,Suppliers!A9="",NOT(ISNUMBER(Suppliers!D9)),Suppliers!L9="Expired",Suppliers!L9="Terminate"),"",Suppliers!D9*-1*IF(Suppliers!E9="Monthly",IF(AND(ISNUMBER(Suppliers!G9),(YEAR(EDATE(DATE(YEAR(TODAY()),MONTH(TODAY()),1),0))*12+MONTH(EDATE(DATE(YEAR(TODAY()),MONTH(TODAY()),1),0)))&gt;(YEAR(Suppliers!G9)*12+MONTH(Suppliers!G9))),"",1),IF(Suppliers!E9="Quarterly",IF(MOD((YEAR(EDATE(DATE(YEAR(TODAY()),MONTH(TODAY()),1),0))-YEAR(IF(ISNUMBER(Suppliers!F9),Suppliers!F9,DATE(YEAR(TODAY()),MONTH(TODAY()),1))))*12+MONTH(EDATE(DATE(YEAR(TODAY()),MONTH(TODAY()),1),0))-MONTH(IF(ISNUMBER(Suppliers!F9),Suppliers!F9,DATE(YEAR(TODAY()),MONTH(TODAY()),1))),3)=0,1,0),IF(Suppliers!E9="Semi-annual",IF(MOD((YEAR(EDATE(DATE(YEAR(TODAY()),MONTH(TODAY()),1),0))-YEAR(IF(ISNUMBER(Suppliers!F9),Suppliers!F9,DATE(YEAR(TODAY()),MONTH(TODAY()),1))))*12+MONTH(EDATE(DATE(YEAR(TODAY()),MONTH(TODAY()),1),0))-MONTH(IF(ISNUMBER(Suppliers!F9),Suppliers!F9,DATE(YEAR(TODAY()),MONTH(TODAY()),1))),6)=0,1,0),IF(Suppliers!E9="Annual",IF(MOD((YEAR(EDATE(DATE(YEAR(TODAY()),MONTH(TODAY()),1),0))-YEAR(IF(ISNUMBER(Suppliers!F9),Suppliers!F9,DATE(YEAR(TODAY()),MONTH(TODAY()),1))))*12+MONTH(EDATE(DATE(YEAR(TODAY()),MONTH(TODAY()),1),0))-MONTH(IF(ISNUMBER(Suppliers!F9),Suppliers!F9,DATE(YEAR(TODAY()),MONTH(TODAY()),1))),12)=0,1,0),IF(Suppliers!E9="One-time",IF(0=0,1,0),1)))))),"")</f>
        <v>0</v>
      </c>
      <c r="G11" s="10">
        <f ca="1">IFERROR(IF(OR(1&gt;=$B$1,Suppliers!A9="",NOT(ISNUMBER(Suppliers!D9)),Suppliers!L9="Expired",Suppliers!L9="Terminate"),"",Suppliers!D9*-1*IF(Suppliers!E9="Monthly",IF(AND(ISNUMBER(Suppliers!G9),(YEAR(EDATE(DATE(YEAR(TODAY()),MONTH(TODAY()),1),1))*12+MONTH(EDATE(DATE(YEAR(TODAY()),MONTH(TODAY()),1),1)))&gt;(YEAR(Suppliers!G9)*12+MONTH(Suppliers!G9))),"",1),IF(Suppliers!E9="Quarterly",IF(MOD((YEAR(EDATE(DATE(YEAR(TODAY()),MONTH(TODAY()),1),1))-YEAR(IF(ISNUMBER(Suppliers!F9),Suppliers!F9,DATE(YEAR(TODAY()),MONTH(TODAY()),1))))*12+MONTH(EDATE(DATE(YEAR(TODAY()),MONTH(TODAY()),1),1))-MONTH(IF(ISNUMBER(Suppliers!F9),Suppliers!F9,DATE(YEAR(TODAY()),MONTH(TODAY()),1))),3)=0,1,0),IF(Suppliers!E9="Semi-annual",IF(MOD((YEAR(EDATE(DATE(YEAR(TODAY()),MONTH(TODAY()),1),1))-YEAR(IF(ISNUMBER(Suppliers!F9),Suppliers!F9,DATE(YEAR(TODAY()),MONTH(TODAY()),1))))*12+MONTH(EDATE(DATE(YEAR(TODAY()),MONTH(TODAY()),1),1))-MONTH(IF(ISNUMBER(Suppliers!F9),Suppliers!F9,DATE(YEAR(TODAY()),MONTH(TODAY()),1))),6)=0,1,0),IF(Suppliers!E9="Annual",IF(MOD((YEAR(EDATE(DATE(YEAR(TODAY()),MONTH(TODAY()),1),1))-YEAR(IF(ISNUMBER(Suppliers!F9),Suppliers!F9,DATE(YEAR(TODAY()),MONTH(TODAY()),1))))*12+MONTH(EDATE(DATE(YEAR(TODAY()),MONTH(TODAY()),1),1))-MONTH(IF(ISNUMBER(Suppliers!F9),Suppliers!F9,DATE(YEAR(TODAY()),MONTH(TODAY()),1))),12)=0,1,0),IF(Suppliers!E9="One-time",IF(1=0,1,0),1)))))),"")</f>
        <v>0</v>
      </c>
      <c r="H11" s="10">
        <f ca="1">IFERROR(IF(OR(2&gt;=$B$1,Suppliers!A9="",NOT(ISNUMBER(Suppliers!D9)),Suppliers!L9="Expired",Suppliers!L9="Terminate"),"",Suppliers!D9*-1*IF(Suppliers!E9="Monthly",IF(AND(ISNUMBER(Suppliers!G9),(YEAR(EDATE(DATE(YEAR(TODAY()),MONTH(TODAY()),1),2))*12+MONTH(EDATE(DATE(YEAR(TODAY()),MONTH(TODAY()),1),2)))&gt;(YEAR(Suppliers!G9)*12+MONTH(Suppliers!G9))),"",1),IF(Suppliers!E9="Quarterly",IF(MOD((YEAR(EDATE(DATE(YEAR(TODAY()),MONTH(TODAY()),1),2))-YEAR(IF(ISNUMBER(Suppliers!F9),Suppliers!F9,DATE(YEAR(TODAY()),MONTH(TODAY()),1))))*12+MONTH(EDATE(DATE(YEAR(TODAY()),MONTH(TODAY()),1),2))-MONTH(IF(ISNUMBER(Suppliers!F9),Suppliers!F9,DATE(YEAR(TODAY()),MONTH(TODAY()),1))),3)=0,1,0),IF(Suppliers!E9="Semi-annual",IF(MOD((YEAR(EDATE(DATE(YEAR(TODAY()),MONTH(TODAY()),1),2))-YEAR(IF(ISNUMBER(Suppliers!F9),Suppliers!F9,DATE(YEAR(TODAY()),MONTH(TODAY()),1))))*12+MONTH(EDATE(DATE(YEAR(TODAY()),MONTH(TODAY()),1),2))-MONTH(IF(ISNUMBER(Suppliers!F9),Suppliers!F9,DATE(YEAR(TODAY()),MONTH(TODAY()),1))),6)=0,1,0),IF(Suppliers!E9="Annual",IF(MOD((YEAR(EDATE(DATE(YEAR(TODAY()),MONTH(TODAY()),1),2))-YEAR(IF(ISNUMBER(Suppliers!F9),Suppliers!F9,DATE(YEAR(TODAY()),MONTH(TODAY()),1))))*12+MONTH(EDATE(DATE(YEAR(TODAY()),MONTH(TODAY()),1),2))-MONTH(IF(ISNUMBER(Suppliers!F9),Suppliers!F9,DATE(YEAR(TODAY()),MONTH(TODAY()),1))),12)=0,1,0),IF(Suppliers!E9="One-time",IF(2=0,1,0),1)))))),"")</f>
        <v>0</v>
      </c>
      <c r="I11" s="10" t="str">
        <f ca="1">IFERROR(IF(OR(3&gt;=$B$1,Suppliers!A9="",NOT(ISNUMBER(Suppliers!D9)),Suppliers!L9="Expired",Suppliers!L9="Terminate"),"",Suppliers!D9*-1*IF(Suppliers!E9="Monthly",IF(AND(ISNUMBER(Suppliers!G9),(YEAR(EDATE(DATE(YEAR(TODAY()),MONTH(TODAY()),1),3))*12+MONTH(EDATE(DATE(YEAR(TODAY()),MONTH(TODAY()),1),3)))&gt;(YEAR(Suppliers!G9)*12+MONTH(Suppliers!G9))),"",1),IF(Suppliers!E9="Quarterly",IF(MOD((YEAR(EDATE(DATE(YEAR(TODAY()),MONTH(TODAY()),1),3))-YEAR(IF(ISNUMBER(Suppliers!F9),Suppliers!F9,DATE(YEAR(TODAY()),MONTH(TODAY()),1))))*12+MONTH(EDATE(DATE(YEAR(TODAY()),MONTH(TODAY()),1),3))-MONTH(IF(ISNUMBER(Suppliers!F9),Suppliers!F9,DATE(YEAR(TODAY()),MONTH(TODAY()),1))),3)=0,1,0),IF(Suppliers!E9="Semi-annual",IF(MOD((YEAR(EDATE(DATE(YEAR(TODAY()),MONTH(TODAY()),1),3))-YEAR(IF(ISNUMBER(Suppliers!F9),Suppliers!F9,DATE(YEAR(TODAY()),MONTH(TODAY()),1))))*12+MONTH(EDATE(DATE(YEAR(TODAY()),MONTH(TODAY()),1),3))-MONTH(IF(ISNUMBER(Suppliers!F9),Suppliers!F9,DATE(YEAR(TODAY()),MONTH(TODAY()),1))),6)=0,1,0),IF(Suppliers!E9="Annual",IF(MOD((YEAR(EDATE(DATE(YEAR(TODAY()),MONTH(TODAY()),1),3))-YEAR(IF(ISNUMBER(Suppliers!F9),Suppliers!F9,DATE(YEAR(TODAY()),MONTH(TODAY()),1))))*12+MONTH(EDATE(DATE(YEAR(TODAY()),MONTH(TODAY()),1),3))-MONTH(IF(ISNUMBER(Suppliers!F9),Suppliers!F9,DATE(YEAR(TODAY()),MONTH(TODAY()),1))),12)=0,1,0),IF(Suppliers!E9="One-time",IF(3=0,1,0),1)))))),"")</f>
        <v/>
      </c>
      <c r="J11" s="10" t="str">
        <f ca="1">IFERROR(IF(OR(4&gt;=$B$1,Suppliers!A9="",NOT(ISNUMBER(Suppliers!D9)),Suppliers!L9="Expired",Suppliers!L9="Terminate"),"",Suppliers!D9*-1*IF(Suppliers!E9="Monthly",IF(AND(ISNUMBER(Suppliers!G9),(YEAR(EDATE(DATE(YEAR(TODAY()),MONTH(TODAY()),1),4))*12+MONTH(EDATE(DATE(YEAR(TODAY()),MONTH(TODAY()),1),4)))&gt;(YEAR(Suppliers!G9)*12+MONTH(Suppliers!G9))),"",1),IF(Suppliers!E9="Quarterly",IF(MOD((YEAR(EDATE(DATE(YEAR(TODAY()),MONTH(TODAY()),1),4))-YEAR(IF(ISNUMBER(Suppliers!F9),Suppliers!F9,DATE(YEAR(TODAY()),MONTH(TODAY()),1))))*12+MONTH(EDATE(DATE(YEAR(TODAY()),MONTH(TODAY()),1),4))-MONTH(IF(ISNUMBER(Suppliers!F9),Suppliers!F9,DATE(YEAR(TODAY()),MONTH(TODAY()),1))),3)=0,1,0),IF(Suppliers!E9="Semi-annual",IF(MOD((YEAR(EDATE(DATE(YEAR(TODAY()),MONTH(TODAY()),1),4))-YEAR(IF(ISNUMBER(Suppliers!F9),Suppliers!F9,DATE(YEAR(TODAY()),MONTH(TODAY()),1))))*12+MONTH(EDATE(DATE(YEAR(TODAY()),MONTH(TODAY()),1),4))-MONTH(IF(ISNUMBER(Suppliers!F9),Suppliers!F9,DATE(YEAR(TODAY()),MONTH(TODAY()),1))),6)=0,1,0),IF(Suppliers!E9="Annual",IF(MOD((YEAR(EDATE(DATE(YEAR(TODAY()),MONTH(TODAY()),1),4))-YEAR(IF(ISNUMBER(Suppliers!F9),Suppliers!F9,DATE(YEAR(TODAY()),MONTH(TODAY()),1))))*12+MONTH(EDATE(DATE(YEAR(TODAY()),MONTH(TODAY()),1),4))-MONTH(IF(ISNUMBER(Suppliers!F9),Suppliers!F9,DATE(YEAR(TODAY()),MONTH(TODAY()),1))),12)=0,1,0),IF(Suppliers!E9="One-time",IF(4=0,1,0),1)))))),"")</f>
        <v/>
      </c>
      <c r="K11" s="10" t="str">
        <f ca="1">IFERROR(IF(OR(5&gt;=$B$1,Suppliers!A9="",NOT(ISNUMBER(Suppliers!D9)),Suppliers!L9="Expired",Suppliers!L9="Terminate"),"",Suppliers!D9*-1*IF(Suppliers!E9="Monthly",IF(AND(ISNUMBER(Suppliers!G9),(YEAR(EDATE(DATE(YEAR(TODAY()),MONTH(TODAY()),1),5))*12+MONTH(EDATE(DATE(YEAR(TODAY()),MONTH(TODAY()),1),5)))&gt;(YEAR(Suppliers!G9)*12+MONTH(Suppliers!G9))),"",1),IF(Suppliers!E9="Quarterly",IF(MOD((YEAR(EDATE(DATE(YEAR(TODAY()),MONTH(TODAY()),1),5))-YEAR(IF(ISNUMBER(Suppliers!F9),Suppliers!F9,DATE(YEAR(TODAY()),MONTH(TODAY()),1))))*12+MONTH(EDATE(DATE(YEAR(TODAY()),MONTH(TODAY()),1),5))-MONTH(IF(ISNUMBER(Suppliers!F9),Suppliers!F9,DATE(YEAR(TODAY()),MONTH(TODAY()),1))),3)=0,1,0),IF(Suppliers!E9="Semi-annual",IF(MOD((YEAR(EDATE(DATE(YEAR(TODAY()),MONTH(TODAY()),1),5))-YEAR(IF(ISNUMBER(Suppliers!F9),Suppliers!F9,DATE(YEAR(TODAY()),MONTH(TODAY()),1))))*12+MONTH(EDATE(DATE(YEAR(TODAY()),MONTH(TODAY()),1),5))-MONTH(IF(ISNUMBER(Suppliers!F9),Suppliers!F9,DATE(YEAR(TODAY()),MONTH(TODAY()),1))),6)=0,1,0),IF(Suppliers!E9="Annual",IF(MOD((YEAR(EDATE(DATE(YEAR(TODAY()),MONTH(TODAY()),1),5))-YEAR(IF(ISNUMBER(Suppliers!F9),Suppliers!F9,DATE(YEAR(TODAY()),MONTH(TODAY()),1))))*12+MONTH(EDATE(DATE(YEAR(TODAY()),MONTH(TODAY()),1),5))-MONTH(IF(ISNUMBER(Suppliers!F9),Suppliers!F9,DATE(YEAR(TODAY()),MONTH(TODAY()),1))),12)=0,1,0),IF(Suppliers!E9="One-time",IF(5=0,1,0),1)))))),"")</f>
        <v/>
      </c>
      <c r="L11" s="10" t="str">
        <f ca="1">IFERROR(IF(OR(6&gt;=$B$1,Suppliers!A9="",NOT(ISNUMBER(Suppliers!D9)),Suppliers!L9="Expired",Suppliers!L9="Terminate"),"",Suppliers!D9*-1*IF(Suppliers!E9="Monthly",IF(AND(ISNUMBER(Suppliers!G9),(YEAR(EDATE(DATE(YEAR(TODAY()),MONTH(TODAY()),1),6))*12+MONTH(EDATE(DATE(YEAR(TODAY()),MONTH(TODAY()),1),6)))&gt;(YEAR(Suppliers!G9)*12+MONTH(Suppliers!G9))),"",1),IF(Suppliers!E9="Quarterly",IF(MOD((YEAR(EDATE(DATE(YEAR(TODAY()),MONTH(TODAY()),1),6))-YEAR(IF(ISNUMBER(Suppliers!F9),Suppliers!F9,DATE(YEAR(TODAY()),MONTH(TODAY()),1))))*12+MONTH(EDATE(DATE(YEAR(TODAY()),MONTH(TODAY()),1),6))-MONTH(IF(ISNUMBER(Suppliers!F9),Suppliers!F9,DATE(YEAR(TODAY()),MONTH(TODAY()),1))),3)=0,1,0),IF(Suppliers!E9="Semi-annual",IF(MOD((YEAR(EDATE(DATE(YEAR(TODAY()),MONTH(TODAY()),1),6))-YEAR(IF(ISNUMBER(Suppliers!F9),Suppliers!F9,DATE(YEAR(TODAY()),MONTH(TODAY()),1))))*12+MONTH(EDATE(DATE(YEAR(TODAY()),MONTH(TODAY()),1),6))-MONTH(IF(ISNUMBER(Suppliers!F9),Suppliers!F9,DATE(YEAR(TODAY()),MONTH(TODAY()),1))),6)=0,1,0),IF(Suppliers!E9="Annual",IF(MOD((YEAR(EDATE(DATE(YEAR(TODAY()),MONTH(TODAY()),1),6))-YEAR(IF(ISNUMBER(Suppliers!F9),Suppliers!F9,DATE(YEAR(TODAY()),MONTH(TODAY()),1))))*12+MONTH(EDATE(DATE(YEAR(TODAY()),MONTH(TODAY()),1),6))-MONTH(IF(ISNUMBER(Suppliers!F9),Suppliers!F9,DATE(YEAR(TODAY()),MONTH(TODAY()),1))),12)=0,1,0),IF(Suppliers!E9="One-time",IF(6=0,1,0),1)))))),"")</f>
        <v/>
      </c>
      <c r="M11" s="10" t="str">
        <f ca="1">IFERROR(IF(OR(7&gt;=$B$1,Suppliers!A9="",NOT(ISNUMBER(Suppliers!D9)),Suppliers!L9="Expired",Suppliers!L9="Terminate"),"",Suppliers!D9*-1*IF(Suppliers!E9="Monthly",IF(AND(ISNUMBER(Suppliers!G9),(YEAR(EDATE(DATE(YEAR(TODAY()),MONTH(TODAY()),1),7))*12+MONTH(EDATE(DATE(YEAR(TODAY()),MONTH(TODAY()),1),7)))&gt;(YEAR(Suppliers!G9)*12+MONTH(Suppliers!G9))),"",1),IF(Suppliers!E9="Quarterly",IF(MOD((YEAR(EDATE(DATE(YEAR(TODAY()),MONTH(TODAY()),1),7))-YEAR(IF(ISNUMBER(Suppliers!F9),Suppliers!F9,DATE(YEAR(TODAY()),MONTH(TODAY()),1))))*12+MONTH(EDATE(DATE(YEAR(TODAY()),MONTH(TODAY()),1),7))-MONTH(IF(ISNUMBER(Suppliers!F9),Suppliers!F9,DATE(YEAR(TODAY()),MONTH(TODAY()),1))),3)=0,1,0),IF(Suppliers!E9="Semi-annual",IF(MOD((YEAR(EDATE(DATE(YEAR(TODAY()),MONTH(TODAY()),1),7))-YEAR(IF(ISNUMBER(Suppliers!F9),Suppliers!F9,DATE(YEAR(TODAY()),MONTH(TODAY()),1))))*12+MONTH(EDATE(DATE(YEAR(TODAY()),MONTH(TODAY()),1),7))-MONTH(IF(ISNUMBER(Suppliers!F9),Suppliers!F9,DATE(YEAR(TODAY()),MONTH(TODAY()),1))),6)=0,1,0),IF(Suppliers!E9="Annual",IF(MOD((YEAR(EDATE(DATE(YEAR(TODAY()),MONTH(TODAY()),1),7))-YEAR(IF(ISNUMBER(Suppliers!F9),Suppliers!F9,DATE(YEAR(TODAY()),MONTH(TODAY()),1))))*12+MONTH(EDATE(DATE(YEAR(TODAY()),MONTH(TODAY()),1),7))-MONTH(IF(ISNUMBER(Suppliers!F9),Suppliers!F9,DATE(YEAR(TODAY()),MONTH(TODAY()),1))),12)=0,1,0),IF(Suppliers!E9="One-time",IF(7=0,1,0),1)))))),"")</f>
        <v/>
      </c>
      <c r="N11" s="10" t="str">
        <f ca="1">IFERROR(IF(OR(8&gt;=$B$1,Suppliers!A9="",NOT(ISNUMBER(Suppliers!D9)),Suppliers!L9="Expired",Suppliers!L9="Terminate"),"",Suppliers!D9*-1*IF(Suppliers!E9="Monthly",IF(AND(ISNUMBER(Suppliers!G9),(YEAR(EDATE(DATE(YEAR(TODAY()),MONTH(TODAY()),1),8))*12+MONTH(EDATE(DATE(YEAR(TODAY()),MONTH(TODAY()),1),8)))&gt;(YEAR(Suppliers!G9)*12+MONTH(Suppliers!G9))),"",1),IF(Suppliers!E9="Quarterly",IF(MOD((YEAR(EDATE(DATE(YEAR(TODAY()),MONTH(TODAY()),1),8))-YEAR(IF(ISNUMBER(Suppliers!F9),Suppliers!F9,DATE(YEAR(TODAY()),MONTH(TODAY()),1))))*12+MONTH(EDATE(DATE(YEAR(TODAY()),MONTH(TODAY()),1),8))-MONTH(IF(ISNUMBER(Suppliers!F9),Suppliers!F9,DATE(YEAR(TODAY()),MONTH(TODAY()),1))),3)=0,1,0),IF(Suppliers!E9="Semi-annual",IF(MOD((YEAR(EDATE(DATE(YEAR(TODAY()),MONTH(TODAY()),1),8))-YEAR(IF(ISNUMBER(Suppliers!F9),Suppliers!F9,DATE(YEAR(TODAY()),MONTH(TODAY()),1))))*12+MONTH(EDATE(DATE(YEAR(TODAY()),MONTH(TODAY()),1),8))-MONTH(IF(ISNUMBER(Suppliers!F9),Suppliers!F9,DATE(YEAR(TODAY()),MONTH(TODAY()),1))),6)=0,1,0),IF(Suppliers!E9="Annual",IF(MOD((YEAR(EDATE(DATE(YEAR(TODAY()),MONTH(TODAY()),1),8))-YEAR(IF(ISNUMBER(Suppliers!F9),Suppliers!F9,DATE(YEAR(TODAY()),MONTH(TODAY()),1))))*12+MONTH(EDATE(DATE(YEAR(TODAY()),MONTH(TODAY()),1),8))-MONTH(IF(ISNUMBER(Suppliers!F9),Suppliers!F9,DATE(YEAR(TODAY()),MONTH(TODAY()),1))),12)=0,1,0),IF(Suppliers!E9="One-time",IF(8=0,1,0),1)))))),"")</f>
        <v/>
      </c>
      <c r="O11" s="10" t="str">
        <f ca="1">IFERROR(IF(OR(9&gt;=$B$1,Suppliers!A9="",NOT(ISNUMBER(Suppliers!D9)),Suppliers!L9="Expired",Suppliers!L9="Terminate"),"",Suppliers!D9*-1*IF(Suppliers!E9="Monthly",IF(AND(ISNUMBER(Suppliers!G9),(YEAR(EDATE(DATE(YEAR(TODAY()),MONTH(TODAY()),1),9))*12+MONTH(EDATE(DATE(YEAR(TODAY()),MONTH(TODAY()),1),9)))&gt;(YEAR(Suppliers!G9)*12+MONTH(Suppliers!G9))),"",1),IF(Suppliers!E9="Quarterly",IF(MOD((YEAR(EDATE(DATE(YEAR(TODAY()),MONTH(TODAY()),1),9))-YEAR(IF(ISNUMBER(Suppliers!F9),Suppliers!F9,DATE(YEAR(TODAY()),MONTH(TODAY()),1))))*12+MONTH(EDATE(DATE(YEAR(TODAY()),MONTH(TODAY()),1),9))-MONTH(IF(ISNUMBER(Suppliers!F9),Suppliers!F9,DATE(YEAR(TODAY()),MONTH(TODAY()),1))),3)=0,1,0),IF(Suppliers!E9="Semi-annual",IF(MOD((YEAR(EDATE(DATE(YEAR(TODAY()),MONTH(TODAY()),1),9))-YEAR(IF(ISNUMBER(Suppliers!F9),Suppliers!F9,DATE(YEAR(TODAY()),MONTH(TODAY()),1))))*12+MONTH(EDATE(DATE(YEAR(TODAY()),MONTH(TODAY()),1),9))-MONTH(IF(ISNUMBER(Suppliers!F9),Suppliers!F9,DATE(YEAR(TODAY()),MONTH(TODAY()),1))),6)=0,1,0),IF(Suppliers!E9="Annual",IF(MOD((YEAR(EDATE(DATE(YEAR(TODAY()),MONTH(TODAY()),1),9))-YEAR(IF(ISNUMBER(Suppliers!F9),Suppliers!F9,DATE(YEAR(TODAY()),MONTH(TODAY()),1))))*12+MONTH(EDATE(DATE(YEAR(TODAY()),MONTH(TODAY()),1),9))-MONTH(IF(ISNUMBER(Suppliers!F9),Suppliers!F9,DATE(YEAR(TODAY()),MONTH(TODAY()),1))),12)=0,1,0),IF(Suppliers!E9="One-time",IF(9=0,1,0),1)))))),"")</f>
        <v/>
      </c>
      <c r="P11" s="10" t="str">
        <f ca="1">IFERROR(IF(OR(10&gt;=$B$1,Suppliers!A9="",NOT(ISNUMBER(Suppliers!D9)),Suppliers!L9="Expired",Suppliers!L9="Terminate"),"",Suppliers!D9*-1*IF(Suppliers!E9="Monthly",IF(AND(ISNUMBER(Suppliers!G9),(YEAR(EDATE(DATE(YEAR(TODAY()),MONTH(TODAY()),1),10))*12+MONTH(EDATE(DATE(YEAR(TODAY()),MONTH(TODAY()),1),10)))&gt;(YEAR(Suppliers!G9)*12+MONTH(Suppliers!G9))),"",1),IF(Suppliers!E9="Quarterly",IF(MOD((YEAR(EDATE(DATE(YEAR(TODAY()),MONTH(TODAY()),1),10))-YEAR(IF(ISNUMBER(Suppliers!F9),Suppliers!F9,DATE(YEAR(TODAY()),MONTH(TODAY()),1))))*12+MONTH(EDATE(DATE(YEAR(TODAY()),MONTH(TODAY()),1),10))-MONTH(IF(ISNUMBER(Suppliers!F9),Suppliers!F9,DATE(YEAR(TODAY()),MONTH(TODAY()),1))),3)=0,1,0),IF(Suppliers!E9="Semi-annual",IF(MOD((YEAR(EDATE(DATE(YEAR(TODAY()),MONTH(TODAY()),1),10))-YEAR(IF(ISNUMBER(Suppliers!F9),Suppliers!F9,DATE(YEAR(TODAY()),MONTH(TODAY()),1))))*12+MONTH(EDATE(DATE(YEAR(TODAY()),MONTH(TODAY()),1),10))-MONTH(IF(ISNUMBER(Suppliers!F9),Suppliers!F9,DATE(YEAR(TODAY()),MONTH(TODAY()),1))),6)=0,1,0),IF(Suppliers!E9="Annual",IF(MOD((YEAR(EDATE(DATE(YEAR(TODAY()),MONTH(TODAY()),1),10))-YEAR(IF(ISNUMBER(Suppliers!F9),Suppliers!F9,DATE(YEAR(TODAY()),MONTH(TODAY()),1))))*12+MONTH(EDATE(DATE(YEAR(TODAY()),MONTH(TODAY()),1),10))-MONTH(IF(ISNUMBER(Suppliers!F9),Suppliers!F9,DATE(YEAR(TODAY()),MONTH(TODAY()),1))),12)=0,1,0),IF(Suppliers!E9="One-time",IF(10=0,1,0),1)))))),"")</f>
        <v/>
      </c>
      <c r="Q11" s="10" t="str">
        <f ca="1">IFERROR(IF(OR(11&gt;=$B$1,Suppliers!A9="",NOT(ISNUMBER(Suppliers!D9)),Suppliers!L9="Expired",Suppliers!L9="Terminate"),"",Suppliers!D9*-1*IF(Suppliers!E9="Monthly",IF(AND(ISNUMBER(Suppliers!G9),(YEAR(EDATE(DATE(YEAR(TODAY()),MONTH(TODAY()),1),11))*12+MONTH(EDATE(DATE(YEAR(TODAY()),MONTH(TODAY()),1),11)))&gt;(YEAR(Suppliers!G9)*12+MONTH(Suppliers!G9))),"",1),IF(Suppliers!E9="Quarterly",IF(MOD((YEAR(EDATE(DATE(YEAR(TODAY()),MONTH(TODAY()),1),11))-YEAR(IF(ISNUMBER(Suppliers!F9),Suppliers!F9,DATE(YEAR(TODAY()),MONTH(TODAY()),1))))*12+MONTH(EDATE(DATE(YEAR(TODAY()),MONTH(TODAY()),1),11))-MONTH(IF(ISNUMBER(Suppliers!F9),Suppliers!F9,DATE(YEAR(TODAY()),MONTH(TODAY()),1))),3)=0,1,0),IF(Suppliers!E9="Semi-annual",IF(MOD((YEAR(EDATE(DATE(YEAR(TODAY()),MONTH(TODAY()),1),11))-YEAR(IF(ISNUMBER(Suppliers!F9),Suppliers!F9,DATE(YEAR(TODAY()),MONTH(TODAY()),1))))*12+MONTH(EDATE(DATE(YEAR(TODAY()),MONTH(TODAY()),1),11))-MONTH(IF(ISNUMBER(Suppliers!F9),Suppliers!F9,DATE(YEAR(TODAY()),MONTH(TODAY()),1))),6)=0,1,0),IF(Suppliers!E9="Annual",IF(MOD((YEAR(EDATE(DATE(YEAR(TODAY()),MONTH(TODAY()),1),11))-YEAR(IF(ISNUMBER(Suppliers!F9),Suppliers!F9,DATE(YEAR(TODAY()),MONTH(TODAY()),1))))*12+MONTH(EDATE(DATE(YEAR(TODAY()),MONTH(TODAY()),1),11))-MONTH(IF(ISNUMBER(Suppliers!F9),Suppliers!F9,DATE(YEAR(TODAY()),MONTH(TODAY()),1))),12)=0,1,0),IF(Suppliers!E9="One-time",IF(11=0,1,0),1)))))),"")</f>
        <v/>
      </c>
      <c r="R11" s="10" t="str">
        <f ca="1">IFERROR(IF(OR(12&gt;=$B$1,Suppliers!A9="",NOT(ISNUMBER(Suppliers!D9)),Suppliers!L9="Expired",Suppliers!L9="Terminate"),"",Suppliers!D9*-1*IF(Suppliers!E9="Monthly",IF(AND(ISNUMBER(Suppliers!G9),(YEAR(EDATE(DATE(YEAR(TODAY()),MONTH(TODAY()),1),12))*12+MONTH(EDATE(DATE(YEAR(TODAY()),MONTH(TODAY()),1),12)))&gt;(YEAR(Suppliers!G9)*12+MONTH(Suppliers!G9))),"",1),IF(Suppliers!E9="Quarterly",IF(MOD((YEAR(EDATE(DATE(YEAR(TODAY()),MONTH(TODAY()),1),12))-YEAR(IF(ISNUMBER(Suppliers!F9),Suppliers!F9,DATE(YEAR(TODAY()),MONTH(TODAY()),1))))*12+MONTH(EDATE(DATE(YEAR(TODAY()),MONTH(TODAY()),1),12))-MONTH(IF(ISNUMBER(Suppliers!F9),Suppliers!F9,DATE(YEAR(TODAY()),MONTH(TODAY()),1))),3)=0,1,0),IF(Suppliers!E9="Semi-annual",IF(MOD((YEAR(EDATE(DATE(YEAR(TODAY()),MONTH(TODAY()),1),12))-YEAR(IF(ISNUMBER(Suppliers!F9),Suppliers!F9,DATE(YEAR(TODAY()),MONTH(TODAY()),1))))*12+MONTH(EDATE(DATE(YEAR(TODAY()),MONTH(TODAY()),1),12))-MONTH(IF(ISNUMBER(Suppliers!F9),Suppliers!F9,DATE(YEAR(TODAY()),MONTH(TODAY()),1))),6)=0,1,0),IF(Suppliers!E9="Annual",IF(MOD((YEAR(EDATE(DATE(YEAR(TODAY()),MONTH(TODAY()),1),12))-YEAR(IF(ISNUMBER(Suppliers!F9),Suppliers!F9,DATE(YEAR(TODAY()),MONTH(TODAY()),1))))*12+MONTH(EDATE(DATE(YEAR(TODAY()),MONTH(TODAY()),1),12))-MONTH(IF(ISNUMBER(Suppliers!F9),Suppliers!F9,DATE(YEAR(TODAY()),MONTH(TODAY()),1))),12)=0,1,0),IF(Suppliers!E9="One-time",IF(12=0,1,0),1)))))),"")</f>
        <v/>
      </c>
      <c r="S11" s="10" t="str">
        <f ca="1">IFERROR(IF(OR(13&gt;=$B$1,Suppliers!A9="",NOT(ISNUMBER(Suppliers!D9)),Suppliers!L9="Expired",Suppliers!L9="Terminate"),"",Suppliers!D9*-1*IF(Suppliers!E9="Monthly",IF(AND(ISNUMBER(Suppliers!G9),(YEAR(EDATE(DATE(YEAR(TODAY()),MONTH(TODAY()),1),13))*12+MONTH(EDATE(DATE(YEAR(TODAY()),MONTH(TODAY()),1),13)))&gt;(YEAR(Suppliers!G9)*12+MONTH(Suppliers!G9))),"",1),IF(Suppliers!E9="Quarterly",IF(MOD((YEAR(EDATE(DATE(YEAR(TODAY()),MONTH(TODAY()),1),13))-YEAR(IF(ISNUMBER(Suppliers!F9),Suppliers!F9,DATE(YEAR(TODAY()),MONTH(TODAY()),1))))*12+MONTH(EDATE(DATE(YEAR(TODAY()),MONTH(TODAY()),1),13))-MONTH(IF(ISNUMBER(Suppliers!F9),Suppliers!F9,DATE(YEAR(TODAY()),MONTH(TODAY()),1))),3)=0,1,0),IF(Suppliers!E9="Semi-annual",IF(MOD((YEAR(EDATE(DATE(YEAR(TODAY()),MONTH(TODAY()),1),13))-YEAR(IF(ISNUMBER(Suppliers!F9),Suppliers!F9,DATE(YEAR(TODAY()),MONTH(TODAY()),1))))*12+MONTH(EDATE(DATE(YEAR(TODAY()),MONTH(TODAY()),1),13))-MONTH(IF(ISNUMBER(Suppliers!F9),Suppliers!F9,DATE(YEAR(TODAY()),MONTH(TODAY()),1))),6)=0,1,0),IF(Suppliers!E9="Annual",IF(MOD((YEAR(EDATE(DATE(YEAR(TODAY()),MONTH(TODAY()),1),13))-YEAR(IF(ISNUMBER(Suppliers!F9),Suppliers!F9,DATE(YEAR(TODAY()),MONTH(TODAY()),1))))*12+MONTH(EDATE(DATE(YEAR(TODAY()),MONTH(TODAY()),1),13))-MONTH(IF(ISNUMBER(Suppliers!F9),Suppliers!F9,DATE(YEAR(TODAY()),MONTH(TODAY()),1))),12)=0,1,0),IF(Suppliers!E9="One-time",IF(13=0,1,0),1)))))),"")</f>
        <v/>
      </c>
      <c r="T11" s="10" t="str">
        <f ca="1">IFERROR(IF(OR(14&gt;=$B$1,Suppliers!A9="",NOT(ISNUMBER(Suppliers!D9)),Suppliers!L9="Expired",Suppliers!L9="Terminate"),"",Suppliers!D9*-1*IF(Suppliers!E9="Monthly",IF(AND(ISNUMBER(Suppliers!G9),(YEAR(EDATE(DATE(YEAR(TODAY()),MONTH(TODAY()),1),14))*12+MONTH(EDATE(DATE(YEAR(TODAY()),MONTH(TODAY()),1),14)))&gt;(YEAR(Suppliers!G9)*12+MONTH(Suppliers!G9))),"",1),IF(Suppliers!E9="Quarterly",IF(MOD((YEAR(EDATE(DATE(YEAR(TODAY()),MONTH(TODAY()),1),14))-YEAR(IF(ISNUMBER(Suppliers!F9),Suppliers!F9,DATE(YEAR(TODAY()),MONTH(TODAY()),1))))*12+MONTH(EDATE(DATE(YEAR(TODAY()),MONTH(TODAY()),1),14))-MONTH(IF(ISNUMBER(Suppliers!F9),Suppliers!F9,DATE(YEAR(TODAY()),MONTH(TODAY()),1))),3)=0,1,0),IF(Suppliers!E9="Semi-annual",IF(MOD((YEAR(EDATE(DATE(YEAR(TODAY()),MONTH(TODAY()),1),14))-YEAR(IF(ISNUMBER(Suppliers!F9),Suppliers!F9,DATE(YEAR(TODAY()),MONTH(TODAY()),1))))*12+MONTH(EDATE(DATE(YEAR(TODAY()),MONTH(TODAY()),1),14))-MONTH(IF(ISNUMBER(Suppliers!F9),Suppliers!F9,DATE(YEAR(TODAY()),MONTH(TODAY()),1))),6)=0,1,0),IF(Suppliers!E9="Annual",IF(MOD((YEAR(EDATE(DATE(YEAR(TODAY()),MONTH(TODAY()),1),14))-YEAR(IF(ISNUMBER(Suppliers!F9),Suppliers!F9,DATE(YEAR(TODAY()),MONTH(TODAY()),1))))*12+MONTH(EDATE(DATE(YEAR(TODAY()),MONTH(TODAY()),1),14))-MONTH(IF(ISNUMBER(Suppliers!F9),Suppliers!F9,DATE(YEAR(TODAY()),MONTH(TODAY()),1))),12)=0,1,0),IF(Suppliers!E9="One-time",IF(14=0,1,0),1)))))),"")</f>
        <v/>
      </c>
      <c r="U11" s="10" t="str">
        <f ca="1">IFERROR(IF(OR(15&gt;=$B$1,Suppliers!A9="",NOT(ISNUMBER(Suppliers!D9)),Suppliers!L9="Expired",Suppliers!L9="Terminate"),"",Suppliers!D9*-1*IF(Suppliers!E9="Monthly",IF(AND(ISNUMBER(Suppliers!G9),(YEAR(EDATE(DATE(YEAR(TODAY()),MONTH(TODAY()),1),15))*12+MONTH(EDATE(DATE(YEAR(TODAY()),MONTH(TODAY()),1),15)))&gt;(YEAR(Suppliers!G9)*12+MONTH(Suppliers!G9))),"",1),IF(Suppliers!E9="Quarterly",IF(MOD((YEAR(EDATE(DATE(YEAR(TODAY()),MONTH(TODAY()),1),15))-YEAR(IF(ISNUMBER(Suppliers!F9),Suppliers!F9,DATE(YEAR(TODAY()),MONTH(TODAY()),1))))*12+MONTH(EDATE(DATE(YEAR(TODAY()),MONTH(TODAY()),1),15))-MONTH(IF(ISNUMBER(Suppliers!F9),Suppliers!F9,DATE(YEAR(TODAY()),MONTH(TODAY()),1))),3)=0,1,0),IF(Suppliers!E9="Semi-annual",IF(MOD((YEAR(EDATE(DATE(YEAR(TODAY()),MONTH(TODAY()),1),15))-YEAR(IF(ISNUMBER(Suppliers!F9),Suppliers!F9,DATE(YEAR(TODAY()),MONTH(TODAY()),1))))*12+MONTH(EDATE(DATE(YEAR(TODAY()),MONTH(TODAY()),1),15))-MONTH(IF(ISNUMBER(Suppliers!F9),Suppliers!F9,DATE(YEAR(TODAY()),MONTH(TODAY()),1))),6)=0,1,0),IF(Suppliers!E9="Annual",IF(MOD((YEAR(EDATE(DATE(YEAR(TODAY()),MONTH(TODAY()),1),15))-YEAR(IF(ISNUMBER(Suppliers!F9),Suppliers!F9,DATE(YEAR(TODAY()),MONTH(TODAY()),1))))*12+MONTH(EDATE(DATE(YEAR(TODAY()),MONTH(TODAY()),1),15))-MONTH(IF(ISNUMBER(Suppliers!F9),Suppliers!F9,DATE(YEAR(TODAY()),MONTH(TODAY()),1))),12)=0,1,0),IF(Suppliers!E9="One-time",IF(15=0,1,0),1)))))),"")</f>
        <v/>
      </c>
      <c r="V11" s="10" t="str">
        <f ca="1">IFERROR(IF(OR(16&gt;=$B$1,Suppliers!A9="",NOT(ISNUMBER(Suppliers!D9)),Suppliers!L9="Expired",Suppliers!L9="Terminate"),"",Suppliers!D9*-1*IF(Suppliers!E9="Monthly",IF(AND(ISNUMBER(Suppliers!G9),(YEAR(EDATE(DATE(YEAR(TODAY()),MONTH(TODAY()),1),16))*12+MONTH(EDATE(DATE(YEAR(TODAY()),MONTH(TODAY()),1),16)))&gt;(YEAR(Suppliers!G9)*12+MONTH(Suppliers!G9))),"",1),IF(Suppliers!E9="Quarterly",IF(MOD((YEAR(EDATE(DATE(YEAR(TODAY()),MONTH(TODAY()),1),16))-YEAR(IF(ISNUMBER(Suppliers!F9),Suppliers!F9,DATE(YEAR(TODAY()),MONTH(TODAY()),1))))*12+MONTH(EDATE(DATE(YEAR(TODAY()),MONTH(TODAY()),1),16))-MONTH(IF(ISNUMBER(Suppliers!F9),Suppliers!F9,DATE(YEAR(TODAY()),MONTH(TODAY()),1))),3)=0,1,0),IF(Suppliers!E9="Semi-annual",IF(MOD((YEAR(EDATE(DATE(YEAR(TODAY()),MONTH(TODAY()),1),16))-YEAR(IF(ISNUMBER(Suppliers!F9),Suppliers!F9,DATE(YEAR(TODAY()),MONTH(TODAY()),1))))*12+MONTH(EDATE(DATE(YEAR(TODAY()),MONTH(TODAY()),1),16))-MONTH(IF(ISNUMBER(Suppliers!F9),Suppliers!F9,DATE(YEAR(TODAY()),MONTH(TODAY()),1))),6)=0,1,0),IF(Suppliers!E9="Annual",IF(MOD((YEAR(EDATE(DATE(YEAR(TODAY()),MONTH(TODAY()),1),16))-YEAR(IF(ISNUMBER(Suppliers!F9),Suppliers!F9,DATE(YEAR(TODAY()),MONTH(TODAY()),1))))*12+MONTH(EDATE(DATE(YEAR(TODAY()),MONTH(TODAY()),1),16))-MONTH(IF(ISNUMBER(Suppliers!F9),Suppliers!F9,DATE(YEAR(TODAY()),MONTH(TODAY()),1))),12)=0,1,0),IF(Suppliers!E9="One-time",IF(16=0,1,0),1)))))),"")</f>
        <v/>
      </c>
      <c r="W11" s="10" t="str">
        <f ca="1">IFERROR(IF(OR(17&gt;=$B$1,Suppliers!A9="",NOT(ISNUMBER(Suppliers!D9)),Suppliers!L9="Expired",Suppliers!L9="Terminate"),"",Suppliers!D9*-1*IF(Suppliers!E9="Monthly",IF(AND(ISNUMBER(Suppliers!G9),(YEAR(EDATE(DATE(YEAR(TODAY()),MONTH(TODAY()),1),17))*12+MONTH(EDATE(DATE(YEAR(TODAY()),MONTH(TODAY()),1),17)))&gt;(YEAR(Suppliers!G9)*12+MONTH(Suppliers!G9))),"",1),IF(Suppliers!E9="Quarterly",IF(MOD((YEAR(EDATE(DATE(YEAR(TODAY()),MONTH(TODAY()),1),17))-YEAR(IF(ISNUMBER(Suppliers!F9),Suppliers!F9,DATE(YEAR(TODAY()),MONTH(TODAY()),1))))*12+MONTH(EDATE(DATE(YEAR(TODAY()),MONTH(TODAY()),1),17))-MONTH(IF(ISNUMBER(Suppliers!F9),Suppliers!F9,DATE(YEAR(TODAY()),MONTH(TODAY()),1))),3)=0,1,0),IF(Suppliers!E9="Semi-annual",IF(MOD((YEAR(EDATE(DATE(YEAR(TODAY()),MONTH(TODAY()),1),17))-YEAR(IF(ISNUMBER(Suppliers!F9),Suppliers!F9,DATE(YEAR(TODAY()),MONTH(TODAY()),1))))*12+MONTH(EDATE(DATE(YEAR(TODAY()),MONTH(TODAY()),1),17))-MONTH(IF(ISNUMBER(Suppliers!F9),Suppliers!F9,DATE(YEAR(TODAY()),MONTH(TODAY()),1))),6)=0,1,0),IF(Suppliers!E9="Annual",IF(MOD((YEAR(EDATE(DATE(YEAR(TODAY()),MONTH(TODAY()),1),17))-YEAR(IF(ISNUMBER(Suppliers!F9),Suppliers!F9,DATE(YEAR(TODAY()),MONTH(TODAY()),1))))*12+MONTH(EDATE(DATE(YEAR(TODAY()),MONTH(TODAY()),1),17))-MONTH(IF(ISNUMBER(Suppliers!F9),Suppliers!F9,DATE(YEAR(TODAY()),MONTH(TODAY()),1))),12)=0,1,0),IF(Suppliers!E9="One-time",IF(17=0,1,0),1)))))),"")</f>
        <v/>
      </c>
      <c r="X11" s="10" t="str">
        <f ca="1">IFERROR(IF(OR(18&gt;=$B$1,Suppliers!A9="",NOT(ISNUMBER(Suppliers!D9)),Suppliers!L9="Expired",Suppliers!L9="Terminate"),"",Suppliers!D9*-1*IF(Suppliers!E9="Monthly",IF(AND(ISNUMBER(Suppliers!G9),(YEAR(EDATE(DATE(YEAR(TODAY()),MONTH(TODAY()),1),18))*12+MONTH(EDATE(DATE(YEAR(TODAY()),MONTH(TODAY()),1),18)))&gt;(YEAR(Suppliers!G9)*12+MONTH(Suppliers!G9))),"",1),IF(Suppliers!E9="Quarterly",IF(MOD((YEAR(EDATE(DATE(YEAR(TODAY()),MONTH(TODAY()),1),18))-YEAR(IF(ISNUMBER(Suppliers!F9),Suppliers!F9,DATE(YEAR(TODAY()),MONTH(TODAY()),1))))*12+MONTH(EDATE(DATE(YEAR(TODAY()),MONTH(TODAY()),1),18))-MONTH(IF(ISNUMBER(Suppliers!F9),Suppliers!F9,DATE(YEAR(TODAY()),MONTH(TODAY()),1))),3)=0,1,0),IF(Suppliers!E9="Semi-annual",IF(MOD((YEAR(EDATE(DATE(YEAR(TODAY()),MONTH(TODAY()),1),18))-YEAR(IF(ISNUMBER(Suppliers!F9),Suppliers!F9,DATE(YEAR(TODAY()),MONTH(TODAY()),1))))*12+MONTH(EDATE(DATE(YEAR(TODAY()),MONTH(TODAY()),1),18))-MONTH(IF(ISNUMBER(Suppliers!F9),Suppliers!F9,DATE(YEAR(TODAY()),MONTH(TODAY()),1))),6)=0,1,0),IF(Suppliers!E9="Annual",IF(MOD((YEAR(EDATE(DATE(YEAR(TODAY()),MONTH(TODAY()),1),18))-YEAR(IF(ISNUMBER(Suppliers!F9),Suppliers!F9,DATE(YEAR(TODAY()),MONTH(TODAY()),1))))*12+MONTH(EDATE(DATE(YEAR(TODAY()),MONTH(TODAY()),1),18))-MONTH(IF(ISNUMBER(Suppliers!F9),Suppliers!F9,DATE(YEAR(TODAY()),MONTH(TODAY()),1))),12)=0,1,0),IF(Suppliers!E9="One-time",IF(18=0,1,0),1)))))),"")</f>
        <v/>
      </c>
      <c r="Y11" s="10" t="str">
        <f ca="1">IFERROR(IF(OR(19&gt;=$B$1,Suppliers!A9="",NOT(ISNUMBER(Suppliers!D9)),Suppliers!L9="Expired",Suppliers!L9="Terminate"),"",Suppliers!D9*-1*IF(Suppliers!E9="Monthly",IF(AND(ISNUMBER(Suppliers!G9),(YEAR(EDATE(DATE(YEAR(TODAY()),MONTH(TODAY()),1),19))*12+MONTH(EDATE(DATE(YEAR(TODAY()),MONTH(TODAY()),1),19)))&gt;(YEAR(Suppliers!G9)*12+MONTH(Suppliers!G9))),"",1),IF(Suppliers!E9="Quarterly",IF(MOD((YEAR(EDATE(DATE(YEAR(TODAY()),MONTH(TODAY()),1),19))-YEAR(IF(ISNUMBER(Suppliers!F9),Suppliers!F9,DATE(YEAR(TODAY()),MONTH(TODAY()),1))))*12+MONTH(EDATE(DATE(YEAR(TODAY()),MONTH(TODAY()),1),19))-MONTH(IF(ISNUMBER(Suppliers!F9),Suppliers!F9,DATE(YEAR(TODAY()),MONTH(TODAY()),1))),3)=0,1,0),IF(Suppliers!E9="Semi-annual",IF(MOD((YEAR(EDATE(DATE(YEAR(TODAY()),MONTH(TODAY()),1),19))-YEAR(IF(ISNUMBER(Suppliers!F9),Suppliers!F9,DATE(YEAR(TODAY()),MONTH(TODAY()),1))))*12+MONTH(EDATE(DATE(YEAR(TODAY()),MONTH(TODAY()),1),19))-MONTH(IF(ISNUMBER(Suppliers!F9),Suppliers!F9,DATE(YEAR(TODAY()),MONTH(TODAY()),1))),6)=0,1,0),IF(Suppliers!E9="Annual",IF(MOD((YEAR(EDATE(DATE(YEAR(TODAY()),MONTH(TODAY()),1),19))-YEAR(IF(ISNUMBER(Suppliers!F9),Suppliers!F9,DATE(YEAR(TODAY()),MONTH(TODAY()),1))))*12+MONTH(EDATE(DATE(YEAR(TODAY()),MONTH(TODAY()),1),19))-MONTH(IF(ISNUMBER(Suppliers!F9),Suppliers!F9,DATE(YEAR(TODAY()),MONTH(TODAY()),1))),12)=0,1,0),IF(Suppliers!E9="One-time",IF(19=0,1,0),1)))))),"")</f>
        <v/>
      </c>
      <c r="Z11" s="10" t="str">
        <f ca="1">IFERROR(IF(OR(20&gt;=$B$1,Suppliers!A9="",NOT(ISNUMBER(Suppliers!D9)),Suppliers!L9="Expired",Suppliers!L9="Terminate"),"",Suppliers!D9*-1*IF(Suppliers!E9="Monthly",IF(AND(ISNUMBER(Suppliers!G9),(YEAR(EDATE(DATE(YEAR(TODAY()),MONTH(TODAY()),1),20))*12+MONTH(EDATE(DATE(YEAR(TODAY()),MONTH(TODAY()),1),20)))&gt;(YEAR(Suppliers!G9)*12+MONTH(Suppliers!G9))),"",1),IF(Suppliers!E9="Quarterly",IF(MOD((YEAR(EDATE(DATE(YEAR(TODAY()),MONTH(TODAY()),1),20))-YEAR(IF(ISNUMBER(Suppliers!F9),Suppliers!F9,DATE(YEAR(TODAY()),MONTH(TODAY()),1))))*12+MONTH(EDATE(DATE(YEAR(TODAY()),MONTH(TODAY()),1),20))-MONTH(IF(ISNUMBER(Suppliers!F9),Suppliers!F9,DATE(YEAR(TODAY()),MONTH(TODAY()),1))),3)=0,1,0),IF(Suppliers!E9="Semi-annual",IF(MOD((YEAR(EDATE(DATE(YEAR(TODAY()),MONTH(TODAY()),1),20))-YEAR(IF(ISNUMBER(Suppliers!F9),Suppliers!F9,DATE(YEAR(TODAY()),MONTH(TODAY()),1))))*12+MONTH(EDATE(DATE(YEAR(TODAY()),MONTH(TODAY()),1),20))-MONTH(IF(ISNUMBER(Suppliers!F9),Suppliers!F9,DATE(YEAR(TODAY()),MONTH(TODAY()),1))),6)=0,1,0),IF(Suppliers!E9="Annual",IF(MOD((YEAR(EDATE(DATE(YEAR(TODAY()),MONTH(TODAY()),1),20))-YEAR(IF(ISNUMBER(Suppliers!F9),Suppliers!F9,DATE(YEAR(TODAY()),MONTH(TODAY()),1))))*12+MONTH(EDATE(DATE(YEAR(TODAY()),MONTH(TODAY()),1),20))-MONTH(IF(ISNUMBER(Suppliers!F9),Suppliers!F9,DATE(YEAR(TODAY()),MONTH(TODAY()),1))),12)=0,1,0),IF(Suppliers!E9="One-time",IF(20=0,1,0),1)))))),"")</f>
        <v/>
      </c>
      <c r="AA11" s="10" t="str">
        <f ca="1">IFERROR(IF(OR(21&gt;=$B$1,Suppliers!A9="",NOT(ISNUMBER(Suppliers!D9)),Suppliers!L9="Expired",Suppliers!L9="Terminate"),"",Suppliers!D9*-1*IF(Suppliers!E9="Monthly",IF(AND(ISNUMBER(Suppliers!G9),(YEAR(EDATE(DATE(YEAR(TODAY()),MONTH(TODAY()),1),21))*12+MONTH(EDATE(DATE(YEAR(TODAY()),MONTH(TODAY()),1),21)))&gt;(YEAR(Suppliers!G9)*12+MONTH(Suppliers!G9))),"",1),IF(Suppliers!E9="Quarterly",IF(MOD((YEAR(EDATE(DATE(YEAR(TODAY()),MONTH(TODAY()),1),21))-YEAR(IF(ISNUMBER(Suppliers!F9),Suppliers!F9,DATE(YEAR(TODAY()),MONTH(TODAY()),1))))*12+MONTH(EDATE(DATE(YEAR(TODAY()),MONTH(TODAY()),1),21))-MONTH(IF(ISNUMBER(Suppliers!F9),Suppliers!F9,DATE(YEAR(TODAY()),MONTH(TODAY()),1))),3)=0,1,0),IF(Suppliers!E9="Semi-annual",IF(MOD((YEAR(EDATE(DATE(YEAR(TODAY()),MONTH(TODAY()),1),21))-YEAR(IF(ISNUMBER(Suppliers!F9),Suppliers!F9,DATE(YEAR(TODAY()),MONTH(TODAY()),1))))*12+MONTH(EDATE(DATE(YEAR(TODAY()),MONTH(TODAY()),1),21))-MONTH(IF(ISNUMBER(Suppliers!F9),Suppliers!F9,DATE(YEAR(TODAY()),MONTH(TODAY()),1))),6)=0,1,0),IF(Suppliers!E9="Annual",IF(MOD((YEAR(EDATE(DATE(YEAR(TODAY()),MONTH(TODAY()),1),21))-YEAR(IF(ISNUMBER(Suppliers!F9),Suppliers!F9,DATE(YEAR(TODAY()),MONTH(TODAY()),1))))*12+MONTH(EDATE(DATE(YEAR(TODAY()),MONTH(TODAY()),1),21))-MONTH(IF(ISNUMBER(Suppliers!F9),Suppliers!F9,DATE(YEAR(TODAY()),MONTH(TODAY()),1))),12)=0,1,0),IF(Suppliers!E9="One-time",IF(21=0,1,0),1)))))),"")</f>
        <v/>
      </c>
      <c r="AB11" s="10" t="str">
        <f ca="1">IFERROR(IF(OR(22&gt;=$B$1,Suppliers!A9="",NOT(ISNUMBER(Suppliers!D9)),Suppliers!L9="Expired",Suppliers!L9="Terminate"),"",Suppliers!D9*-1*IF(Suppliers!E9="Monthly",IF(AND(ISNUMBER(Suppliers!G9),(YEAR(EDATE(DATE(YEAR(TODAY()),MONTH(TODAY()),1),22))*12+MONTH(EDATE(DATE(YEAR(TODAY()),MONTH(TODAY()),1),22)))&gt;(YEAR(Suppliers!G9)*12+MONTH(Suppliers!G9))),"",1),IF(Suppliers!E9="Quarterly",IF(MOD((YEAR(EDATE(DATE(YEAR(TODAY()),MONTH(TODAY()),1),22))-YEAR(IF(ISNUMBER(Suppliers!F9),Suppliers!F9,DATE(YEAR(TODAY()),MONTH(TODAY()),1))))*12+MONTH(EDATE(DATE(YEAR(TODAY()),MONTH(TODAY()),1),22))-MONTH(IF(ISNUMBER(Suppliers!F9),Suppliers!F9,DATE(YEAR(TODAY()),MONTH(TODAY()),1))),3)=0,1,0),IF(Suppliers!E9="Semi-annual",IF(MOD((YEAR(EDATE(DATE(YEAR(TODAY()),MONTH(TODAY()),1),22))-YEAR(IF(ISNUMBER(Suppliers!F9),Suppliers!F9,DATE(YEAR(TODAY()),MONTH(TODAY()),1))))*12+MONTH(EDATE(DATE(YEAR(TODAY()),MONTH(TODAY()),1),22))-MONTH(IF(ISNUMBER(Suppliers!F9),Suppliers!F9,DATE(YEAR(TODAY()),MONTH(TODAY()),1))),6)=0,1,0),IF(Suppliers!E9="Annual",IF(MOD((YEAR(EDATE(DATE(YEAR(TODAY()),MONTH(TODAY()),1),22))-YEAR(IF(ISNUMBER(Suppliers!F9),Suppliers!F9,DATE(YEAR(TODAY()),MONTH(TODAY()),1))))*12+MONTH(EDATE(DATE(YEAR(TODAY()),MONTH(TODAY()),1),22))-MONTH(IF(ISNUMBER(Suppliers!F9),Suppliers!F9,DATE(YEAR(TODAY()),MONTH(TODAY()),1))),12)=0,1,0),IF(Suppliers!E9="One-time",IF(22=0,1,0),1)))))),"")</f>
        <v/>
      </c>
      <c r="AC11" s="10" t="str">
        <f ca="1">IFERROR(IF(OR(23&gt;=$B$1,Suppliers!A9="",NOT(ISNUMBER(Suppliers!D9)),Suppliers!L9="Expired",Suppliers!L9="Terminate"),"",Suppliers!D9*-1*IF(Suppliers!E9="Monthly",IF(AND(ISNUMBER(Suppliers!G9),(YEAR(EDATE(DATE(YEAR(TODAY()),MONTH(TODAY()),1),23))*12+MONTH(EDATE(DATE(YEAR(TODAY()),MONTH(TODAY()),1),23)))&gt;(YEAR(Suppliers!G9)*12+MONTH(Suppliers!G9))),"",1),IF(Suppliers!E9="Quarterly",IF(MOD((YEAR(EDATE(DATE(YEAR(TODAY()),MONTH(TODAY()),1),23))-YEAR(IF(ISNUMBER(Suppliers!F9),Suppliers!F9,DATE(YEAR(TODAY()),MONTH(TODAY()),1))))*12+MONTH(EDATE(DATE(YEAR(TODAY()),MONTH(TODAY()),1),23))-MONTH(IF(ISNUMBER(Suppliers!F9),Suppliers!F9,DATE(YEAR(TODAY()),MONTH(TODAY()),1))),3)=0,1,0),IF(Suppliers!E9="Semi-annual",IF(MOD((YEAR(EDATE(DATE(YEAR(TODAY()),MONTH(TODAY()),1),23))-YEAR(IF(ISNUMBER(Suppliers!F9),Suppliers!F9,DATE(YEAR(TODAY()),MONTH(TODAY()),1))))*12+MONTH(EDATE(DATE(YEAR(TODAY()),MONTH(TODAY()),1),23))-MONTH(IF(ISNUMBER(Suppliers!F9),Suppliers!F9,DATE(YEAR(TODAY()),MONTH(TODAY()),1))),6)=0,1,0),IF(Suppliers!E9="Annual",IF(MOD((YEAR(EDATE(DATE(YEAR(TODAY()),MONTH(TODAY()),1),23))-YEAR(IF(ISNUMBER(Suppliers!F9),Suppliers!F9,DATE(YEAR(TODAY()),MONTH(TODAY()),1))))*12+MONTH(EDATE(DATE(YEAR(TODAY()),MONTH(TODAY()),1),23))-MONTH(IF(ISNUMBER(Suppliers!F9),Suppliers!F9,DATE(YEAR(TODAY()),MONTH(TODAY()),1))),12)=0,1,0),IF(Suppliers!E9="One-time",IF(23=0,1,0),1)))))),"")</f>
        <v/>
      </c>
    </row>
    <row r="12" spans="1:29" ht="15" customHeight="1" x14ac:dyDescent="0.35">
      <c r="A12" s="4" t="s">
        <v>80</v>
      </c>
      <c r="B12" s="4" t="str">
        <f>IF(Suppliers!A10="","",Suppliers!A10)</f>
        <v>Iota Insurance Group</v>
      </c>
      <c r="C12" s="10">
        <f>IF(Suppliers!C10="","",Suppliers!C10)</f>
        <v>780</v>
      </c>
      <c r="D12" s="10">
        <f>IF(Suppliers!D10="","",Suppliers!D10)</f>
        <v>780</v>
      </c>
      <c r="E12" s="4" t="str">
        <f>IF(Suppliers!E10="","",Suppliers!E10)</f>
        <v>Annual</v>
      </c>
      <c r="F12" s="10">
        <f ca="1">IFERROR(IF(OR(0&gt;=$B$1,Suppliers!A10="",NOT(ISNUMBER(Suppliers!D10)),Suppliers!L10="Expired",Suppliers!L10="Terminate"),"",Suppliers!D10*-1*IF(Suppliers!E10="Monthly",IF(AND(ISNUMBER(Suppliers!G10),(YEAR(EDATE(DATE(YEAR(TODAY()),MONTH(TODAY()),1),0))*12+MONTH(EDATE(DATE(YEAR(TODAY()),MONTH(TODAY()),1),0)))&gt;(YEAR(Suppliers!G10)*12+MONTH(Suppliers!G10))),"",1),IF(Suppliers!E10="Quarterly",IF(MOD((YEAR(EDATE(DATE(YEAR(TODAY()),MONTH(TODAY()),1),0))-YEAR(IF(ISNUMBER(Suppliers!F10),Suppliers!F10,DATE(YEAR(TODAY()),MONTH(TODAY()),1))))*12+MONTH(EDATE(DATE(YEAR(TODAY()),MONTH(TODAY()),1),0))-MONTH(IF(ISNUMBER(Suppliers!F10),Suppliers!F10,DATE(YEAR(TODAY()),MONTH(TODAY()),1))),3)=0,1,0),IF(Suppliers!E10="Semi-annual",IF(MOD((YEAR(EDATE(DATE(YEAR(TODAY()),MONTH(TODAY()),1),0))-YEAR(IF(ISNUMBER(Suppliers!F10),Suppliers!F10,DATE(YEAR(TODAY()),MONTH(TODAY()),1))))*12+MONTH(EDATE(DATE(YEAR(TODAY()),MONTH(TODAY()),1),0))-MONTH(IF(ISNUMBER(Suppliers!F10),Suppliers!F10,DATE(YEAR(TODAY()),MONTH(TODAY()),1))),6)=0,1,0),IF(Suppliers!E10="Annual",IF(MOD((YEAR(EDATE(DATE(YEAR(TODAY()),MONTH(TODAY()),1),0))-YEAR(IF(ISNUMBER(Suppliers!F10),Suppliers!F10,DATE(YEAR(TODAY()),MONTH(TODAY()),1))))*12+MONTH(EDATE(DATE(YEAR(TODAY()),MONTH(TODAY()),1),0))-MONTH(IF(ISNUMBER(Suppliers!F10),Suppliers!F10,DATE(YEAR(TODAY()),MONTH(TODAY()),1))),12)=0,1,0),IF(Suppliers!E10="One-time",IF(0=0,1,0),1)))))),"")</f>
        <v>0</v>
      </c>
      <c r="G12" s="10">
        <f ca="1">IFERROR(IF(OR(1&gt;=$B$1,Suppliers!A10="",NOT(ISNUMBER(Suppliers!D10)),Suppliers!L10="Expired",Suppliers!L10="Terminate"),"",Suppliers!D10*-1*IF(Suppliers!E10="Monthly",IF(AND(ISNUMBER(Suppliers!G10),(YEAR(EDATE(DATE(YEAR(TODAY()),MONTH(TODAY()),1),1))*12+MONTH(EDATE(DATE(YEAR(TODAY()),MONTH(TODAY()),1),1)))&gt;(YEAR(Suppliers!G10)*12+MONTH(Suppliers!G10))),"",1),IF(Suppliers!E10="Quarterly",IF(MOD((YEAR(EDATE(DATE(YEAR(TODAY()),MONTH(TODAY()),1),1))-YEAR(IF(ISNUMBER(Suppliers!F10),Suppliers!F10,DATE(YEAR(TODAY()),MONTH(TODAY()),1))))*12+MONTH(EDATE(DATE(YEAR(TODAY()),MONTH(TODAY()),1),1))-MONTH(IF(ISNUMBER(Suppliers!F10),Suppliers!F10,DATE(YEAR(TODAY()),MONTH(TODAY()),1))),3)=0,1,0),IF(Suppliers!E10="Semi-annual",IF(MOD((YEAR(EDATE(DATE(YEAR(TODAY()),MONTH(TODAY()),1),1))-YEAR(IF(ISNUMBER(Suppliers!F10),Suppliers!F10,DATE(YEAR(TODAY()),MONTH(TODAY()),1))))*12+MONTH(EDATE(DATE(YEAR(TODAY()),MONTH(TODAY()),1),1))-MONTH(IF(ISNUMBER(Suppliers!F10),Suppliers!F10,DATE(YEAR(TODAY()),MONTH(TODAY()),1))),6)=0,1,0),IF(Suppliers!E10="Annual",IF(MOD((YEAR(EDATE(DATE(YEAR(TODAY()),MONTH(TODAY()),1),1))-YEAR(IF(ISNUMBER(Suppliers!F10),Suppliers!F10,DATE(YEAR(TODAY()),MONTH(TODAY()),1))))*12+MONTH(EDATE(DATE(YEAR(TODAY()),MONTH(TODAY()),1),1))-MONTH(IF(ISNUMBER(Suppliers!F10),Suppliers!F10,DATE(YEAR(TODAY()),MONTH(TODAY()),1))),12)=0,1,0),IF(Suppliers!E10="One-time",IF(1=0,1,0),1)))))),"")</f>
        <v>0</v>
      </c>
      <c r="H12" s="10">
        <f ca="1">IFERROR(IF(OR(2&gt;=$B$1,Suppliers!A10="",NOT(ISNUMBER(Suppliers!D10)),Suppliers!L10="Expired",Suppliers!L10="Terminate"),"",Suppliers!D10*-1*IF(Suppliers!E10="Monthly",IF(AND(ISNUMBER(Suppliers!G10),(YEAR(EDATE(DATE(YEAR(TODAY()),MONTH(TODAY()),1),2))*12+MONTH(EDATE(DATE(YEAR(TODAY()),MONTH(TODAY()),1),2)))&gt;(YEAR(Suppliers!G10)*12+MONTH(Suppliers!G10))),"",1),IF(Suppliers!E10="Quarterly",IF(MOD((YEAR(EDATE(DATE(YEAR(TODAY()),MONTH(TODAY()),1),2))-YEAR(IF(ISNUMBER(Suppliers!F10),Suppliers!F10,DATE(YEAR(TODAY()),MONTH(TODAY()),1))))*12+MONTH(EDATE(DATE(YEAR(TODAY()),MONTH(TODAY()),1),2))-MONTH(IF(ISNUMBER(Suppliers!F10),Suppliers!F10,DATE(YEAR(TODAY()),MONTH(TODAY()),1))),3)=0,1,0),IF(Suppliers!E10="Semi-annual",IF(MOD((YEAR(EDATE(DATE(YEAR(TODAY()),MONTH(TODAY()),1),2))-YEAR(IF(ISNUMBER(Suppliers!F10),Suppliers!F10,DATE(YEAR(TODAY()),MONTH(TODAY()),1))))*12+MONTH(EDATE(DATE(YEAR(TODAY()),MONTH(TODAY()),1),2))-MONTH(IF(ISNUMBER(Suppliers!F10),Suppliers!F10,DATE(YEAR(TODAY()),MONTH(TODAY()),1))),6)=0,1,0),IF(Suppliers!E10="Annual",IF(MOD((YEAR(EDATE(DATE(YEAR(TODAY()),MONTH(TODAY()),1),2))-YEAR(IF(ISNUMBER(Suppliers!F10),Suppliers!F10,DATE(YEAR(TODAY()),MONTH(TODAY()),1))))*12+MONTH(EDATE(DATE(YEAR(TODAY()),MONTH(TODAY()),1),2))-MONTH(IF(ISNUMBER(Suppliers!F10),Suppliers!F10,DATE(YEAR(TODAY()),MONTH(TODAY()),1))),12)=0,1,0),IF(Suppliers!E10="One-time",IF(2=0,1,0),1)))))),"")</f>
        <v>-780</v>
      </c>
      <c r="I12" s="10" t="str">
        <f ca="1">IFERROR(IF(OR(3&gt;=$B$1,Suppliers!A10="",NOT(ISNUMBER(Suppliers!D10)),Suppliers!L10="Expired",Suppliers!L10="Terminate"),"",Suppliers!D10*-1*IF(Suppliers!E10="Monthly",IF(AND(ISNUMBER(Suppliers!G10),(YEAR(EDATE(DATE(YEAR(TODAY()),MONTH(TODAY()),1),3))*12+MONTH(EDATE(DATE(YEAR(TODAY()),MONTH(TODAY()),1),3)))&gt;(YEAR(Suppliers!G10)*12+MONTH(Suppliers!G10))),"",1),IF(Suppliers!E10="Quarterly",IF(MOD((YEAR(EDATE(DATE(YEAR(TODAY()),MONTH(TODAY()),1),3))-YEAR(IF(ISNUMBER(Suppliers!F10),Suppliers!F10,DATE(YEAR(TODAY()),MONTH(TODAY()),1))))*12+MONTH(EDATE(DATE(YEAR(TODAY()),MONTH(TODAY()),1),3))-MONTH(IF(ISNUMBER(Suppliers!F10),Suppliers!F10,DATE(YEAR(TODAY()),MONTH(TODAY()),1))),3)=0,1,0),IF(Suppliers!E10="Semi-annual",IF(MOD((YEAR(EDATE(DATE(YEAR(TODAY()),MONTH(TODAY()),1),3))-YEAR(IF(ISNUMBER(Suppliers!F10),Suppliers!F10,DATE(YEAR(TODAY()),MONTH(TODAY()),1))))*12+MONTH(EDATE(DATE(YEAR(TODAY()),MONTH(TODAY()),1),3))-MONTH(IF(ISNUMBER(Suppliers!F10),Suppliers!F10,DATE(YEAR(TODAY()),MONTH(TODAY()),1))),6)=0,1,0),IF(Suppliers!E10="Annual",IF(MOD((YEAR(EDATE(DATE(YEAR(TODAY()),MONTH(TODAY()),1),3))-YEAR(IF(ISNUMBER(Suppliers!F10),Suppliers!F10,DATE(YEAR(TODAY()),MONTH(TODAY()),1))))*12+MONTH(EDATE(DATE(YEAR(TODAY()),MONTH(TODAY()),1),3))-MONTH(IF(ISNUMBER(Suppliers!F10),Suppliers!F10,DATE(YEAR(TODAY()),MONTH(TODAY()),1))),12)=0,1,0),IF(Suppliers!E10="One-time",IF(3=0,1,0),1)))))),"")</f>
        <v/>
      </c>
      <c r="J12" s="10" t="str">
        <f ca="1">IFERROR(IF(OR(4&gt;=$B$1,Suppliers!A10="",NOT(ISNUMBER(Suppliers!D10)),Suppliers!L10="Expired",Suppliers!L10="Terminate"),"",Suppliers!D10*-1*IF(Suppliers!E10="Monthly",IF(AND(ISNUMBER(Suppliers!G10),(YEAR(EDATE(DATE(YEAR(TODAY()),MONTH(TODAY()),1),4))*12+MONTH(EDATE(DATE(YEAR(TODAY()),MONTH(TODAY()),1),4)))&gt;(YEAR(Suppliers!G10)*12+MONTH(Suppliers!G10))),"",1),IF(Suppliers!E10="Quarterly",IF(MOD((YEAR(EDATE(DATE(YEAR(TODAY()),MONTH(TODAY()),1),4))-YEAR(IF(ISNUMBER(Suppliers!F10),Suppliers!F10,DATE(YEAR(TODAY()),MONTH(TODAY()),1))))*12+MONTH(EDATE(DATE(YEAR(TODAY()),MONTH(TODAY()),1),4))-MONTH(IF(ISNUMBER(Suppliers!F10),Suppliers!F10,DATE(YEAR(TODAY()),MONTH(TODAY()),1))),3)=0,1,0),IF(Suppliers!E10="Semi-annual",IF(MOD((YEAR(EDATE(DATE(YEAR(TODAY()),MONTH(TODAY()),1),4))-YEAR(IF(ISNUMBER(Suppliers!F10),Suppliers!F10,DATE(YEAR(TODAY()),MONTH(TODAY()),1))))*12+MONTH(EDATE(DATE(YEAR(TODAY()),MONTH(TODAY()),1),4))-MONTH(IF(ISNUMBER(Suppliers!F10),Suppliers!F10,DATE(YEAR(TODAY()),MONTH(TODAY()),1))),6)=0,1,0),IF(Suppliers!E10="Annual",IF(MOD((YEAR(EDATE(DATE(YEAR(TODAY()),MONTH(TODAY()),1),4))-YEAR(IF(ISNUMBER(Suppliers!F10),Suppliers!F10,DATE(YEAR(TODAY()),MONTH(TODAY()),1))))*12+MONTH(EDATE(DATE(YEAR(TODAY()),MONTH(TODAY()),1),4))-MONTH(IF(ISNUMBER(Suppliers!F10),Suppliers!F10,DATE(YEAR(TODAY()),MONTH(TODAY()),1))),12)=0,1,0),IF(Suppliers!E10="One-time",IF(4=0,1,0),1)))))),"")</f>
        <v/>
      </c>
      <c r="K12" s="10" t="str">
        <f ca="1">IFERROR(IF(OR(5&gt;=$B$1,Suppliers!A10="",NOT(ISNUMBER(Suppliers!D10)),Suppliers!L10="Expired",Suppliers!L10="Terminate"),"",Suppliers!D10*-1*IF(Suppliers!E10="Monthly",IF(AND(ISNUMBER(Suppliers!G10),(YEAR(EDATE(DATE(YEAR(TODAY()),MONTH(TODAY()),1),5))*12+MONTH(EDATE(DATE(YEAR(TODAY()),MONTH(TODAY()),1),5)))&gt;(YEAR(Suppliers!G10)*12+MONTH(Suppliers!G10))),"",1),IF(Suppliers!E10="Quarterly",IF(MOD((YEAR(EDATE(DATE(YEAR(TODAY()),MONTH(TODAY()),1),5))-YEAR(IF(ISNUMBER(Suppliers!F10),Suppliers!F10,DATE(YEAR(TODAY()),MONTH(TODAY()),1))))*12+MONTH(EDATE(DATE(YEAR(TODAY()),MONTH(TODAY()),1),5))-MONTH(IF(ISNUMBER(Suppliers!F10),Suppliers!F10,DATE(YEAR(TODAY()),MONTH(TODAY()),1))),3)=0,1,0),IF(Suppliers!E10="Semi-annual",IF(MOD((YEAR(EDATE(DATE(YEAR(TODAY()),MONTH(TODAY()),1),5))-YEAR(IF(ISNUMBER(Suppliers!F10),Suppliers!F10,DATE(YEAR(TODAY()),MONTH(TODAY()),1))))*12+MONTH(EDATE(DATE(YEAR(TODAY()),MONTH(TODAY()),1),5))-MONTH(IF(ISNUMBER(Suppliers!F10),Suppliers!F10,DATE(YEAR(TODAY()),MONTH(TODAY()),1))),6)=0,1,0),IF(Suppliers!E10="Annual",IF(MOD((YEAR(EDATE(DATE(YEAR(TODAY()),MONTH(TODAY()),1),5))-YEAR(IF(ISNUMBER(Suppliers!F10),Suppliers!F10,DATE(YEAR(TODAY()),MONTH(TODAY()),1))))*12+MONTH(EDATE(DATE(YEAR(TODAY()),MONTH(TODAY()),1),5))-MONTH(IF(ISNUMBER(Suppliers!F10),Suppliers!F10,DATE(YEAR(TODAY()),MONTH(TODAY()),1))),12)=0,1,0),IF(Suppliers!E10="One-time",IF(5=0,1,0),1)))))),"")</f>
        <v/>
      </c>
      <c r="L12" s="10" t="str">
        <f ca="1">IFERROR(IF(OR(6&gt;=$B$1,Suppliers!A10="",NOT(ISNUMBER(Suppliers!D10)),Suppliers!L10="Expired",Suppliers!L10="Terminate"),"",Suppliers!D10*-1*IF(Suppliers!E10="Monthly",IF(AND(ISNUMBER(Suppliers!G10),(YEAR(EDATE(DATE(YEAR(TODAY()),MONTH(TODAY()),1),6))*12+MONTH(EDATE(DATE(YEAR(TODAY()),MONTH(TODAY()),1),6)))&gt;(YEAR(Suppliers!G10)*12+MONTH(Suppliers!G10))),"",1),IF(Suppliers!E10="Quarterly",IF(MOD((YEAR(EDATE(DATE(YEAR(TODAY()),MONTH(TODAY()),1),6))-YEAR(IF(ISNUMBER(Suppliers!F10),Suppliers!F10,DATE(YEAR(TODAY()),MONTH(TODAY()),1))))*12+MONTH(EDATE(DATE(YEAR(TODAY()),MONTH(TODAY()),1),6))-MONTH(IF(ISNUMBER(Suppliers!F10),Suppliers!F10,DATE(YEAR(TODAY()),MONTH(TODAY()),1))),3)=0,1,0),IF(Suppliers!E10="Semi-annual",IF(MOD((YEAR(EDATE(DATE(YEAR(TODAY()),MONTH(TODAY()),1),6))-YEAR(IF(ISNUMBER(Suppliers!F10),Suppliers!F10,DATE(YEAR(TODAY()),MONTH(TODAY()),1))))*12+MONTH(EDATE(DATE(YEAR(TODAY()),MONTH(TODAY()),1),6))-MONTH(IF(ISNUMBER(Suppliers!F10),Suppliers!F10,DATE(YEAR(TODAY()),MONTH(TODAY()),1))),6)=0,1,0),IF(Suppliers!E10="Annual",IF(MOD((YEAR(EDATE(DATE(YEAR(TODAY()),MONTH(TODAY()),1),6))-YEAR(IF(ISNUMBER(Suppliers!F10),Suppliers!F10,DATE(YEAR(TODAY()),MONTH(TODAY()),1))))*12+MONTH(EDATE(DATE(YEAR(TODAY()),MONTH(TODAY()),1),6))-MONTH(IF(ISNUMBER(Suppliers!F10),Suppliers!F10,DATE(YEAR(TODAY()),MONTH(TODAY()),1))),12)=0,1,0),IF(Suppliers!E10="One-time",IF(6=0,1,0),1)))))),"")</f>
        <v/>
      </c>
      <c r="M12" s="10" t="str">
        <f ca="1">IFERROR(IF(OR(7&gt;=$B$1,Suppliers!A10="",NOT(ISNUMBER(Suppliers!D10)),Suppliers!L10="Expired",Suppliers!L10="Terminate"),"",Suppliers!D10*-1*IF(Suppliers!E10="Monthly",IF(AND(ISNUMBER(Suppliers!G10),(YEAR(EDATE(DATE(YEAR(TODAY()),MONTH(TODAY()),1),7))*12+MONTH(EDATE(DATE(YEAR(TODAY()),MONTH(TODAY()),1),7)))&gt;(YEAR(Suppliers!G10)*12+MONTH(Suppliers!G10))),"",1),IF(Suppliers!E10="Quarterly",IF(MOD((YEAR(EDATE(DATE(YEAR(TODAY()),MONTH(TODAY()),1),7))-YEAR(IF(ISNUMBER(Suppliers!F10),Suppliers!F10,DATE(YEAR(TODAY()),MONTH(TODAY()),1))))*12+MONTH(EDATE(DATE(YEAR(TODAY()),MONTH(TODAY()),1),7))-MONTH(IF(ISNUMBER(Suppliers!F10),Suppliers!F10,DATE(YEAR(TODAY()),MONTH(TODAY()),1))),3)=0,1,0),IF(Suppliers!E10="Semi-annual",IF(MOD((YEAR(EDATE(DATE(YEAR(TODAY()),MONTH(TODAY()),1),7))-YEAR(IF(ISNUMBER(Suppliers!F10),Suppliers!F10,DATE(YEAR(TODAY()),MONTH(TODAY()),1))))*12+MONTH(EDATE(DATE(YEAR(TODAY()),MONTH(TODAY()),1),7))-MONTH(IF(ISNUMBER(Suppliers!F10),Suppliers!F10,DATE(YEAR(TODAY()),MONTH(TODAY()),1))),6)=0,1,0),IF(Suppliers!E10="Annual",IF(MOD((YEAR(EDATE(DATE(YEAR(TODAY()),MONTH(TODAY()),1),7))-YEAR(IF(ISNUMBER(Suppliers!F10),Suppliers!F10,DATE(YEAR(TODAY()),MONTH(TODAY()),1))))*12+MONTH(EDATE(DATE(YEAR(TODAY()),MONTH(TODAY()),1),7))-MONTH(IF(ISNUMBER(Suppliers!F10),Suppliers!F10,DATE(YEAR(TODAY()),MONTH(TODAY()),1))),12)=0,1,0),IF(Suppliers!E10="One-time",IF(7=0,1,0),1)))))),"")</f>
        <v/>
      </c>
      <c r="N12" s="10" t="str">
        <f ca="1">IFERROR(IF(OR(8&gt;=$B$1,Suppliers!A10="",NOT(ISNUMBER(Suppliers!D10)),Suppliers!L10="Expired",Suppliers!L10="Terminate"),"",Suppliers!D10*-1*IF(Suppliers!E10="Monthly",IF(AND(ISNUMBER(Suppliers!G10),(YEAR(EDATE(DATE(YEAR(TODAY()),MONTH(TODAY()),1),8))*12+MONTH(EDATE(DATE(YEAR(TODAY()),MONTH(TODAY()),1),8)))&gt;(YEAR(Suppliers!G10)*12+MONTH(Suppliers!G10))),"",1),IF(Suppliers!E10="Quarterly",IF(MOD((YEAR(EDATE(DATE(YEAR(TODAY()),MONTH(TODAY()),1),8))-YEAR(IF(ISNUMBER(Suppliers!F10),Suppliers!F10,DATE(YEAR(TODAY()),MONTH(TODAY()),1))))*12+MONTH(EDATE(DATE(YEAR(TODAY()),MONTH(TODAY()),1),8))-MONTH(IF(ISNUMBER(Suppliers!F10),Suppliers!F10,DATE(YEAR(TODAY()),MONTH(TODAY()),1))),3)=0,1,0),IF(Suppliers!E10="Semi-annual",IF(MOD((YEAR(EDATE(DATE(YEAR(TODAY()),MONTH(TODAY()),1),8))-YEAR(IF(ISNUMBER(Suppliers!F10),Suppliers!F10,DATE(YEAR(TODAY()),MONTH(TODAY()),1))))*12+MONTH(EDATE(DATE(YEAR(TODAY()),MONTH(TODAY()),1),8))-MONTH(IF(ISNUMBER(Suppliers!F10),Suppliers!F10,DATE(YEAR(TODAY()),MONTH(TODAY()),1))),6)=0,1,0),IF(Suppliers!E10="Annual",IF(MOD((YEAR(EDATE(DATE(YEAR(TODAY()),MONTH(TODAY()),1),8))-YEAR(IF(ISNUMBER(Suppliers!F10),Suppliers!F10,DATE(YEAR(TODAY()),MONTH(TODAY()),1))))*12+MONTH(EDATE(DATE(YEAR(TODAY()),MONTH(TODAY()),1),8))-MONTH(IF(ISNUMBER(Suppliers!F10),Suppliers!F10,DATE(YEAR(TODAY()),MONTH(TODAY()),1))),12)=0,1,0),IF(Suppliers!E10="One-time",IF(8=0,1,0),1)))))),"")</f>
        <v/>
      </c>
      <c r="O12" s="10" t="str">
        <f ca="1">IFERROR(IF(OR(9&gt;=$B$1,Suppliers!A10="",NOT(ISNUMBER(Suppliers!D10)),Suppliers!L10="Expired",Suppliers!L10="Terminate"),"",Suppliers!D10*-1*IF(Suppliers!E10="Monthly",IF(AND(ISNUMBER(Suppliers!G10),(YEAR(EDATE(DATE(YEAR(TODAY()),MONTH(TODAY()),1),9))*12+MONTH(EDATE(DATE(YEAR(TODAY()),MONTH(TODAY()),1),9)))&gt;(YEAR(Suppliers!G10)*12+MONTH(Suppliers!G10))),"",1),IF(Suppliers!E10="Quarterly",IF(MOD((YEAR(EDATE(DATE(YEAR(TODAY()),MONTH(TODAY()),1),9))-YEAR(IF(ISNUMBER(Suppliers!F10),Suppliers!F10,DATE(YEAR(TODAY()),MONTH(TODAY()),1))))*12+MONTH(EDATE(DATE(YEAR(TODAY()),MONTH(TODAY()),1),9))-MONTH(IF(ISNUMBER(Suppliers!F10),Suppliers!F10,DATE(YEAR(TODAY()),MONTH(TODAY()),1))),3)=0,1,0),IF(Suppliers!E10="Semi-annual",IF(MOD((YEAR(EDATE(DATE(YEAR(TODAY()),MONTH(TODAY()),1),9))-YEAR(IF(ISNUMBER(Suppliers!F10),Suppliers!F10,DATE(YEAR(TODAY()),MONTH(TODAY()),1))))*12+MONTH(EDATE(DATE(YEAR(TODAY()),MONTH(TODAY()),1),9))-MONTH(IF(ISNUMBER(Suppliers!F10),Suppliers!F10,DATE(YEAR(TODAY()),MONTH(TODAY()),1))),6)=0,1,0),IF(Suppliers!E10="Annual",IF(MOD((YEAR(EDATE(DATE(YEAR(TODAY()),MONTH(TODAY()),1),9))-YEAR(IF(ISNUMBER(Suppliers!F10),Suppliers!F10,DATE(YEAR(TODAY()),MONTH(TODAY()),1))))*12+MONTH(EDATE(DATE(YEAR(TODAY()),MONTH(TODAY()),1),9))-MONTH(IF(ISNUMBER(Suppliers!F10),Suppliers!F10,DATE(YEAR(TODAY()),MONTH(TODAY()),1))),12)=0,1,0),IF(Suppliers!E10="One-time",IF(9=0,1,0),1)))))),"")</f>
        <v/>
      </c>
      <c r="P12" s="10" t="str">
        <f ca="1">IFERROR(IF(OR(10&gt;=$B$1,Suppliers!A10="",NOT(ISNUMBER(Suppliers!D10)),Suppliers!L10="Expired",Suppliers!L10="Terminate"),"",Suppliers!D10*-1*IF(Suppliers!E10="Monthly",IF(AND(ISNUMBER(Suppliers!G10),(YEAR(EDATE(DATE(YEAR(TODAY()),MONTH(TODAY()),1),10))*12+MONTH(EDATE(DATE(YEAR(TODAY()),MONTH(TODAY()),1),10)))&gt;(YEAR(Suppliers!G10)*12+MONTH(Suppliers!G10))),"",1),IF(Suppliers!E10="Quarterly",IF(MOD((YEAR(EDATE(DATE(YEAR(TODAY()),MONTH(TODAY()),1),10))-YEAR(IF(ISNUMBER(Suppliers!F10),Suppliers!F10,DATE(YEAR(TODAY()),MONTH(TODAY()),1))))*12+MONTH(EDATE(DATE(YEAR(TODAY()),MONTH(TODAY()),1),10))-MONTH(IF(ISNUMBER(Suppliers!F10),Suppliers!F10,DATE(YEAR(TODAY()),MONTH(TODAY()),1))),3)=0,1,0),IF(Suppliers!E10="Semi-annual",IF(MOD((YEAR(EDATE(DATE(YEAR(TODAY()),MONTH(TODAY()),1),10))-YEAR(IF(ISNUMBER(Suppliers!F10),Suppliers!F10,DATE(YEAR(TODAY()),MONTH(TODAY()),1))))*12+MONTH(EDATE(DATE(YEAR(TODAY()),MONTH(TODAY()),1),10))-MONTH(IF(ISNUMBER(Suppliers!F10),Suppliers!F10,DATE(YEAR(TODAY()),MONTH(TODAY()),1))),6)=0,1,0),IF(Suppliers!E10="Annual",IF(MOD((YEAR(EDATE(DATE(YEAR(TODAY()),MONTH(TODAY()),1),10))-YEAR(IF(ISNUMBER(Suppliers!F10),Suppliers!F10,DATE(YEAR(TODAY()),MONTH(TODAY()),1))))*12+MONTH(EDATE(DATE(YEAR(TODAY()),MONTH(TODAY()),1),10))-MONTH(IF(ISNUMBER(Suppliers!F10),Suppliers!F10,DATE(YEAR(TODAY()),MONTH(TODAY()),1))),12)=0,1,0),IF(Suppliers!E10="One-time",IF(10=0,1,0),1)))))),"")</f>
        <v/>
      </c>
      <c r="Q12" s="10" t="str">
        <f ca="1">IFERROR(IF(OR(11&gt;=$B$1,Suppliers!A10="",NOT(ISNUMBER(Suppliers!D10)),Suppliers!L10="Expired",Suppliers!L10="Terminate"),"",Suppliers!D10*-1*IF(Suppliers!E10="Monthly",IF(AND(ISNUMBER(Suppliers!G10),(YEAR(EDATE(DATE(YEAR(TODAY()),MONTH(TODAY()),1),11))*12+MONTH(EDATE(DATE(YEAR(TODAY()),MONTH(TODAY()),1),11)))&gt;(YEAR(Suppliers!G10)*12+MONTH(Suppliers!G10))),"",1),IF(Suppliers!E10="Quarterly",IF(MOD((YEAR(EDATE(DATE(YEAR(TODAY()),MONTH(TODAY()),1),11))-YEAR(IF(ISNUMBER(Suppliers!F10),Suppliers!F10,DATE(YEAR(TODAY()),MONTH(TODAY()),1))))*12+MONTH(EDATE(DATE(YEAR(TODAY()),MONTH(TODAY()),1),11))-MONTH(IF(ISNUMBER(Suppliers!F10),Suppliers!F10,DATE(YEAR(TODAY()),MONTH(TODAY()),1))),3)=0,1,0),IF(Suppliers!E10="Semi-annual",IF(MOD((YEAR(EDATE(DATE(YEAR(TODAY()),MONTH(TODAY()),1),11))-YEAR(IF(ISNUMBER(Suppliers!F10),Suppliers!F10,DATE(YEAR(TODAY()),MONTH(TODAY()),1))))*12+MONTH(EDATE(DATE(YEAR(TODAY()),MONTH(TODAY()),1),11))-MONTH(IF(ISNUMBER(Suppliers!F10),Suppliers!F10,DATE(YEAR(TODAY()),MONTH(TODAY()),1))),6)=0,1,0),IF(Suppliers!E10="Annual",IF(MOD((YEAR(EDATE(DATE(YEAR(TODAY()),MONTH(TODAY()),1),11))-YEAR(IF(ISNUMBER(Suppliers!F10),Suppliers!F10,DATE(YEAR(TODAY()),MONTH(TODAY()),1))))*12+MONTH(EDATE(DATE(YEAR(TODAY()),MONTH(TODAY()),1),11))-MONTH(IF(ISNUMBER(Suppliers!F10),Suppliers!F10,DATE(YEAR(TODAY()),MONTH(TODAY()),1))),12)=0,1,0),IF(Suppliers!E10="One-time",IF(11=0,1,0),1)))))),"")</f>
        <v/>
      </c>
      <c r="R12" s="10" t="str">
        <f ca="1">IFERROR(IF(OR(12&gt;=$B$1,Suppliers!A10="",NOT(ISNUMBER(Suppliers!D10)),Suppliers!L10="Expired",Suppliers!L10="Terminate"),"",Suppliers!D10*-1*IF(Suppliers!E10="Monthly",IF(AND(ISNUMBER(Suppliers!G10),(YEAR(EDATE(DATE(YEAR(TODAY()),MONTH(TODAY()),1),12))*12+MONTH(EDATE(DATE(YEAR(TODAY()),MONTH(TODAY()),1),12)))&gt;(YEAR(Suppliers!G10)*12+MONTH(Suppliers!G10))),"",1),IF(Suppliers!E10="Quarterly",IF(MOD((YEAR(EDATE(DATE(YEAR(TODAY()),MONTH(TODAY()),1),12))-YEAR(IF(ISNUMBER(Suppliers!F10),Suppliers!F10,DATE(YEAR(TODAY()),MONTH(TODAY()),1))))*12+MONTH(EDATE(DATE(YEAR(TODAY()),MONTH(TODAY()),1),12))-MONTH(IF(ISNUMBER(Suppliers!F10),Suppliers!F10,DATE(YEAR(TODAY()),MONTH(TODAY()),1))),3)=0,1,0),IF(Suppliers!E10="Semi-annual",IF(MOD((YEAR(EDATE(DATE(YEAR(TODAY()),MONTH(TODAY()),1),12))-YEAR(IF(ISNUMBER(Suppliers!F10),Suppliers!F10,DATE(YEAR(TODAY()),MONTH(TODAY()),1))))*12+MONTH(EDATE(DATE(YEAR(TODAY()),MONTH(TODAY()),1),12))-MONTH(IF(ISNUMBER(Suppliers!F10),Suppliers!F10,DATE(YEAR(TODAY()),MONTH(TODAY()),1))),6)=0,1,0),IF(Suppliers!E10="Annual",IF(MOD((YEAR(EDATE(DATE(YEAR(TODAY()),MONTH(TODAY()),1),12))-YEAR(IF(ISNUMBER(Suppliers!F10),Suppliers!F10,DATE(YEAR(TODAY()),MONTH(TODAY()),1))))*12+MONTH(EDATE(DATE(YEAR(TODAY()),MONTH(TODAY()),1),12))-MONTH(IF(ISNUMBER(Suppliers!F10),Suppliers!F10,DATE(YEAR(TODAY()),MONTH(TODAY()),1))),12)=0,1,0),IF(Suppliers!E10="One-time",IF(12=0,1,0),1)))))),"")</f>
        <v/>
      </c>
      <c r="S12" s="10" t="str">
        <f ca="1">IFERROR(IF(OR(13&gt;=$B$1,Suppliers!A10="",NOT(ISNUMBER(Suppliers!D10)),Suppliers!L10="Expired",Suppliers!L10="Terminate"),"",Suppliers!D10*-1*IF(Suppliers!E10="Monthly",IF(AND(ISNUMBER(Suppliers!G10),(YEAR(EDATE(DATE(YEAR(TODAY()),MONTH(TODAY()),1),13))*12+MONTH(EDATE(DATE(YEAR(TODAY()),MONTH(TODAY()),1),13)))&gt;(YEAR(Suppliers!G10)*12+MONTH(Suppliers!G10))),"",1),IF(Suppliers!E10="Quarterly",IF(MOD((YEAR(EDATE(DATE(YEAR(TODAY()),MONTH(TODAY()),1),13))-YEAR(IF(ISNUMBER(Suppliers!F10),Suppliers!F10,DATE(YEAR(TODAY()),MONTH(TODAY()),1))))*12+MONTH(EDATE(DATE(YEAR(TODAY()),MONTH(TODAY()),1),13))-MONTH(IF(ISNUMBER(Suppliers!F10),Suppliers!F10,DATE(YEAR(TODAY()),MONTH(TODAY()),1))),3)=0,1,0),IF(Suppliers!E10="Semi-annual",IF(MOD((YEAR(EDATE(DATE(YEAR(TODAY()),MONTH(TODAY()),1),13))-YEAR(IF(ISNUMBER(Suppliers!F10),Suppliers!F10,DATE(YEAR(TODAY()),MONTH(TODAY()),1))))*12+MONTH(EDATE(DATE(YEAR(TODAY()),MONTH(TODAY()),1),13))-MONTH(IF(ISNUMBER(Suppliers!F10),Suppliers!F10,DATE(YEAR(TODAY()),MONTH(TODAY()),1))),6)=0,1,0),IF(Suppliers!E10="Annual",IF(MOD((YEAR(EDATE(DATE(YEAR(TODAY()),MONTH(TODAY()),1),13))-YEAR(IF(ISNUMBER(Suppliers!F10),Suppliers!F10,DATE(YEAR(TODAY()),MONTH(TODAY()),1))))*12+MONTH(EDATE(DATE(YEAR(TODAY()),MONTH(TODAY()),1),13))-MONTH(IF(ISNUMBER(Suppliers!F10),Suppliers!F10,DATE(YEAR(TODAY()),MONTH(TODAY()),1))),12)=0,1,0),IF(Suppliers!E10="One-time",IF(13=0,1,0),1)))))),"")</f>
        <v/>
      </c>
      <c r="T12" s="10" t="str">
        <f ca="1">IFERROR(IF(OR(14&gt;=$B$1,Suppliers!A10="",NOT(ISNUMBER(Suppliers!D10)),Suppliers!L10="Expired",Suppliers!L10="Terminate"),"",Suppliers!D10*-1*IF(Suppliers!E10="Monthly",IF(AND(ISNUMBER(Suppliers!G10),(YEAR(EDATE(DATE(YEAR(TODAY()),MONTH(TODAY()),1),14))*12+MONTH(EDATE(DATE(YEAR(TODAY()),MONTH(TODAY()),1),14)))&gt;(YEAR(Suppliers!G10)*12+MONTH(Suppliers!G10))),"",1),IF(Suppliers!E10="Quarterly",IF(MOD((YEAR(EDATE(DATE(YEAR(TODAY()),MONTH(TODAY()),1),14))-YEAR(IF(ISNUMBER(Suppliers!F10),Suppliers!F10,DATE(YEAR(TODAY()),MONTH(TODAY()),1))))*12+MONTH(EDATE(DATE(YEAR(TODAY()),MONTH(TODAY()),1),14))-MONTH(IF(ISNUMBER(Suppliers!F10),Suppliers!F10,DATE(YEAR(TODAY()),MONTH(TODAY()),1))),3)=0,1,0),IF(Suppliers!E10="Semi-annual",IF(MOD((YEAR(EDATE(DATE(YEAR(TODAY()),MONTH(TODAY()),1),14))-YEAR(IF(ISNUMBER(Suppliers!F10),Suppliers!F10,DATE(YEAR(TODAY()),MONTH(TODAY()),1))))*12+MONTH(EDATE(DATE(YEAR(TODAY()),MONTH(TODAY()),1),14))-MONTH(IF(ISNUMBER(Suppliers!F10),Suppliers!F10,DATE(YEAR(TODAY()),MONTH(TODAY()),1))),6)=0,1,0),IF(Suppliers!E10="Annual",IF(MOD((YEAR(EDATE(DATE(YEAR(TODAY()),MONTH(TODAY()),1),14))-YEAR(IF(ISNUMBER(Suppliers!F10),Suppliers!F10,DATE(YEAR(TODAY()),MONTH(TODAY()),1))))*12+MONTH(EDATE(DATE(YEAR(TODAY()),MONTH(TODAY()),1),14))-MONTH(IF(ISNUMBER(Suppliers!F10),Suppliers!F10,DATE(YEAR(TODAY()),MONTH(TODAY()),1))),12)=0,1,0),IF(Suppliers!E10="One-time",IF(14=0,1,0),1)))))),"")</f>
        <v/>
      </c>
      <c r="U12" s="10" t="str">
        <f ca="1">IFERROR(IF(OR(15&gt;=$B$1,Suppliers!A10="",NOT(ISNUMBER(Suppliers!D10)),Suppliers!L10="Expired",Suppliers!L10="Terminate"),"",Suppliers!D10*-1*IF(Suppliers!E10="Monthly",IF(AND(ISNUMBER(Suppliers!G10),(YEAR(EDATE(DATE(YEAR(TODAY()),MONTH(TODAY()),1),15))*12+MONTH(EDATE(DATE(YEAR(TODAY()),MONTH(TODAY()),1),15)))&gt;(YEAR(Suppliers!G10)*12+MONTH(Suppliers!G10))),"",1),IF(Suppliers!E10="Quarterly",IF(MOD((YEAR(EDATE(DATE(YEAR(TODAY()),MONTH(TODAY()),1),15))-YEAR(IF(ISNUMBER(Suppliers!F10),Suppliers!F10,DATE(YEAR(TODAY()),MONTH(TODAY()),1))))*12+MONTH(EDATE(DATE(YEAR(TODAY()),MONTH(TODAY()),1),15))-MONTH(IF(ISNUMBER(Suppliers!F10),Suppliers!F10,DATE(YEAR(TODAY()),MONTH(TODAY()),1))),3)=0,1,0),IF(Suppliers!E10="Semi-annual",IF(MOD((YEAR(EDATE(DATE(YEAR(TODAY()),MONTH(TODAY()),1),15))-YEAR(IF(ISNUMBER(Suppliers!F10),Suppliers!F10,DATE(YEAR(TODAY()),MONTH(TODAY()),1))))*12+MONTH(EDATE(DATE(YEAR(TODAY()),MONTH(TODAY()),1),15))-MONTH(IF(ISNUMBER(Suppliers!F10),Suppliers!F10,DATE(YEAR(TODAY()),MONTH(TODAY()),1))),6)=0,1,0),IF(Suppliers!E10="Annual",IF(MOD((YEAR(EDATE(DATE(YEAR(TODAY()),MONTH(TODAY()),1),15))-YEAR(IF(ISNUMBER(Suppliers!F10),Suppliers!F10,DATE(YEAR(TODAY()),MONTH(TODAY()),1))))*12+MONTH(EDATE(DATE(YEAR(TODAY()),MONTH(TODAY()),1),15))-MONTH(IF(ISNUMBER(Suppliers!F10),Suppliers!F10,DATE(YEAR(TODAY()),MONTH(TODAY()),1))),12)=0,1,0),IF(Suppliers!E10="One-time",IF(15=0,1,0),1)))))),"")</f>
        <v/>
      </c>
      <c r="V12" s="10" t="str">
        <f ca="1">IFERROR(IF(OR(16&gt;=$B$1,Suppliers!A10="",NOT(ISNUMBER(Suppliers!D10)),Suppliers!L10="Expired",Suppliers!L10="Terminate"),"",Suppliers!D10*-1*IF(Suppliers!E10="Monthly",IF(AND(ISNUMBER(Suppliers!G10),(YEAR(EDATE(DATE(YEAR(TODAY()),MONTH(TODAY()),1),16))*12+MONTH(EDATE(DATE(YEAR(TODAY()),MONTH(TODAY()),1),16)))&gt;(YEAR(Suppliers!G10)*12+MONTH(Suppliers!G10))),"",1),IF(Suppliers!E10="Quarterly",IF(MOD((YEAR(EDATE(DATE(YEAR(TODAY()),MONTH(TODAY()),1),16))-YEAR(IF(ISNUMBER(Suppliers!F10),Suppliers!F10,DATE(YEAR(TODAY()),MONTH(TODAY()),1))))*12+MONTH(EDATE(DATE(YEAR(TODAY()),MONTH(TODAY()),1),16))-MONTH(IF(ISNUMBER(Suppliers!F10),Suppliers!F10,DATE(YEAR(TODAY()),MONTH(TODAY()),1))),3)=0,1,0),IF(Suppliers!E10="Semi-annual",IF(MOD((YEAR(EDATE(DATE(YEAR(TODAY()),MONTH(TODAY()),1),16))-YEAR(IF(ISNUMBER(Suppliers!F10),Suppliers!F10,DATE(YEAR(TODAY()),MONTH(TODAY()),1))))*12+MONTH(EDATE(DATE(YEAR(TODAY()),MONTH(TODAY()),1),16))-MONTH(IF(ISNUMBER(Suppliers!F10),Suppliers!F10,DATE(YEAR(TODAY()),MONTH(TODAY()),1))),6)=0,1,0),IF(Suppliers!E10="Annual",IF(MOD((YEAR(EDATE(DATE(YEAR(TODAY()),MONTH(TODAY()),1),16))-YEAR(IF(ISNUMBER(Suppliers!F10),Suppliers!F10,DATE(YEAR(TODAY()),MONTH(TODAY()),1))))*12+MONTH(EDATE(DATE(YEAR(TODAY()),MONTH(TODAY()),1),16))-MONTH(IF(ISNUMBER(Suppliers!F10),Suppliers!F10,DATE(YEAR(TODAY()),MONTH(TODAY()),1))),12)=0,1,0),IF(Suppliers!E10="One-time",IF(16=0,1,0),1)))))),"")</f>
        <v/>
      </c>
      <c r="W12" s="10" t="str">
        <f ca="1">IFERROR(IF(OR(17&gt;=$B$1,Suppliers!A10="",NOT(ISNUMBER(Suppliers!D10)),Suppliers!L10="Expired",Suppliers!L10="Terminate"),"",Suppliers!D10*-1*IF(Suppliers!E10="Monthly",IF(AND(ISNUMBER(Suppliers!G10),(YEAR(EDATE(DATE(YEAR(TODAY()),MONTH(TODAY()),1),17))*12+MONTH(EDATE(DATE(YEAR(TODAY()),MONTH(TODAY()),1),17)))&gt;(YEAR(Suppliers!G10)*12+MONTH(Suppliers!G10))),"",1),IF(Suppliers!E10="Quarterly",IF(MOD((YEAR(EDATE(DATE(YEAR(TODAY()),MONTH(TODAY()),1),17))-YEAR(IF(ISNUMBER(Suppliers!F10),Suppliers!F10,DATE(YEAR(TODAY()),MONTH(TODAY()),1))))*12+MONTH(EDATE(DATE(YEAR(TODAY()),MONTH(TODAY()),1),17))-MONTH(IF(ISNUMBER(Suppliers!F10),Suppliers!F10,DATE(YEAR(TODAY()),MONTH(TODAY()),1))),3)=0,1,0),IF(Suppliers!E10="Semi-annual",IF(MOD((YEAR(EDATE(DATE(YEAR(TODAY()),MONTH(TODAY()),1),17))-YEAR(IF(ISNUMBER(Suppliers!F10),Suppliers!F10,DATE(YEAR(TODAY()),MONTH(TODAY()),1))))*12+MONTH(EDATE(DATE(YEAR(TODAY()),MONTH(TODAY()),1),17))-MONTH(IF(ISNUMBER(Suppliers!F10),Suppliers!F10,DATE(YEAR(TODAY()),MONTH(TODAY()),1))),6)=0,1,0),IF(Suppliers!E10="Annual",IF(MOD((YEAR(EDATE(DATE(YEAR(TODAY()),MONTH(TODAY()),1),17))-YEAR(IF(ISNUMBER(Suppliers!F10),Suppliers!F10,DATE(YEAR(TODAY()),MONTH(TODAY()),1))))*12+MONTH(EDATE(DATE(YEAR(TODAY()),MONTH(TODAY()),1),17))-MONTH(IF(ISNUMBER(Suppliers!F10),Suppliers!F10,DATE(YEAR(TODAY()),MONTH(TODAY()),1))),12)=0,1,0),IF(Suppliers!E10="One-time",IF(17=0,1,0),1)))))),"")</f>
        <v/>
      </c>
      <c r="X12" s="10" t="str">
        <f ca="1">IFERROR(IF(OR(18&gt;=$B$1,Suppliers!A10="",NOT(ISNUMBER(Suppliers!D10)),Suppliers!L10="Expired",Suppliers!L10="Terminate"),"",Suppliers!D10*-1*IF(Suppliers!E10="Monthly",IF(AND(ISNUMBER(Suppliers!G10),(YEAR(EDATE(DATE(YEAR(TODAY()),MONTH(TODAY()),1),18))*12+MONTH(EDATE(DATE(YEAR(TODAY()),MONTH(TODAY()),1),18)))&gt;(YEAR(Suppliers!G10)*12+MONTH(Suppliers!G10))),"",1),IF(Suppliers!E10="Quarterly",IF(MOD((YEAR(EDATE(DATE(YEAR(TODAY()),MONTH(TODAY()),1),18))-YEAR(IF(ISNUMBER(Suppliers!F10),Suppliers!F10,DATE(YEAR(TODAY()),MONTH(TODAY()),1))))*12+MONTH(EDATE(DATE(YEAR(TODAY()),MONTH(TODAY()),1),18))-MONTH(IF(ISNUMBER(Suppliers!F10),Suppliers!F10,DATE(YEAR(TODAY()),MONTH(TODAY()),1))),3)=0,1,0),IF(Suppliers!E10="Semi-annual",IF(MOD((YEAR(EDATE(DATE(YEAR(TODAY()),MONTH(TODAY()),1),18))-YEAR(IF(ISNUMBER(Suppliers!F10),Suppliers!F10,DATE(YEAR(TODAY()),MONTH(TODAY()),1))))*12+MONTH(EDATE(DATE(YEAR(TODAY()),MONTH(TODAY()),1),18))-MONTH(IF(ISNUMBER(Suppliers!F10),Suppliers!F10,DATE(YEAR(TODAY()),MONTH(TODAY()),1))),6)=0,1,0),IF(Suppliers!E10="Annual",IF(MOD((YEAR(EDATE(DATE(YEAR(TODAY()),MONTH(TODAY()),1),18))-YEAR(IF(ISNUMBER(Suppliers!F10),Suppliers!F10,DATE(YEAR(TODAY()),MONTH(TODAY()),1))))*12+MONTH(EDATE(DATE(YEAR(TODAY()),MONTH(TODAY()),1),18))-MONTH(IF(ISNUMBER(Suppliers!F10),Suppliers!F10,DATE(YEAR(TODAY()),MONTH(TODAY()),1))),12)=0,1,0),IF(Suppliers!E10="One-time",IF(18=0,1,0),1)))))),"")</f>
        <v/>
      </c>
      <c r="Y12" s="10" t="str">
        <f ca="1">IFERROR(IF(OR(19&gt;=$B$1,Suppliers!A10="",NOT(ISNUMBER(Suppliers!D10)),Suppliers!L10="Expired",Suppliers!L10="Terminate"),"",Suppliers!D10*-1*IF(Suppliers!E10="Monthly",IF(AND(ISNUMBER(Suppliers!G10),(YEAR(EDATE(DATE(YEAR(TODAY()),MONTH(TODAY()),1),19))*12+MONTH(EDATE(DATE(YEAR(TODAY()),MONTH(TODAY()),1),19)))&gt;(YEAR(Suppliers!G10)*12+MONTH(Suppliers!G10))),"",1),IF(Suppliers!E10="Quarterly",IF(MOD((YEAR(EDATE(DATE(YEAR(TODAY()),MONTH(TODAY()),1),19))-YEAR(IF(ISNUMBER(Suppliers!F10),Suppliers!F10,DATE(YEAR(TODAY()),MONTH(TODAY()),1))))*12+MONTH(EDATE(DATE(YEAR(TODAY()),MONTH(TODAY()),1),19))-MONTH(IF(ISNUMBER(Suppliers!F10),Suppliers!F10,DATE(YEAR(TODAY()),MONTH(TODAY()),1))),3)=0,1,0),IF(Suppliers!E10="Semi-annual",IF(MOD((YEAR(EDATE(DATE(YEAR(TODAY()),MONTH(TODAY()),1),19))-YEAR(IF(ISNUMBER(Suppliers!F10),Suppliers!F10,DATE(YEAR(TODAY()),MONTH(TODAY()),1))))*12+MONTH(EDATE(DATE(YEAR(TODAY()),MONTH(TODAY()),1),19))-MONTH(IF(ISNUMBER(Suppliers!F10),Suppliers!F10,DATE(YEAR(TODAY()),MONTH(TODAY()),1))),6)=0,1,0),IF(Suppliers!E10="Annual",IF(MOD((YEAR(EDATE(DATE(YEAR(TODAY()),MONTH(TODAY()),1),19))-YEAR(IF(ISNUMBER(Suppliers!F10),Suppliers!F10,DATE(YEAR(TODAY()),MONTH(TODAY()),1))))*12+MONTH(EDATE(DATE(YEAR(TODAY()),MONTH(TODAY()),1),19))-MONTH(IF(ISNUMBER(Suppliers!F10),Suppliers!F10,DATE(YEAR(TODAY()),MONTH(TODAY()),1))),12)=0,1,0),IF(Suppliers!E10="One-time",IF(19=0,1,0),1)))))),"")</f>
        <v/>
      </c>
      <c r="Z12" s="10" t="str">
        <f ca="1">IFERROR(IF(OR(20&gt;=$B$1,Suppliers!A10="",NOT(ISNUMBER(Suppliers!D10)),Suppliers!L10="Expired",Suppliers!L10="Terminate"),"",Suppliers!D10*-1*IF(Suppliers!E10="Monthly",IF(AND(ISNUMBER(Suppliers!G10),(YEAR(EDATE(DATE(YEAR(TODAY()),MONTH(TODAY()),1),20))*12+MONTH(EDATE(DATE(YEAR(TODAY()),MONTH(TODAY()),1),20)))&gt;(YEAR(Suppliers!G10)*12+MONTH(Suppliers!G10))),"",1),IF(Suppliers!E10="Quarterly",IF(MOD((YEAR(EDATE(DATE(YEAR(TODAY()),MONTH(TODAY()),1),20))-YEAR(IF(ISNUMBER(Suppliers!F10),Suppliers!F10,DATE(YEAR(TODAY()),MONTH(TODAY()),1))))*12+MONTH(EDATE(DATE(YEAR(TODAY()),MONTH(TODAY()),1),20))-MONTH(IF(ISNUMBER(Suppliers!F10),Suppliers!F10,DATE(YEAR(TODAY()),MONTH(TODAY()),1))),3)=0,1,0),IF(Suppliers!E10="Semi-annual",IF(MOD((YEAR(EDATE(DATE(YEAR(TODAY()),MONTH(TODAY()),1),20))-YEAR(IF(ISNUMBER(Suppliers!F10),Suppliers!F10,DATE(YEAR(TODAY()),MONTH(TODAY()),1))))*12+MONTH(EDATE(DATE(YEAR(TODAY()),MONTH(TODAY()),1),20))-MONTH(IF(ISNUMBER(Suppliers!F10),Suppliers!F10,DATE(YEAR(TODAY()),MONTH(TODAY()),1))),6)=0,1,0),IF(Suppliers!E10="Annual",IF(MOD((YEAR(EDATE(DATE(YEAR(TODAY()),MONTH(TODAY()),1),20))-YEAR(IF(ISNUMBER(Suppliers!F10),Suppliers!F10,DATE(YEAR(TODAY()),MONTH(TODAY()),1))))*12+MONTH(EDATE(DATE(YEAR(TODAY()),MONTH(TODAY()),1),20))-MONTH(IF(ISNUMBER(Suppliers!F10),Suppliers!F10,DATE(YEAR(TODAY()),MONTH(TODAY()),1))),12)=0,1,0),IF(Suppliers!E10="One-time",IF(20=0,1,0),1)))))),"")</f>
        <v/>
      </c>
      <c r="AA12" s="10" t="str">
        <f ca="1">IFERROR(IF(OR(21&gt;=$B$1,Suppliers!A10="",NOT(ISNUMBER(Suppliers!D10)),Suppliers!L10="Expired",Suppliers!L10="Terminate"),"",Suppliers!D10*-1*IF(Suppliers!E10="Monthly",IF(AND(ISNUMBER(Suppliers!G10),(YEAR(EDATE(DATE(YEAR(TODAY()),MONTH(TODAY()),1),21))*12+MONTH(EDATE(DATE(YEAR(TODAY()),MONTH(TODAY()),1),21)))&gt;(YEAR(Suppliers!G10)*12+MONTH(Suppliers!G10))),"",1),IF(Suppliers!E10="Quarterly",IF(MOD((YEAR(EDATE(DATE(YEAR(TODAY()),MONTH(TODAY()),1),21))-YEAR(IF(ISNUMBER(Suppliers!F10),Suppliers!F10,DATE(YEAR(TODAY()),MONTH(TODAY()),1))))*12+MONTH(EDATE(DATE(YEAR(TODAY()),MONTH(TODAY()),1),21))-MONTH(IF(ISNUMBER(Suppliers!F10),Suppliers!F10,DATE(YEAR(TODAY()),MONTH(TODAY()),1))),3)=0,1,0),IF(Suppliers!E10="Semi-annual",IF(MOD((YEAR(EDATE(DATE(YEAR(TODAY()),MONTH(TODAY()),1),21))-YEAR(IF(ISNUMBER(Suppliers!F10),Suppliers!F10,DATE(YEAR(TODAY()),MONTH(TODAY()),1))))*12+MONTH(EDATE(DATE(YEAR(TODAY()),MONTH(TODAY()),1),21))-MONTH(IF(ISNUMBER(Suppliers!F10),Suppliers!F10,DATE(YEAR(TODAY()),MONTH(TODAY()),1))),6)=0,1,0),IF(Suppliers!E10="Annual",IF(MOD((YEAR(EDATE(DATE(YEAR(TODAY()),MONTH(TODAY()),1),21))-YEAR(IF(ISNUMBER(Suppliers!F10),Suppliers!F10,DATE(YEAR(TODAY()),MONTH(TODAY()),1))))*12+MONTH(EDATE(DATE(YEAR(TODAY()),MONTH(TODAY()),1),21))-MONTH(IF(ISNUMBER(Suppliers!F10),Suppliers!F10,DATE(YEAR(TODAY()),MONTH(TODAY()),1))),12)=0,1,0),IF(Suppliers!E10="One-time",IF(21=0,1,0),1)))))),"")</f>
        <v/>
      </c>
      <c r="AB12" s="10" t="str">
        <f ca="1">IFERROR(IF(OR(22&gt;=$B$1,Suppliers!A10="",NOT(ISNUMBER(Suppliers!D10)),Suppliers!L10="Expired",Suppliers!L10="Terminate"),"",Suppliers!D10*-1*IF(Suppliers!E10="Monthly",IF(AND(ISNUMBER(Suppliers!G10),(YEAR(EDATE(DATE(YEAR(TODAY()),MONTH(TODAY()),1),22))*12+MONTH(EDATE(DATE(YEAR(TODAY()),MONTH(TODAY()),1),22)))&gt;(YEAR(Suppliers!G10)*12+MONTH(Suppliers!G10))),"",1),IF(Suppliers!E10="Quarterly",IF(MOD((YEAR(EDATE(DATE(YEAR(TODAY()),MONTH(TODAY()),1),22))-YEAR(IF(ISNUMBER(Suppliers!F10),Suppliers!F10,DATE(YEAR(TODAY()),MONTH(TODAY()),1))))*12+MONTH(EDATE(DATE(YEAR(TODAY()),MONTH(TODAY()),1),22))-MONTH(IF(ISNUMBER(Suppliers!F10),Suppliers!F10,DATE(YEAR(TODAY()),MONTH(TODAY()),1))),3)=0,1,0),IF(Suppliers!E10="Semi-annual",IF(MOD((YEAR(EDATE(DATE(YEAR(TODAY()),MONTH(TODAY()),1),22))-YEAR(IF(ISNUMBER(Suppliers!F10),Suppliers!F10,DATE(YEAR(TODAY()),MONTH(TODAY()),1))))*12+MONTH(EDATE(DATE(YEAR(TODAY()),MONTH(TODAY()),1),22))-MONTH(IF(ISNUMBER(Suppliers!F10),Suppliers!F10,DATE(YEAR(TODAY()),MONTH(TODAY()),1))),6)=0,1,0),IF(Suppliers!E10="Annual",IF(MOD((YEAR(EDATE(DATE(YEAR(TODAY()),MONTH(TODAY()),1),22))-YEAR(IF(ISNUMBER(Suppliers!F10),Suppliers!F10,DATE(YEAR(TODAY()),MONTH(TODAY()),1))))*12+MONTH(EDATE(DATE(YEAR(TODAY()),MONTH(TODAY()),1),22))-MONTH(IF(ISNUMBER(Suppliers!F10),Suppliers!F10,DATE(YEAR(TODAY()),MONTH(TODAY()),1))),12)=0,1,0),IF(Suppliers!E10="One-time",IF(22=0,1,0),1)))))),"")</f>
        <v/>
      </c>
      <c r="AC12" s="10" t="str">
        <f ca="1">IFERROR(IF(OR(23&gt;=$B$1,Suppliers!A10="",NOT(ISNUMBER(Suppliers!D10)),Suppliers!L10="Expired",Suppliers!L10="Terminate"),"",Suppliers!D10*-1*IF(Suppliers!E10="Monthly",IF(AND(ISNUMBER(Suppliers!G10),(YEAR(EDATE(DATE(YEAR(TODAY()),MONTH(TODAY()),1),23))*12+MONTH(EDATE(DATE(YEAR(TODAY()),MONTH(TODAY()),1),23)))&gt;(YEAR(Suppliers!G10)*12+MONTH(Suppliers!G10))),"",1),IF(Suppliers!E10="Quarterly",IF(MOD((YEAR(EDATE(DATE(YEAR(TODAY()),MONTH(TODAY()),1),23))-YEAR(IF(ISNUMBER(Suppliers!F10),Suppliers!F10,DATE(YEAR(TODAY()),MONTH(TODAY()),1))))*12+MONTH(EDATE(DATE(YEAR(TODAY()),MONTH(TODAY()),1),23))-MONTH(IF(ISNUMBER(Suppliers!F10),Suppliers!F10,DATE(YEAR(TODAY()),MONTH(TODAY()),1))),3)=0,1,0),IF(Suppliers!E10="Semi-annual",IF(MOD((YEAR(EDATE(DATE(YEAR(TODAY()),MONTH(TODAY()),1),23))-YEAR(IF(ISNUMBER(Suppliers!F10),Suppliers!F10,DATE(YEAR(TODAY()),MONTH(TODAY()),1))))*12+MONTH(EDATE(DATE(YEAR(TODAY()),MONTH(TODAY()),1),23))-MONTH(IF(ISNUMBER(Suppliers!F10),Suppliers!F10,DATE(YEAR(TODAY()),MONTH(TODAY()),1))),6)=0,1,0),IF(Suppliers!E10="Annual",IF(MOD((YEAR(EDATE(DATE(YEAR(TODAY()),MONTH(TODAY()),1),23))-YEAR(IF(ISNUMBER(Suppliers!F10),Suppliers!F10,DATE(YEAR(TODAY()),MONTH(TODAY()),1))))*12+MONTH(EDATE(DATE(YEAR(TODAY()),MONTH(TODAY()),1),23))-MONTH(IF(ISNUMBER(Suppliers!F10),Suppliers!F10,DATE(YEAR(TODAY()),MONTH(TODAY()),1))),12)=0,1,0),IF(Suppliers!E10="One-time",IF(23=0,1,0),1)))))),"")</f>
        <v/>
      </c>
    </row>
    <row r="13" spans="1:29" ht="15" customHeight="1" x14ac:dyDescent="0.35">
      <c r="A13" s="4" t="s">
        <v>80</v>
      </c>
      <c r="B13" s="4" t="str">
        <f>IF(Suppliers!A11="","",Suppliers!A11)</f>
        <v>Kappa Telecom GmbH</v>
      </c>
      <c r="C13" s="10">
        <f>IF(Suppliers!C11="","",Suppliers!C11)</f>
        <v>462.18</v>
      </c>
      <c r="D13" s="10">
        <f>IF(Suppliers!D11="","",Suppliers!D11)</f>
        <v>550</v>
      </c>
      <c r="E13" s="4" t="str">
        <f>IF(Suppliers!E11="","",Suppliers!E11)</f>
        <v>Monthly</v>
      </c>
      <c r="F13" s="10">
        <f ca="1">IFERROR(IF(OR(0&gt;=$B$1,Suppliers!A11="",NOT(ISNUMBER(Suppliers!D11)),Suppliers!L11="Expired",Suppliers!L11="Terminate"),"",Suppliers!D11*-1*IF(Suppliers!E11="Monthly",IF(AND(ISNUMBER(Suppliers!G11),(YEAR(EDATE(DATE(YEAR(TODAY()),MONTH(TODAY()),1),0))*12+MONTH(EDATE(DATE(YEAR(TODAY()),MONTH(TODAY()),1),0)))&gt;(YEAR(Suppliers!G11)*12+MONTH(Suppliers!G11))),"",1),IF(Suppliers!E11="Quarterly",IF(MOD((YEAR(EDATE(DATE(YEAR(TODAY()),MONTH(TODAY()),1),0))-YEAR(IF(ISNUMBER(Suppliers!F11),Suppliers!F11,DATE(YEAR(TODAY()),MONTH(TODAY()),1))))*12+MONTH(EDATE(DATE(YEAR(TODAY()),MONTH(TODAY()),1),0))-MONTH(IF(ISNUMBER(Suppliers!F11),Suppliers!F11,DATE(YEAR(TODAY()),MONTH(TODAY()),1))),3)=0,1,0),IF(Suppliers!E11="Semi-annual",IF(MOD((YEAR(EDATE(DATE(YEAR(TODAY()),MONTH(TODAY()),1),0))-YEAR(IF(ISNUMBER(Suppliers!F11),Suppliers!F11,DATE(YEAR(TODAY()),MONTH(TODAY()),1))))*12+MONTH(EDATE(DATE(YEAR(TODAY()),MONTH(TODAY()),1),0))-MONTH(IF(ISNUMBER(Suppliers!F11),Suppliers!F11,DATE(YEAR(TODAY()),MONTH(TODAY()),1))),6)=0,1,0),IF(Suppliers!E11="Annual",IF(MOD((YEAR(EDATE(DATE(YEAR(TODAY()),MONTH(TODAY()),1),0))-YEAR(IF(ISNUMBER(Suppliers!F11),Suppliers!F11,DATE(YEAR(TODAY()),MONTH(TODAY()),1))))*12+MONTH(EDATE(DATE(YEAR(TODAY()),MONTH(TODAY()),1),0))-MONTH(IF(ISNUMBER(Suppliers!F11),Suppliers!F11,DATE(YEAR(TODAY()),MONTH(TODAY()),1))),12)=0,1,0),IF(Suppliers!E11="One-time",IF(0=0,1,0),1)))))),"")</f>
        <v>-550</v>
      </c>
      <c r="G13" s="10">
        <f ca="1">IFERROR(IF(OR(1&gt;=$B$1,Suppliers!A11="",NOT(ISNUMBER(Suppliers!D11)),Suppliers!L11="Expired",Suppliers!L11="Terminate"),"",Suppliers!D11*-1*IF(Suppliers!E11="Monthly",IF(AND(ISNUMBER(Suppliers!G11),(YEAR(EDATE(DATE(YEAR(TODAY()),MONTH(TODAY()),1),1))*12+MONTH(EDATE(DATE(YEAR(TODAY()),MONTH(TODAY()),1),1)))&gt;(YEAR(Suppliers!G11)*12+MONTH(Suppliers!G11))),"",1),IF(Suppliers!E11="Quarterly",IF(MOD((YEAR(EDATE(DATE(YEAR(TODAY()),MONTH(TODAY()),1),1))-YEAR(IF(ISNUMBER(Suppliers!F11),Suppliers!F11,DATE(YEAR(TODAY()),MONTH(TODAY()),1))))*12+MONTH(EDATE(DATE(YEAR(TODAY()),MONTH(TODAY()),1),1))-MONTH(IF(ISNUMBER(Suppliers!F11),Suppliers!F11,DATE(YEAR(TODAY()),MONTH(TODAY()),1))),3)=0,1,0),IF(Suppliers!E11="Semi-annual",IF(MOD((YEAR(EDATE(DATE(YEAR(TODAY()),MONTH(TODAY()),1),1))-YEAR(IF(ISNUMBER(Suppliers!F11),Suppliers!F11,DATE(YEAR(TODAY()),MONTH(TODAY()),1))))*12+MONTH(EDATE(DATE(YEAR(TODAY()),MONTH(TODAY()),1),1))-MONTH(IF(ISNUMBER(Suppliers!F11),Suppliers!F11,DATE(YEAR(TODAY()),MONTH(TODAY()),1))),6)=0,1,0),IF(Suppliers!E11="Annual",IF(MOD((YEAR(EDATE(DATE(YEAR(TODAY()),MONTH(TODAY()),1),1))-YEAR(IF(ISNUMBER(Suppliers!F11),Suppliers!F11,DATE(YEAR(TODAY()),MONTH(TODAY()),1))))*12+MONTH(EDATE(DATE(YEAR(TODAY()),MONTH(TODAY()),1),1))-MONTH(IF(ISNUMBER(Suppliers!F11),Suppliers!F11,DATE(YEAR(TODAY()),MONTH(TODAY()),1))),12)=0,1,0),IF(Suppliers!E11="One-time",IF(1=0,1,0),1)))))),"")</f>
        <v>-550</v>
      </c>
      <c r="H13" s="10">
        <f ca="1">IFERROR(IF(OR(2&gt;=$B$1,Suppliers!A11="",NOT(ISNUMBER(Suppliers!D11)),Suppliers!L11="Expired",Suppliers!L11="Terminate"),"",Suppliers!D11*-1*IF(Suppliers!E11="Monthly",IF(AND(ISNUMBER(Suppliers!G11),(YEAR(EDATE(DATE(YEAR(TODAY()),MONTH(TODAY()),1),2))*12+MONTH(EDATE(DATE(YEAR(TODAY()),MONTH(TODAY()),1),2)))&gt;(YEAR(Suppliers!G11)*12+MONTH(Suppliers!G11))),"",1),IF(Suppliers!E11="Quarterly",IF(MOD((YEAR(EDATE(DATE(YEAR(TODAY()),MONTH(TODAY()),1),2))-YEAR(IF(ISNUMBER(Suppliers!F11),Suppliers!F11,DATE(YEAR(TODAY()),MONTH(TODAY()),1))))*12+MONTH(EDATE(DATE(YEAR(TODAY()),MONTH(TODAY()),1),2))-MONTH(IF(ISNUMBER(Suppliers!F11),Suppliers!F11,DATE(YEAR(TODAY()),MONTH(TODAY()),1))),3)=0,1,0),IF(Suppliers!E11="Semi-annual",IF(MOD((YEAR(EDATE(DATE(YEAR(TODAY()),MONTH(TODAY()),1),2))-YEAR(IF(ISNUMBER(Suppliers!F11),Suppliers!F11,DATE(YEAR(TODAY()),MONTH(TODAY()),1))))*12+MONTH(EDATE(DATE(YEAR(TODAY()),MONTH(TODAY()),1),2))-MONTH(IF(ISNUMBER(Suppliers!F11),Suppliers!F11,DATE(YEAR(TODAY()),MONTH(TODAY()),1))),6)=0,1,0),IF(Suppliers!E11="Annual",IF(MOD((YEAR(EDATE(DATE(YEAR(TODAY()),MONTH(TODAY()),1),2))-YEAR(IF(ISNUMBER(Suppliers!F11),Suppliers!F11,DATE(YEAR(TODAY()),MONTH(TODAY()),1))))*12+MONTH(EDATE(DATE(YEAR(TODAY()),MONTH(TODAY()),1),2))-MONTH(IF(ISNUMBER(Suppliers!F11),Suppliers!F11,DATE(YEAR(TODAY()),MONTH(TODAY()),1))),12)=0,1,0),IF(Suppliers!E11="One-time",IF(2=0,1,0),1)))))),"")</f>
        <v>-550</v>
      </c>
      <c r="I13" s="10" t="str">
        <f ca="1">IFERROR(IF(OR(3&gt;=$B$1,Suppliers!A11="",NOT(ISNUMBER(Suppliers!D11)),Suppliers!L11="Expired",Suppliers!L11="Terminate"),"",Suppliers!D11*-1*IF(Suppliers!E11="Monthly",IF(AND(ISNUMBER(Suppliers!G11),(YEAR(EDATE(DATE(YEAR(TODAY()),MONTH(TODAY()),1),3))*12+MONTH(EDATE(DATE(YEAR(TODAY()),MONTH(TODAY()),1),3)))&gt;(YEAR(Suppliers!G11)*12+MONTH(Suppliers!G11))),"",1),IF(Suppliers!E11="Quarterly",IF(MOD((YEAR(EDATE(DATE(YEAR(TODAY()),MONTH(TODAY()),1),3))-YEAR(IF(ISNUMBER(Suppliers!F11),Suppliers!F11,DATE(YEAR(TODAY()),MONTH(TODAY()),1))))*12+MONTH(EDATE(DATE(YEAR(TODAY()),MONTH(TODAY()),1),3))-MONTH(IF(ISNUMBER(Suppliers!F11),Suppliers!F11,DATE(YEAR(TODAY()),MONTH(TODAY()),1))),3)=0,1,0),IF(Suppliers!E11="Semi-annual",IF(MOD((YEAR(EDATE(DATE(YEAR(TODAY()),MONTH(TODAY()),1),3))-YEAR(IF(ISNUMBER(Suppliers!F11),Suppliers!F11,DATE(YEAR(TODAY()),MONTH(TODAY()),1))))*12+MONTH(EDATE(DATE(YEAR(TODAY()),MONTH(TODAY()),1),3))-MONTH(IF(ISNUMBER(Suppliers!F11),Suppliers!F11,DATE(YEAR(TODAY()),MONTH(TODAY()),1))),6)=0,1,0),IF(Suppliers!E11="Annual",IF(MOD((YEAR(EDATE(DATE(YEAR(TODAY()),MONTH(TODAY()),1),3))-YEAR(IF(ISNUMBER(Suppliers!F11),Suppliers!F11,DATE(YEAR(TODAY()),MONTH(TODAY()),1))))*12+MONTH(EDATE(DATE(YEAR(TODAY()),MONTH(TODAY()),1),3))-MONTH(IF(ISNUMBER(Suppliers!F11),Suppliers!F11,DATE(YEAR(TODAY()),MONTH(TODAY()),1))),12)=0,1,0),IF(Suppliers!E11="One-time",IF(3=0,1,0),1)))))),"")</f>
        <v/>
      </c>
      <c r="J13" s="10" t="str">
        <f ca="1">IFERROR(IF(OR(4&gt;=$B$1,Suppliers!A11="",NOT(ISNUMBER(Suppliers!D11)),Suppliers!L11="Expired",Suppliers!L11="Terminate"),"",Suppliers!D11*-1*IF(Suppliers!E11="Monthly",IF(AND(ISNUMBER(Suppliers!G11),(YEAR(EDATE(DATE(YEAR(TODAY()),MONTH(TODAY()),1),4))*12+MONTH(EDATE(DATE(YEAR(TODAY()),MONTH(TODAY()),1),4)))&gt;(YEAR(Suppliers!G11)*12+MONTH(Suppliers!G11))),"",1),IF(Suppliers!E11="Quarterly",IF(MOD((YEAR(EDATE(DATE(YEAR(TODAY()),MONTH(TODAY()),1),4))-YEAR(IF(ISNUMBER(Suppliers!F11),Suppliers!F11,DATE(YEAR(TODAY()),MONTH(TODAY()),1))))*12+MONTH(EDATE(DATE(YEAR(TODAY()),MONTH(TODAY()),1),4))-MONTH(IF(ISNUMBER(Suppliers!F11),Suppliers!F11,DATE(YEAR(TODAY()),MONTH(TODAY()),1))),3)=0,1,0),IF(Suppliers!E11="Semi-annual",IF(MOD((YEAR(EDATE(DATE(YEAR(TODAY()),MONTH(TODAY()),1),4))-YEAR(IF(ISNUMBER(Suppliers!F11),Suppliers!F11,DATE(YEAR(TODAY()),MONTH(TODAY()),1))))*12+MONTH(EDATE(DATE(YEAR(TODAY()),MONTH(TODAY()),1),4))-MONTH(IF(ISNUMBER(Suppliers!F11),Suppliers!F11,DATE(YEAR(TODAY()),MONTH(TODAY()),1))),6)=0,1,0),IF(Suppliers!E11="Annual",IF(MOD((YEAR(EDATE(DATE(YEAR(TODAY()),MONTH(TODAY()),1),4))-YEAR(IF(ISNUMBER(Suppliers!F11),Suppliers!F11,DATE(YEAR(TODAY()),MONTH(TODAY()),1))))*12+MONTH(EDATE(DATE(YEAR(TODAY()),MONTH(TODAY()),1),4))-MONTH(IF(ISNUMBER(Suppliers!F11),Suppliers!F11,DATE(YEAR(TODAY()),MONTH(TODAY()),1))),12)=0,1,0),IF(Suppliers!E11="One-time",IF(4=0,1,0),1)))))),"")</f>
        <v/>
      </c>
      <c r="K13" s="10" t="str">
        <f ca="1">IFERROR(IF(OR(5&gt;=$B$1,Suppliers!A11="",NOT(ISNUMBER(Suppliers!D11)),Suppliers!L11="Expired",Suppliers!L11="Terminate"),"",Suppliers!D11*-1*IF(Suppliers!E11="Monthly",IF(AND(ISNUMBER(Suppliers!G11),(YEAR(EDATE(DATE(YEAR(TODAY()),MONTH(TODAY()),1),5))*12+MONTH(EDATE(DATE(YEAR(TODAY()),MONTH(TODAY()),1),5)))&gt;(YEAR(Suppliers!G11)*12+MONTH(Suppliers!G11))),"",1),IF(Suppliers!E11="Quarterly",IF(MOD((YEAR(EDATE(DATE(YEAR(TODAY()),MONTH(TODAY()),1),5))-YEAR(IF(ISNUMBER(Suppliers!F11),Suppliers!F11,DATE(YEAR(TODAY()),MONTH(TODAY()),1))))*12+MONTH(EDATE(DATE(YEAR(TODAY()),MONTH(TODAY()),1),5))-MONTH(IF(ISNUMBER(Suppliers!F11),Suppliers!F11,DATE(YEAR(TODAY()),MONTH(TODAY()),1))),3)=0,1,0),IF(Suppliers!E11="Semi-annual",IF(MOD((YEAR(EDATE(DATE(YEAR(TODAY()),MONTH(TODAY()),1),5))-YEAR(IF(ISNUMBER(Suppliers!F11),Suppliers!F11,DATE(YEAR(TODAY()),MONTH(TODAY()),1))))*12+MONTH(EDATE(DATE(YEAR(TODAY()),MONTH(TODAY()),1),5))-MONTH(IF(ISNUMBER(Suppliers!F11),Suppliers!F11,DATE(YEAR(TODAY()),MONTH(TODAY()),1))),6)=0,1,0),IF(Suppliers!E11="Annual",IF(MOD((YEAR(EDATE(DATE(YEAR(TODAY()),MONTH(TODAY()),1),5))-YEAR(IF(ISNUMBER(Suppliers!F11),Suppliers!F11,DATE(YEAR(TODAY()),MONTH(TODAY()),1))))*12+MONTH(EDATE(DATE(YEAR(TODAY()),MONTH(TODAY()),1),5))-MONTH(IF(ISNUMBER(Suppliers!F11),Suppliers!F11,DATE(YEAR(TODAY()),MONTH(TODAY()),1))),12)=0,1,0),IF(Suppliers!E11="One-time",IF(5=0,1,0),1)))))),"")</f>
        <v/>
      </c>
      <c r="L13" s="10" t="str">
        <f ca="1">IFERROR(IF(OR(6&gt;=$B$1,Suppliers!A11="",NOT(ISNUMBER(Suppliers!D11)),Suppliers!L11="Expired",Suppliers!L11="Terminate"),"",Suppliers!D11*-1*IF(Suppliers!E11="Monthly",IF(AND(ISNUMBER(Suppliers!G11),(YEAR(EDATE(DATE(YEAR(TODAY()),MONTH(TODAY()),1),6))*12+MONTH(EDATE(DATE(YEAR(TODAY()),MONTH(TODAY()),1),6)))&gt;(YEAR(Suppliers!G11)*12+MONTH(Suppliers!G11))),"",1),IF(Suppliers!E11="Quarterly",IF(MOD((YEAR(EDATE(DATE(YEAR(TODAY()),MONTH(TODAY()),1),6))-YEAR(IF(ISNUMBER(Suppliers!F11),Suppliers!F11,DATE(YEAR(TODAY()),MONTH(TODAY()),1))))*12+MONTH(EDATE(DATE(YEAR(TODAY()),MONTH(TODAY()),1),6))-MONTH(IF(ISNUMBER(Suppliers!F11),Suppliers!F11,DATE(YEAR(TODAY()),MONTH(TODAY()),1))),3)=0,1,0),IF(Suppliers!E11="Semi-annual",IF(MOD((YEAR(EDATE(DATE(YEAR(TODAY()),MONTH(TODAY()),1),6))-YEAR(IF(ISNUMBER(Suppliers!F11),Suppliers!F11,DATE(YEAR(TODAY()),MONTH(TODAY()),1))))*12+MONTH(EDATE(DATE(YEAR(TODAY()),MONTH(TODAY()),1),6))-MONTH(IF(ISNUMBER(Suppliers!F11),Suppliers!F11,DATE(YEAR(TODAY()),MONTH(TODAY()),1))),6)=0,1,0),IF(Suppliers!E11="Annual",IF(MOD((YEAR(EDATE(DATE(YEAR(TODAY()),MONTH(TODAY()),1),6))-YEAR(IF(ISNUMBER(Suppliers!F11),Suppliers!F11,DATE(YEAR(TODAY()),MONTH(TODAY()),1))))*12+MONTH(EDATE(DATE(YEAR(TODAY()),MONTH(TODAY()),1),6))-MONTH(IF(ISNUMBER(Suppliers!F11),Suppliers!F11,DATE(YEAR(TODAY()),MONTH(TODAY()),1))),12)=0,1,0),IF(Suppliers!E11="One-time",IF(6=0,1,0),1)))))),"")</f>
        <v/>
      </c>
      <c r="M13" s="10" t="str">
        <f ca="1">IFERROR(IF(OR(7&gt;=$B$1,Suppliers!A11="",NOT(ISNUMBER(Suppliers!D11)),Suppliers!L11="Expired",Suppliers!L11="Terminate"),"",Suppliers!D11*-1*IF(Suppliers!E11="Monthly",IF(AND(ISNUMBER(Suppliers!G11),(YEAR(EDATE(DATE(YEAR(TODAY()),MONTH(TODAY()),1),7))*12+MONTH(EDATE(DATE(YEAR(TODAY()),MONTH(TODAY()),1),7)))&gt;(YEAR(Suppliers!G11)*12+MONTH(Suppliers!G11))),"",1),IF(Suppliers!E11="Quarterly",IF(MOD((YEAR(EDATE(DATE(YEAR(TODAY()),MONTH(TODAY()),1),7))-YEAR(IF(ISNUMBER(Suppliers!F11),Suppliers!F11,DATE(YEAR(TODAY()),MONTH(TODAY()),1))))*12+MONTH(EDATE(DATE(YEAR(TODAY()),MONTH(TODAY()),1),7))-MONTH(IF(ISNUMBER(Suppliers!F11),Suppliers!F11,DATE(YEAR(TODAY()),MONTH(TODAY()),1))),3)=0,1,0),IF(Suppliers!E11="Semi-annual",IF(MOD((YEAR(EDATE(DATE(YEAR(TODAY()),MONTH(TODAY()),1),7))-YEAR(IF(ISNUMBER(Suppliers!F11),Suppliers!F11,DATE(YEAR(TODAY()),MONTH(TODAY()),1))))*12+MONTH(EDATE(DATE(YEAR(TODAY()),MONTH(TODAY()),1),7))-MONTH(IF(ISNUMBER(Suppliers!F11),Suppliers!F11,DATE(YEAR(TODAY()),MONTH(TODAY()),1))),6)=0,1,0),IF(Suppliers!E11="Annual",IF(MOD((YEAR(EDATE(DATE(YEAR(TODAY()),MONTH(TODAY()),1),7))-YEAR(IF(ISNUMBER(Suppliers!F11),Suppliers!F11,DATE(YEAR(TODAY()),MONTH(TODAY()),1))))*12+MONTH(EDATE(DATE(YEAR(TODAY()),MONTH(TODAY()),1),7))-MONTH(IF(ISNUMBER(Suppliers!F11),Suppliers!F11,DATE(YEAR(TODAY()),MONTH(TODAY()),1))),12)=0,1,0),IF(Suppliers!E11="One-time",IF(7=0,1,0),1)))))),"")</f>
        <v/>
      </c>
      <c r="N13" s="10" t="str">
        <f ca="1">IFERROR(IF(OR(8&gt;=$B$1,Suppliers!A11="",NOT(ISNUMBER(Suppliers!D11)),Suppliers!L11="Expired",Suppliers!L11="Terminate"),"",Suppliers!D11*-1*IF(Suppliers!E11="Monthly",IF(AND(ISNUMBER(Suppliers!G11),(YEAR(EDATE(DATE(YEAR(TODAY()),MONTH(TODAY()),1),8))*12+MONTH(EDATE(DATE(YEAR(TODAY()),MONTH(TODAY()),1),8)))&gt;(YEAR(Suppliers!G11)*12+MONTH(Suppliers!G11))),"",1),IF(Suppliers!E11="Quarterly",IF(MOD((YEAR(EDATE(DATE(YEAR(TODAY()),MONTH(TODAY()),1),8))-YEAR(IF(ISNUMBER(Suppliers!F11),Suppliers!F11,DATE(YEAR(TODAY()),MONTH(TODAY()),1))))*12+MONTH(EDATE(DATE(YEAR(TODAY()),MONTH(TODAY()),1),8))-MONTH(IF(ISNUMBER(Suppliers!F11),Suppliers!F11,DATE(YEAR(TODAY()),MONTH(TODAY()),1))),3)=0,1,0),IF(Suppliers!E11="Semi-annual",IF(MOD((YEAR(EDATE(DATE(YEAR(TODAY()),MONTH(TODAY()),1),8))-YEAR(IF(ISNUMBER(Suppliers!F11),Suppliers!F11,DATE(YEAR(TODAY()),MONTH(TODAY()),1))))*12+MONTH(EDATE(DATE(YEAR(TODAY()),MONTH(TODAY()),1),8))-MONTH(IF(ISNUMBER(Suppliers!F11),Suppliers!F11,DATE(YEAR(TODAY()),MONTH(TODAY()),1))),6)=0,1,0),IF(Suppliers!E11="Annual",IF(MOD((YEAR(EDATE(DATE(YEAR(TODAY()),MONTH(TODAY()),1),8))-YEAR(IF(ISNUMBER(Suppliers!F11),Suppliers!F11,DATE(YEAR(TODAY()),MONTH(TODAY()),1))))*12+MONTH(EDATE(DATE(YEAR(TODAY()),MONTH(TODAY()),1),8))-MONTH(IF(ISNUMBER(Suppliers!F11),Suppliers!F11,DATE(YEAR(TODAY()),MONTH(TODAY()),1))),12)=0,1,0),IF(Suppliers!E11="One-time",IF(8=0,1,0),1)))))),"")</f>
        <v/>
      </c>
      <c r="O13" s="10" t="str">
        <f ca="1">IFERROR(IF(OR(9&gt;=$B$1,Suppliers!A11="",NOT(ISNUMBER(Suppliers!D11)),Suppliers!L11="Expired",Suppliers!L11="Terminate"),"",Suppliers!D11*-1*IF(Suppliers!E11="Monthly",IF(AND(ISNUMBER(Suppliers!G11),(YEAR(EDATE(DATE(YEAR(TODAY()),MONTH(TODAY()),1),9))*12+MONTH(EDATE(DATE(YEAR(TODAY()),MONTH(TODAY()),1),9)))&gt;(YEAR(Suppliers!G11)*12+MONTH(Suppliers!G11))),"",1),IF(Suppliers!E11="Quarterly",IF(MOD((YEAR(EDATE(DATE(YEAR(TODAY()),MONTH(TODAY()),1),9))-YEAR(IF(ISNUMBER(Suppliers!F11),Suppliers!F11,DATE(YEAR(TODAY()),MONTH(TODAY()),1))))*12+MONTH(EDATE(DATE(YEAR(TODAY()),MONTH(TODAY()),1),9))-MONTH(IF(ISNUMBER(Suppliers!F11),Suppliers!F11,DATE(YEAR(TODAY()),MONTH(TODAY()),1))),3)=0,1,0),IF(Suppliers!E11="Semi-annual",IF(MOD((YEAR(EDATE(DATE(YEAR(TODAY()),MONTH(TODAY()),1),9))-YEAR(IF(ISNUMBER(Suppliers!F11),Suppliers!F11,DATE(YEAR(TODAY()),MONTH(TODAY()),1))))*12+MONTH(EDATE(DATE(YEAR(TODAY()),MONTH(TODAY()),1),9))-MONTH(IF(ISNUMBER(Suppliers!F11),Suppliers!F11,DATE(YEAR(TODAY()),MONTH(TODAY()),1))),6)=0,1,0),IF(Suppliers!E11="Annual",IF(MOD((YEAR(EDATE(DATE(YEAR(TODAY()),MONTH(TODAY()),1),9))-YEAR(IF(ISNUMBER(Suppliers!F11),Suppliers!F11,DATE(YEAR(TODAY()),MONTH(TODAY()),1))))*12+MONTH(EDATE(DATE(YEAR(TODAY()),MONTH(TODAY()),1),9))-MONTH(IF(ISNUMBER(Suppliers!F11),Suppliers!F11,DATE(YEAR(TODAY()),MONTH(TODAY()),1))),12)=0,1,0),IF(Suppliers!E11="One-time",IF(9=0,1,0),1)))))),"")</f>
        <v/>
      </c>
      <c r="P13" s="10" t="str">
        <f ca="1">IFERROR(IF(OR(10&gt;=$B$1,Suppliers!A11="",NOT(ISNUMBER(Suppliers!D11)),Suppliers!L11="Expired",Suppliers!L11="Terminate"),"",Suppliers!D11*-1*IF(Suppliers!E11="Monthly",IF(AND(ISNUMBER(Suppliers!G11),(YEAR(EDATE(DATE(YEAR(TODAY()),MONTH(TODAY()),1),10))*12+MONTH(EDATE(DATE(YEAR(TODAY()),MONTH(TODAY()),1),10)))&gt;(YEAR(Suppliers!G11)*12+MONTH(Suppliers!G11))),"",1),IF(Suppliers!E11="Quarterly",IF(MOD((YEAR(EDATE(DATE(YEAR(TODAY()),MONTH(TODAY()),1),10))-YEAR(IF(ISNUMBER(Suppliers!F11),Suppliers!F11,DATE(YEAR(TODAY()),MONTH(TODAY()),1))))*12+MONTH(EDATE(DATE(YEAR(TODAY()),MONTH(TODAY()),1),10))-MONTH(IF(ISNUMBER(Suppliers!F11),Suppliers!F11,DATE(YEAR(TODAY()),MONTH(TODAY()),1))),3)=0,1,0),IF(Suppliers!E11="Semi-annual",IF(MOD((YEAR(EDATE(DATE(YEAR(TODAY()),MONTH(TODAY()),1),10))-YEAR(IF(ISNUMBER(Suppliers!F11),Suppliers!F11,DATE(YEAR(TODAY()),MONTH(TODAY()),1))))*12+MONTH(EDATE(DATE(YEAR(TODAY()),MONTH(TODAY()),1),10))-MONTH(IF(ISNUMBER(Suppliers!F11),Suppliers!F11,DATE(YEAR(TODAY()),MONTH(TODAY()),1))),6)=0,1,0),IF(Suppliers!E11="Annual",IF(MOD((YEAR(EDATE(DATE(YEAR(TODAY()),MONTH(TODAY()),1),10))-YEAR(IF(ISNUMBER(Suppliers!F11),Suppliers!F11,DATE(YEAR(TODAY()),MONTH(TODAY()),1))))*12+MONTH(EDATE(DATE(YEAR(TODAY()),MONTH(TODAY()),1),10))-MONTH(IF(ISNUMBER(Suppliers!F11),Suppliers!F11,DATE(YEAR(TODAY()),MONTH(TODAY()),1))),12)=0,1,0),IF(Suppliers!E11="One-time",IF(10=0,1,0),1)))))),"")</f>
        <v/>
      </c>
      <c r="Q13" s="10" t="str">
        <f ca="1">IFERROR(IF(OR(11&gt;=$B$1,Suppliers!A11="",NOT(ISNUMBER(Suppliers!D11)),Suppliers!L11="Expired",Suppliers!L11="Terminate"),"",Suppliers!D11*-1*IF(Suppliers!E11="Monthly",IF(AND(ISNUMBER(Suppliers!G11),(YEAR(EDATE(DATE(YEAR(TODAY()),MONTH(TODAY()),1),11))*12+MONTH(EDATE(DATE(YEAR(TODAY()),MONTH(TODAY()),1),11)))&gt;(YEAR(Suppliers!G11)*12+MONTH(Suppliers!G11))),"",1),IF(Suppliers!E11="Quarterly",IF(MOD((YEAR(EDATE(DATE(YEAR(TODAY()),MONTH(TODAY()),1),11))-YEAR(IF(ISNUMBER(Suppliers!F11),Suppliers!F11,DATE(YEAR(TODAY()),MONTH(TODAY()),1))))*12+MONTH(EDATE(DATE(YEAR(TODAY()),MONTH(TODAY()),1),11))-MONTH(IF(ISNUMBER(Suppliers!F11),Suppliers!F11,DATE(YEAR(TODAY()),MONTH(TODAY()),1))),3)=0,1,0),IF(Suppliers!E11="Semi-annual",IF(MOD((YEAR(EDATE(DATE(YEAR(TODAY()),MONTH(TODAY()),1),11))-YEAR(IF(ISNUMBER(Suppliers!F11),Suppliers!F11,DATE(YEAR(TODAY()),MONTH(TODAY()),1))))*12+MONTH(EDATE(DATE(YEAR(TODAY()),MONTH(TODAY()),1),11))-MONTH(IF(ISNUMBER(Suppliers!F11),Suppliers!F11,DATE(YEAR(TODAY()),MONTH(TODAY()),1))),6)=0,1,0),IF(Suppliers!E11="Annual",IF(MOD((YEAR(EDATE(DATE(YEAR(TODAY()),MONTH(TODAY()),1),11))-YEAR(IF(ISNUMBER(Suppliers!F11),Suppliers!F11,DATE(YEAR(TODAY()),MONTH(TODAY()),1))))*12+MONTH(EDATE(DATE(YEAR(TODAY()),MONTH(TODAY()),1),11))-MONTH(IF(ISNUMBER(Suppliers!F11),Suppliers!F11,DATE(YEAR(TODAY()),MONTH(TODAY()),1))),12)=0,1,0),IF(Suppliers!E11="One-time",IF(11=0,1,0),1)))))),"")</f>
        <v/>
      </c>
      <c r="R13" s="10" t="str">
        <f ca="1">IFERROR(IF(OR(12&gt;=$B$1,Suppliers!A11="",NOT(ISNUMBER(Suppliers!D11)),Suppliers!L11="Expired",Suppliers!L11="Terminate"),"",Suppliers!D11*-1*IF(Suppliers!E11="Monthly",IF(AND(ISNUMBER(Suppliers!G11),(YEAR(EDATE(DATE(YEAR(TODAY()),MONTH(TODAY()),1),12))*12+MONTH(EDATE(DATE(YEAR(TODAY()),MONTH(TODAY()),1),12)))&gt;(YEAR(Suppliers!G11)*12+MONTH(Suppliers!G11))),"",1),IF(Suppliers!E11="Quarterly",IF(MOD((YEAR(EDATE(DATE(YEAR(TODAY()),MONTH(TODAY()),1),12))-YEAR(IF(ISNUMBER(Suppliers!F11),Suppliers!F11,DATE(YEAR(TODAY()),MONTH(TODAY()),1))))*12+MONTH(EDATE(DATE(YEAR(TODAY()),MONTH(TODAY()),1),12))-MONTH(IF(ISNUMBER(Suppliers!F11),Suppliers!F11,DATE(YEAR(TODAY()),MONTH(TODAY()),1))),3)=0,1,0),IF(Suppliers!E11="Semi-annual",IF(MOD((YEAR(EDATE(DATE(YEAR(TODAY()),MONTH(TODAY()),1),12))-YEAR(IF(ISNUMBER(Suppliers!F11),Suppliers!F11,DATE(YEAR(TODAY()),MONTH(TODAY()),1))))*12+MONTH(EDATE(DATE(YEAR(TODAY()),MONTH(TODAY()),1),12))-MONTH(IF(ISNUMBER(Suppliers!F11),Suppliers!F11,DATE(YEAR(TODAY()),MONTH(TODAY()),1))),6)=0,1,0),IF(Suppliers!E11="Annual",IF(MOD((YEAR(EDATE(DATE(YEAR(TODAY()),MONTH(TODAY()),1),12))-YEAR(IF(ISNUMBER(Suppliers!F11),Suppliers!F11,DATE(YEAR(TODAY()),MONTH(TODAY()),1))))*12+MONTH(EDATE(DATE(YEAR(TODAY()),MONTH(TODAY()),1),12))-MONTH(IF(ISNUMBER(Suppliers!F11),Suppliers!F11,DATE(YEAR(TODAY()),MONTH(TODAY()),1))),12)=0,1,0),IF(Suppliers!E11="One-time",IF(12=0,1,0),1)))))),"")</f>
        <v/>
      </c>
      <c r="S13" s="10" t="str">
        <f ca="1">IFERROR(IF(OR(13&gt;=$B$1,Suppliers!A11="",NOT(ISNUMBER(Suppliers!D11)),Suppliers!L11="Expired",Suppliers!L11="Terminate"),"",Suppliers!D11*-1*IF(Suppliers!E11="Monthly",IF(AND(ISNUMBER(Suppliers!G11),(YEAR(EDATE(DATE(YEAR(TODAY()),MONTH(TODAY()),1),13))*12+MONTH(EDATE(DATE(YEAR(TODAY()),MONTH(TODAY()),1),13)))&gt;(YEAR(Suppliers!G11)*12+MONTH(Suppliers!G11))),"",1),IF(Suppliers!E11="Quarterly",IF(MOD((YEAR(EDATE(DATE(YEAR(TODAY()),MONTH(TODAY()),1),13))-YEAR(IF(ISNUMBER(Suppliers!F11),Suppliers!F11,DATE(YEAR(TODAY()),MONTH(TODAY()),1))))*12+MONTH(EDATE(DATE(YEAR(TODAY()),MONTH(TODAY()),1),13))-MONTH(IF(ISNUMBER(Suppliers!F11),Suppliers!F11,DATE(YEAR(TODAY()),MONTH(TODAY()),1))),3)=0,1,0),IF(Suppliers!E11="Semi-annual",IF(MOD((YEAR(EDATE(DATE(YEAR(TODAY()),MONTH(TODAY()),1),13))-YEAR(IF(ISNUMBER(Suppliers!F11),Suppliers!F11,DATE(YEAR(TODAY()),MONTH(TODAY()),1))))*12+MONTH(EDATE(DATE(YEAR(TODAY()),MONTH(TODAY()),1),13))-MONTH(IF(ISNUMBER(Suppliers!F11),Suppliers!F11,DATE(YEAR(TODAY()),MONTH(TODAY()),1))),6)=0,1,0),IF(Suppliers!E11="Annual",IF(MOD((YEAR(EDATE(DATE(YEAR(TODAY()),MONTH(TODAY()),1),13))-YEAR(IF(ISNUMBER(Suppliers!F11),Suppliers!F11,DATE(YEAR(TODAY()),MONTH(TODAY()),1))))*12+MONTH(EDATE(DATE(YEAR(TODAY()),MONTH(TODAY()),1),13))-MONTH(IF(ISNUMBER(Suppliers!F11),Suppliers!F11,DATE(YEAR(TODAY()),MONTH(TODAY()),1))),12)=0,1,0),IF(Suppliers!E11="One-time",IF(13=0,1,0),1)))))),"")</f>
        <v/>
      </c>
      <c r="T13" s="10" t="str">
        <f ca="1">IFERROR(IF(OR(14&gt;=$B$1,Suppliers!A11="",NOT(ISNUMBER(Suppliers!D11)),Suppliers!L11="Expired",Suppliers!L11="Terminate"),"",Suppliers!D11*-1*IF(Suppliers!E11="Monthly",IF(AND(ISNUMBER(Suppliers!G11),(YEAR(EDATE(DATE(YEAR(TODAY()),MONTH(TODAY()),1),14))*12+MONTH(EDATE(DATE(YEAR(TODAY()),MONTH(TODAY()),1),14)))&gt;(YEAR(Suppliers!G11)*12+MONTH(Suppliers!G11))),"",1),IF(Suppliers!E11="Quarterly",IF(MOD((YEAR(EDATE(DATE(YEAR(TODAY()),MONTH(TODAY()),1),14))-YEAR(IF(ISNUMBER(Suppliers!F11),Suppliers!F11,DATE(YEAR(TODAY()),MONTH(TODAY()),1))))*12+MONTH(EDATE(DATE(YEAR(TODAY()),MONTH(TODAY()),1),14))-MONTH(IF(ISNUMBER(Suppliers!F11),Suppliers!F11,DATE(YEAR(TODAY()),MONTH(TODAY()),1))),3)=0,1,0),IF(Suppliers!E11="Semi-annual",IF(MOD((YEAR(EDATE(DATE(YEAR(TODAY()),MONTH(TODAY()),1),14))-YEAR(IF(ISNUMBER(Suppliers!F11),Suppliers!F11,DATE(YEAR(TODAY()),MONTH(TODAY()),1))))*12+MONTH(EDATE(DATE(YEAR(TODAY()),MONTH(TODAY()),1),14))-MONTH(IF(ISNUMBER(Suppliers!F11),Suppliers!F11,DATE(YEAR(TODAY()),MONTH(TODAY()),1))),6)=0,1,0),IF(Suppliers!E11="Annual",IF(MOD((YEAR(EDATE(DATE(YEAR(TODAY()),MONTH(TODAY()),1),14))-YEAR(IF(ISNUMBER(Suppliers!F11),Suppliers!F11,DATE(YEAR(TODAY()),MONTH(TODAY()),1))))*12+MONTH(EDATE(DATE(YEAR(TODAY()),MONTH(TODAY()),1),14))-MONTH(IF(ISNUMBER(Suppliers!F11),Suppliers!F11,DATE(YEAR(TODAY()),MONTH(TODAY()),1))),12)=0,1,0),IF(Suppliers!E11="One-time",IF(14=0,1,0),1)))))),"")</f>
        <v/>
      </c>
      <c r="U13" s="10" t="str">
        <f ca="1">IFERROR(IF(OR(15&gt;=$B$1,Suppliers!A11="",NOT(ISNUMBER(Suppliers!D11)),Suppliers!L11="Expired",Suppliers!L11="Terminate"),"",Suppliers!D11*-1*IF(Suppliers!E11="Monthly",IF(AND(ISNUMBER(Suppliers!G11),(YEAR(EDATE(DATE(YEAR(TODAY()),MONTH(TODAY()),1),15))*12+MONTH(EDATE(DATE(YEAR(TODAY()),MONTH(TODAY()),1),15)))&gt;(YEAR(Suppliers!G11)*12+MONTH(Suppliers!G11))),"",1),IF(Suppliers!E11="Quarterly",IF(MOD((YEAR(EDATE(DATE(YEAR(TODAY()),MONTH(TODAY()),1),15))-YEAR(IF(ISNUMBER(Suppliers!F11),Suppliers!F11,DATE(YEAR(TODAY()),MONTH(TODAY()),1))))*12+MONTH(EDATE(DATE(YEAR(TODAY()),MONTH(TODAY()),1),15))-MONTH(IF(ISNUMBER(Suppliers!F11),Suppliers!F11,DATE(YEAR(TODAY()),MONTH(TODAY()),1))),3)=0,1,0),IF(Suppliers!E11="Semi-annual",IF(MOD((YEAR(EDATE(DATE(YEAR(TODAY()),MONTH(TODAY()),1),15))-YEAR(IF(ISNUMBER(Suppliers!F11),Suppliers!F11,DATE(YEAR(TODAY()),MONTH(TODAY()),1))))*12+MONTH(EDATE(DATE(YEAR(TODAY()),MONTH(TODAY()),1),15))-MONTH(IF(ISNUMBER(Suppliers!F11),Suppliers!F11,DATE(YEAR(TODAY()),MONTH(TODAY()),1))),6)=0,1,0),IF(Suppliers!E11="Annual",IF(MOD((YEAR(EDATE(DATE(YEAR(TODAY()),MONTH(TODAY()),1),15))-YEAR(IF(ISNUMBER(Suppliers!F11),Suppliers!F11,DATE(YEAR(TODAY()),MONTH(TODAY()),1))))*12+MONTH(EDATE(DATE(YEAR(TODAY()),MONTH(TODAY()),1),15))-MONTH(IF(ISNUMBER(Suppliers!F11),Suppliers!F11,DATE(YEAR(TODAY()),MONTH(TODAY()),1))),12)=0,1,0),IF(Suppliers!E11="One-time",IF(15=0,1,0),1)))))),"")</f>
        <v/>
      </c>
      <c r="V13" s="10" t="str">
        <f ca="1">IFERROR(IF(OR(16&gt;=$B$1,Suppliers!A11="",NOT(ISNUMBER(Suppliers!D11)),Suppliers!L11="Expired",Suppliers!L11="Terminate"),"",Suppliers!D11*-1*IF(Suppliers!E11="Monthly",IF(AND(ISNUMBER(Suppliers!G11),(YEAR(EDATE(DATE(YEAR(TODAY()),MONTH(TODAY()),1),16))*12+MONTH(EDATE(DATE(YEAR(TODAY()),MONTH(TODAY()),1),16)))&gt;(YEAR(Suppliers!G11)*12+MONTH(Suppliers!G11))),"",1),IF(Suppliers!E11="Quarterly",IF(MOD((YEAR(EDATE(DATE(YEAR(TODAY()),MONTH(TODAY()),1),16))-YEAR(IF(ISNUMBER(Suppliers!F11),Suppliers!F11,DATE(YEAR(TODAY()),MONTH(TODAY()),1))))*12+MONTH(EDATE(DATE(YEAR(TODAY()),MONTH(TODAY()),1),16))-MONTH(IF(ISNUMBER(Suppliers!F11),Suppliers!F11,DATE(YEAR(TODAY()),MONTH(TODAY()),1))),3)=0,1,0),IF(Suppliers!E11="Semi-annual",IF(MOD((YEAR(EDATE(DATE(YEAR(TODAY()),MONTH(TODAY()),1),16))-YEAR(IF(ISNUMBER(Suppliers!F11),Suppliers!F11,DATE(YEAR(TODAY()),MONTH(TODAY()),1))))*12+MONTH(EDATE(DATE(YEAR(TODAY()),MONTH(TODAY()),1),16))-MONTH(IF(ISNUMBER(Suppliers!F11),Suppliers!F11,DATE(YEAR(TODAY()),MONTH(TODAY()),1))),6)=0,1,0),IF(Suppliers!E11="Annual",IF(MOD((YEAR(EDATE(DATE(YEAR(TODAY()),MONTH(TODAY()),1),16))-YEAR(IF(ISNUMBER(Suppliers!F11),Suppliers!F11,DATE(YEAR(TODAY()),MONTH(TODAY()),1))))*12+MONTH(EDATE(DATE(YEAR(TODAY()),MONTH(TODAY()),1),16))-MONTH(IF(ISNUMBER(Suppliers!F11),Suppliers!F11,DATE(YEAR(TODAY()),MONTH(TODAY()),1))),12)=0,1,0),IF(Suppliers!E11="One-time",IF(16=0,1,0),1)))))),"")</f>
        <v/>
      </c>
      <c r="W13" s="10" t="str">
        <f ca="1">IFERROR(IF(OR(17&gt;=$B$1,Suppliers!A11="",NOT(ISNUMBER(Suppliers!D11)),Suppliers!L11="Expired",Suppliers!L11="Terminate"),"",Suppliers!D11*-1*IF(Suppliers!E11="Monthly",IF(AND(ISNUMBER(Suppliers!G11),(YEAR(EDATE(DATE(YEAR(TODAY()),MONTH(TODAY()),1),17))*12+MONTH(EDATE(DATE(YEAR(TODAY()),MONTH(TODAY()),1),17)))&gt;(YEAR(Suppliers!G11)*12+MONTH(Suppliers!G11))),"",1),IF(Suppliers!E11="Quarterly",IF(MOD((YEAR(EDATE(DATE(YEAR(TODAY()),MONTH(TODAY()),1),17))-YEAR(IF(ISNUMBER(Suppliers!F11),Suppliers!F11,DATE(YEAR(TODAY()),MONTH(TODAY()),1))))*12+MONTH(EDATE(DATE(YEAR(TODAY()),MONTH(TODAY()),1),17))-MONTH(IF(ISNUMBER(Suppliers!F11),Suppliers!F11,DATE(YEAR(TODAY()),MONTH(TODAY()),1))),3)=0,1,0),IF(Suppliers!E11="Semi-annual",IF(MOD((YEAR(EDATE(DATE(YEAR(TODAY()),MONTH(TODAY()),1),17))-YEAR(IF(ISNUMBER(Suppliers!F11),Suppliers!F11,DATE(YEAR(TODAY()),MONTH(TODAY()),1))))*12+MONTH(EDATE(DATE(YEAR(TODAY()),MONTH(TODAY()),1),17))-MONTH(IF(ISNUMBER(Suppliers!F11),Suppliers!F11,DATE(YEAR(TODAY()),MONTH(TODAY()),1))),6)=0,1,0),IF(Suppliers!E11="Annual",IF(MOD((YEAR(EDATE(DATE(YEAR(TODAY()),MONTH(TODAY()),1),17))-YEAR(IF(ISNUMBER(Suppliers!F11),Suppliers!F11,DATE(YEAR(TODAY()),MONTH(TODAY()),1))))*12+MONTH(EDATE(DATE(YEAR(TODAY()),MONTH(TODAY()),1),17))-MONTH(IF(ISNUMBER(Suppliers!F11),Suppliers!F11,DATE(YEAR(TODAY()),MONTH(TODAY()),1))),12)=0,1,0),IF(Suppliers!E11="One-time",IF(17=0,1,0),1)))))),"")</f>
        <v/>
      </c>
      <c r="X13" s="10" t="str">
        <f ca="1">IFERROR(IF(OR(18&gt;=$B$1,Suppliers!A11="",NOT(ISNUMBER(Suppliers!D11)),Suppliers!L11="Expired",Suppliers!L11="Terminate"),"",Suppliers!D11*-1*IF(Suppliers!E11="Monthly",IF(AND(ISNUMBER(Suppliers!G11),(YEAR(EDATE(DATE(YEAR(TODAY()),MONTH(TODAY()),1),18))*12+MONTH(EDATE(DATE(YEAR(TODAY()),MONTH(TODAY()),1),18)))&gt;(YEAR(Suppliers!G11)*12+MONTH(Suppliers!G11))),"",1),IF(Suppliers!E11="Quarterly",IF(MOD((YEAR(EDATE(DATE(YEAR(TODAY()),MONTH(TODAY()),1),18))-YEAR(IF(ISNUMBER(Suppliers!F11),Suppliers!F11,DATE(YEAR(TODAY()),MONTH(TODAY()),1))))*12+MONTH(EDATE(DATE(YEAR(TODAY()),MONTH(TODAY()),1),18))-MONTH(IF(ISNUMBER(Suppliers!F11),Suppliers!F11,DATE(YEAR(TODAY()),MONTH(TODAY()),1))),3)=0,1,0),IF(Suppliers!E11="Semi-annual",IF(MOD((YEAR(EDATE(DATE(YEAR(TODAY()),MONTH(TODAY()),1),18))-YEAR(IF(ISNUMBER(Suppliers!F11),Suppliers!F11,DATE(YEAR(TODAY()),MONTH(TODAY()),1))))*12+MONTH(EDATE(DATE(YEAR(TODAY()),MONTH(TODAY()),1),18))-MONTH(IF(ISNUMBER(Suppliers!F11),Suppliers!F11,DATE(YEAR(TODAY()),MONTH(TODAY()),1))),6)=0,1,0),IF(Suppliers!E11="Annual",IF(MOD((YEAR(EDATE(DATE(YEAR(TODAY()),MONTH(TODAY()),1),18))-YEAR(IF(ISNUMBER(Suppliers!F11),Suppliers!F11,DATE(YEAR(TODAY()),MONTH(TODAY()),1))))*12+MONTH(EDATE(DATE(YEAR(TODAY()),MONTH(TODAY()),1),18))-MONTH(IF(ISNUMBER(Suppliers!F11),Suppliers!F11,DATE(YEAR(TODAY()),MONTH(TODAY()),1))),12)=0,1,0),IF(Suppliers!E11="One-time",IF(18=0,1,0),1)))))),"")</f>
        <v/>
      </c>
      <c r="Y13" s="10" t="str">
        <f ca="1">IFERROR(IF(OR(19&gt;=$B$1,Suppliers!A11="",NOT(ISNUMBER(Suppliers!D11)),Suppliers!L11="Expired",Suppliers!L11="Terminate"),"",Suppliers!D11*-1*IF(Suppliers!E11="Monthly",IF(AND(ISNUMBER(Suppliers!G11),(YEAR(EDATE(DATE(YEAR(TODAY()),MONTH(TODAY()),1),19))*12+MONTH(EDATE(DATE(YEAR(TODAY()),MONTH(TODAY()),1),19)))&gt;(YEAR(Suppliers!G11)*12+MONTH(Suppliers!G11))),"",1),IF(Suppliers!E11="Quarterly",IF(MOD((YEAR(EDATE(DATE(YEAR(TODAY()),MONTH(TODAY()),1),19))-YEAR(IF(ISNUMBER(Suppliers!F11),Suppliers!F11,DATE(YEAR(TODAY()),MONTH(TODAY()),1))))*12+MONTH(EDATE(DATE(YEAR(TODAY()),MONTH(TODAY()),1),19))-MONTH(IF(ISNUMBER(Suppliers!F11),Suppliers!F11,DATE(YEAR(TODAY()),MONTH(TODAY()),1))),3)=0,1,0),IF(Suppliers!E11="Semi-annual",IF(MOD((YEAR(EDATE(DATE(YEAR(TODAY()),MONTH(TODAY()),1),19))-YEAR(IF(ISNUMBER(Suppliers!F11),Suppliers!F11,DATE(YEAR(TODAY()),MONTH(TODAY()),1))))*12+MONTH(EDATE(DATE(YEAR(TODAY()),MONTH(TODAY()),1),19))-MONTH(IF(ISNUMBER(Suppliers!F11),Suppliers!F11,DATE(YEAR(TODAY()),MONTH(TODAY()),1))),6)=0,1,0),IF(Suppliers!E11="Annual",IF(MOD((YEAR(EDATE(DATE(YEAR(TODAY()),MONTH(TODAY()),1),19))-YEAR(IF(ISNUMBER(Suppliers!F11),Suppliers!F11,DATE(YEAR(TODAY()),MONTH(TODAY()),1))))*12+MONTH(EDATE(DATE(YEAR(TODAY()),MONTH(TODAY()),1),19))-MONTH(IF(ISNUMBER(Suppliers!F11),Suppliers!F11,DATE(YEAR(TODAY()),MONTH(TODAY()),1))),12)=0,1,0),IF(Suppliers!E11="One-time",IF(19=0,1,0),1)))))),"")</f>
        <v/>
      </c>
      <c r="Z13" s="10" t="str">
        <f ca="1">IFERROR(IF(OR(20&gt;=$B$1,Suppliers!A11="",NOT(ISNUMBER(Suppliers!D11)),Suppliers!L11="Expired",Suppliers!L11="Terminate"),"",Suppliers!D11*-1*IF(Suppliers!E11="Monthly",IF(AND(ISNUMBER(Suppliers!G11),(YEAR(EDATE(DATE(YEAR(TODAY()),MONTH(TODAY()),1),20))*12+MONTH(EDATE(DATE(YEAR(TODAY()),MONTH(TODAY()),1),20)))&gt;(YEAR(Suppliers!G11)*12+MONTH(Suppliers!G11))),"",1),IF(Suppliers!E11="Quarterly",IF(MOD((YEAR(EDATE(DATE(YEAR(TODAY()),MONTH(TODAY()),1),20))-YEAR(IF(ISNUMBER(Suppliers!F11),Suppliers!F11,DATE(YEAR(TODAY()),MONTH(TODAY()),1))))*12+MONTH(EDATE(DATE(YEAR(TODAY()),MONTH(TODAY()),1),20))-MONTH(IF(ISNUMBER(Suppliers!F11),Suppliers!F11,DATE(YEAR(TODAY()),MONTH(TODAY()),1))),3)=0,1,0),IF(Suppliers!E11="Semi-annual",IF(MOD((YEAR(EDATE(DATE(YEAR(TODAY()),MONTH(TODAY()),1),20))-YEAR(IF(ISNUMBER(Suppliers!F11),Suppliers!F11,DATE(YEAR(TODAY()),MONTH(TODAY()),1))))*12+MONTH(EDATE(DATE(YEAR(TODAY()),MONTH(TODAY()),1),20))-MONTH(IF(ISNUMBER(Suppliers!F11),Suppliers!F11,DATE(YEAR(TODAY()),MONTH(TODAY()),1))),6)=0,1,0),IF(Suppliers!E11="Annual",IF(MOD((YEAR(EDATE(DATE(YEAR(TODAY()),MONTH(TODAY()),1),20))-YEAR(IF(ISNUMBER(Suppliers!F11),Suppliers!F11,DATE(YEAR(TODAY()),MONTH(TODAY()),1))))*12+MONTH(EDATE(DATE(YEAR(TODAY()),MONTH(TODAY()),1),20))-MONTH(IF(ISNUMBER(Suppliers!F11),Suppliers!F11,DATE(YEAR(TODAY()),MONTH(TODAY()),1))),12)=0,1,0),IF(Suppliers!E11="One-time",IF(20=0,1,0),1)))))),"")</f>
        <v/>
      </c>
      <c r="AA13" s="10" t="str">
        <f ca="1">IFERROR(IF(OR(21&gt;=$B$1,Suppliers!A11="",NOT(ISNUMBER(Suppliers!D11)),Suppliers!L11="Expired",Suppliers!L11="Terminate"),"",Suppliers!D11*-1*IF(Suppliers!E11="Monthly",IF(AND(ISNUMBER(Suppliers!G11),(YEAR(EDATE(DATE(YEAR(TODAY()),MONTH(TODAY()),1),21))*12+MONTH(EDATE(DATE(YEAR(TODAY()),MONTH(TODAY()),1),21)))&gt;(YEAR(Suppliers!G11)*12+MONTH(Suppliers!G11))),"",1),IF(Suppliers!E11="Quarterly",IF(MOD((YEAR(EDATE(DATE(YEAR(TODAY()),MONTH(TODAY()),1),21))-YEAR(IF(ISNUMBER(Suppliers!F11),Suppliers!F11,DATE(YEAR(TODAY()),MONTH(TODAY()),1))))*12+MONTH(EDATE(DATE(YEAR(TODAY()),MONTH(TODAY()),1),21))-MONTH(IF(ISNUMBER(Suppliers!F11),Suppliers!F11,DATE(YEAR(TODAY()),MONTH(TODAY()),1))),3)=0,1,0),IF(Suppliers!E11="Semi-annual",IF(MOD((YEAR(EDATE(DATE(YEAR(TODAY()),MONTH(TODAY()),1),21))-YEAR(IF(ISNUMBER(Suppliers!F11),Suppliers!F11,DATE(YEAR(TODAY()),MONTH(TODAY()),1))))*12+MONTH(EDATE(DATE(YEAR(TODAY()),MONTH(TODAY()),1),21))-MONTH(IF(ISNUMBER(Suppliers!F11),Suppliers!F11,DATE(YEAR(TODAY()),MONTH(TODAY()),1))),6)=0,1,0),IF(Suppliers!E11="Annual",IF(MOD((YEAR(EDATE(DATE(YEAR(TODAY()),MONTH(TODAY()),1),21))-YEAR(IF(ISNUMBER(Suppliers!F11),Suppliers!F11,DATE(YEAR(TODAY()),MONTH(TODAY()),1))))*12+MONTH(EDATE(DATE(YEAR(TODAY()),MONTH(TODAY()),1),21))-MONTH(IF(ISNUMBER(Suppliers!F11),Suppliers!F11,DATE(YEAR(TODAY()),MONTH(TODAY()),1))),12)=0,1,0),IF(Suppliers!E11="One-time",IF(21=0,1,0),1)))))),"")</f>
        <v/>
      </c>
      <c r="AB13" s="10" t="str">
        <f ca="1">IFERROR(IF(OR(22&gt;=$B$1,Suppliers!A11="",NOT(ISNUMBER(Suppliers!D11)),Suppliers!L11="Expired",Suppliers!L11="Terminate"),"",Suppliers!D11*-1*IF(Suppliers!E11="Monthly",IF(AND(ISNUMBER(Suppliers!G11),(YEAR(EDATE(DATE(YEAR(TODAY()),MONTH(TODAY()),1),22))*12+MONTH(EDATE(DATE(YEAR(TODAY()),MONTH(TODAY()),1),22)))&gt;(YEAR(Suppliers!G11)*12+MONTH(Suppliers!G11))),"",1),IF(Suppliers!E11="Quarterly",IF(MOD((YEAR(EDATE(DATE(YEAR(TODAY()),MONTH(TODAY()),1),22))-YEAR(IF(ISNUMBER(Suppliers!F11),Suppliers!F11,DATE(YEAR(TODAY()),MONTH(TODAY()),1))))*12+MONTH(EDATE(DATE(YEAR(TODAY()),MONTH(TODAY()),1),22))-MONTH(IF(ISNUMBER(Suppliers!F11),Suppliers!F11,DATE(YEAR(TODAY()),MONTH(TODAY()),1))),3)=0,1,0),IF(Suppliers!E11="Semi-annual",IF(MOD((YEAR(EDATE(DATE(YEAR(TODAY()),MONTH(TODAY()),1),22))-YEAR(IF(ISNUMBER(Suppliers!F11),Suppliers!F11,DATE(YEAR(TODAY()),MONTH(TODAY()),1))))*12+MONTH(EDATE(DATE(YEAR(TODAY()),MONTH(TODAY()),1),22))-MONTH(IF(ISNUMBER(Suppliers!F11),Suppliers!F11,DATE(YEAR(TODAY()),MONTH(TODAY()),1))),6)=0,1,0),IF(Suppliers!E11="Annual",IF(MOD((YEAR(EDATE(DATE(YEAR(TODAY()),MONTH(TODAY()),1),22))-YEAR(IF(ISNUMBER(Suppliers!F11),Suppliers!F11,DATE(YEAR(TODAY()),MONTH(TODAY()),1))))*12+MONTH(EDATE(DATE(YEAR(TODAY()),MONTH(TODAY()),1),22))-MONTH(IF(ISNUMBER(Suppliers!F11),Suppliers!F11,DATE(YEAR(TODAY()),MONTH(TODAY()),1))),12)=0,1,0),IF(Suppliers!E11="One-time",IF(22=0,1,0),1)))))),"")</f>
        <v/>
      </c>
      <c r="AC13" s="10" t="str">
        <f ca="1">IFERROR(IF(OR(23&gt;=$B$1,Suppliers!A11="",NOT(ISNUMBER(Suppliers!D11)),Suppliers!L11="Expired",Suppliers!L11="Terminate"),"",Suppliers!D11*-1*IF(Suppliers!E11="Monthly",IF(AND(ISNUMBER(Suppliers!G11),(YEAR(EDATE(DATE(YEAR(TODAY()),MONTH(TODAY()),1),23))*12+MONTH(EDATE(DATE(YEAR(TODAY()),MONTH(TODAY()),1),23)))&gt;(YEAR(Suppliers!G11)*12+MONTH(Suppliers!G11))),"",1),IF(Suppliers!E11="Quarterly",IF(MOD((YEAR(EDATE(DATE(YEAR(TODAY()),MONTH(TODAY()),1),23))-YEAR(IF(ISNUMBER(Suppliers!F11),Suppliers!F11,DATE(YEAR(TODAY()),MONTH(TODAY()),1))))*12+MONTH(EDATE(DATE(YEAR(TODAY()),MONTH(TODAY()),1),23))-MONTH(IF(ISNUMBER(Suppliers!F11),Suppliers!F11,DATE(YEAR(TODAY()),MONTH(TODAY()),1))),3)=0,1,0),IF(Suppliers!E11="Semi-annual",IF(MOD((YEAR(EDATE(DATE(YEAR(TODAY()),MONTH(TODAY()),1),23))-YEAR(IF(ISNUMBER(Suppliers!F11),Suppliers!F11,DATE(YEAR(TODAY()),MONTH(TODAY()),1))))*12+MONTH(EDATE(DATE(YEAR(TODAY()),MONTH(TODAY()),1),23))-MONTH(IF(ISNUMBER(Suppliers!F11),Suppliers!F11,DATE(YEAR(TODAY()),MONTH(TODAY()),1))),6)=0,1,0),IF(Suppliers!E11="Annual",IF(MOD((YEAR(EDATE(DATE(YEAR(TODAY()),MONTH(TODAY()),1),23))-YEAR(IF(ISNUMBER(Suppliers!F11),Suppliers!F11,DATE(YEAR(TODAY()),MONTH(TODAY()),1))))*12+MONTH(EDATE(DATE(YEAR(TODAY()),MONTH(TODAY()),1),23))-MONTH(IF(ISNUMBER(Suppliers!F11),Suppliers!F11,DATE(YEAR(TODAY()),MONTH(TODAY()),1))),12)=0,1,0),IF(Suppliers!E11="One-time",IF(23=0,1,0),1)))))),"")</f>
        <v/>
      </c>
    </row>
    <row r="14" spans="1:29" ht="15" customHeight="1" x14ac:dyDescent="0.35">
      <c r="A14" s="4" t="s">
        <v>80</v>
      </c>
      <c r="B14" s="4" t="str">
        <f>IF(Suppliers!A12="","",Suppliers!A12)</f>
        <v>Lambda Accounting AG</v>
      </c>
      <c r="C14" s="10">
        <f>IF(Suppliers!C12="","",Suppliers!C12)</f>
        <v>2857.98</v>
      </c>
      <c r="D14" s="10">
        <f>IF(Suppliers!D12="","",Suppliers!D12)</f>
        <v>3400</v>
      </c>
      <c r="E14" s="4" t="str">
        <f>IF(Suppliers!E12="","",Suppliers!E12)</f>
        <v>Monthly</v>
      </c>
      <c r="F14" s="10">
        <f ca="1">IFERROR(IF(OR(0&gt;=$B$1,Suppliers!A12="",NOT(ISNUMBER(Suppliers!D12)),Suppliers!L12="Expired",Suppliers!L12="Terminate"),"",Suppliers!D12*-1*IF(Suppliers!E12="Monthly",IF(AND(ISNUMBER(Suppliers!G12),(YEAR(EDATE(DATE(YEAR(TODAY()),MONTH(TODAY()),1),0))*12+MONTH(EDATE(DATE(YEAR(TODAY()),MONTH(TODAY()),1),0)))&gt;(YEAR(Suppliers!G12)*12+MONTH(Suppliers!G12))),"",1),IF(Suppliers!E12="Quarterly",IF(MOD((YEAR(EDATE(DATE(YEAR(TODAY()),MONTH(TODAY()),1),0))-YEAR(IF(ISNUMBER(Suppliers!F12),Suppliers!F12,DATE(YEAR(TODAY()),MONTH(TODAY()),1))))*12+MONTH(EDATE(DATE(YEAR(TODAY()),MONTH(TODAY()),1),0))-MONTH(IF(ISNUMBER(Suppliers!F12),Suppliers!F12,DATE(YEAR(TODAY()),MONTH(TODAY()),1))),3)=0,1,0),IF(Suppliers!E12="Semi-annual",IF(MOD((YEAR(EDATE(DATE(YEAR(TODAY()),MONTH(TODAY()),1),0))-YEAR(IF(ISNUMBER(Suppliers!F12),Suppliers!F12,DATE(YEAR(TODAY()),MONTH(TODAY()),1))))*12+MONTH(EDATE(DATE(YEAR(TODAY()),MONTH(TODAY()),1),0))-MONTH(IF(ISNUMBER(Suppliers!F12),Suppliers!F12,DATE(YEAR(TODAY()),MONTH(TODAY()),1))),6)=0,1,0),IF(Suppliers!E12="Annual",IF(MOD((YEAR(EDATE(DATE(YEAR(TODAY()),MONTH(TODAY()),1),0))-YEAR(IF(ISNUMBER(Suppliers!F12),Suppliers!F12,DATE(YEAR(TODAY()),MONTH(TODAY()),1))))*12+MONTH(EDATE(DATE(YEAR(TODAY()),MONTH(TODAY()),1),0))-MONTH(IF(ISNUMBER(Suppliers!F12),Suppliers!F12,DATE(YEAR(TODAY()),MONTH(TODAY()),1))),12)=0,1,0),IF(Suppliers!E12="One-time",IF(0=0,1,0),1)))))),"")</f>
        <v>-3400</v>
      </c>
      <c r="G14" s="10">
        <f ca="1">IFERROR(IF(OR(1&gt;=$B$1,Suppliers!A12="",NOT(ISNUMBER(Suppliers!D12)),Suppliers!L12="Expired",Suppliers!L12="Terminate"),"",Suppliers!D12*-1*IF(Suppliers!E12="Monthly",IF(AND(ISNUMBER(Suppliers!G12),(YEAR(EDATE(DATE(YEAR(TODAY()),MONTH(TODAY()),1),1))*12+MONTH(EDATE(DATE(YEAR(TODAY()),MONTH(TODAY()),1),1)))&gt;(YEAR(Suppliers!G12)*12+MONTH(Suppliers!G12))),"",1),IF(Suppliers!E12="Quarterly",IF(MOD((YEAR(EDATE(DATE(YEAR(TODAY()),MONTH(TODAY()),1),1))-YEAR(IF(ISNUMBER(Suppliers!F12),Suppliers!F12,DATE(YEAR(TODAY()),MONTH(TODAY()),1))))*12+MONTH(EDATE(DATE(YEAR(TODAY()),MONTH(TODAY()),1),1))-MONTH(IF(ISNUMBER(Suppliers!F12),Suppliers!F12,DATE(YEAR(TODAY()),MONTH(TODAY()),1))),3)=0,1,0),IF(Suppliers!E12="Semi-annual",IF(MOD((YEAR(EDATE(DATE(YEAR(TODAY()),MONTH(TODAY()),1),1))-YEAR(IF(ISNUMBER(Suppliers!F12),Suppliers!F12,DATE(YEAR(TODAY()),MONTH(TODAY()),1))))*12+MONTH(EDATE(DATE(YEAR(TODAY()),MONTH(TODAY()),1),1))-MONTH(IF(ISNUMBER(Suppliers!F12),Suppliers!F12,DATE(YEAR(TODAY()),MONTH(TODAY()),1))),6)=0,1,0),IF(Suppliers!E12="Annual",IF(MOD((YEAR(EDATE(DATE(YEAR(TODAY()),MONTH(TODAY()),1),1))-YEAR(IF(ISNUMBER(Suppliers!F12),Suppliers!F12,DATE(YEAR(TODAY()),MONTH(TODAY()),1))))*12+MONTH(EDATE(DATE(YEAR(TODAY()),MONTH(TODAY()),1),1))-MONTH(IF(ISNUMBER(Suppliers!F12),Suppliers!F12,DATE(YEAR(TODAY()),MONTH(TODAY()),1))),12)=0,1,0),IF(Suppliers!E12="One-time",IF(1=0,1,0),1)))))),"")</f>
        <v>-3400</v>
      </c>
      <c r="H14" s="10">
        <f ca="1">IFERROR(IF(OR(2&gt;=$B$1,Suppliers!A12="",NOT(ISNUMBER(Suppliers!D12)),Suppliers!L12="Expired",Suppliers!L12="Terminate"),"",Suppliers!D12*-1*IF(Suppliers!E12="Monthly",IF(AND(ISNUMBER(Suppliers!G12),(YEAR(EDATE(DATE(YEAR(TODAY()),MONTH(TODAY()),1),2))*12+MONTH(EDATE(DATE(YEAR(TODAY()),MONTH(TODAY()),1),2)))&gt;(YEAR(Suppliers!G12)*12+MONTH(Suppliers!G12))),"",1),IF(Suppliers!E12="Quarterly",IF(MOD((YEAR(EDATE(DATE(YEAR(TODAY()),MONTH(TODAY()),1),2))-YEAR(IF(ISNUMBER(Suppliers!F12),Suppliers!F12,DATE(YEAR(TODAY()),MONTH(TODAY()),1))))*12+MONTH(EDATE(DATE(YEAR(TODAY()),MONTH(TODAY()),1),2))-MONTH(IF(ISNUMBER(Suppliers!F12),Suppliers!F12,DATE(YEAR(TODAY()),MONTH(TODAY()),1))),3)=0,1,0),IF(Suppliers!E12="Semi-annual",IF(MOD((YEAR(EDATE(DATE(YEAR(TODAY()),MONTH(TODAY()),1),2))-YEAR(IF(ISNUMBER(Suppliers!F12),Suppliers!F12,DATE(YEAR(TODAY()),MONTH(TODAY()),1))))*12+MONTH(EDATE(DATE(YEAR(TODAY()),MONTH(TODAY()),1),2))-MONTH(IF(ISNUMBER(Suppliers!F12),Suppliers!F12,DATE(YEAR(TODAY()),MONTH(TODAY()),1))),6)=0,1,0),IF(Suppliers!E12="Annual",IF(MOD((YEAR(EDATE(DATE(YEAR(TODAY()),MONTH(TODAY()),1),2))-YEAR(IF(ISNUMBER(Suppliers!F12),Suppliers!F12,DATE(YEAR(TODAY()),MONTH(TODAY()),1))))*12+MONTH(EDATE(DATE(YEAR(TODAY()),MONTH(TODAY()),1),2))-MONTH(IF(ISNUMBER(Suppliers!F12),Suppliers!F12,DATE(YEAR(TODAY()),MONTH(TODAY()),1))),12)=0,1,0),IF(Suppliers!E12="One-time",IF(2=0,1,0),1)))))),"")</f>
        <v>-3400</v>
      </c>
      <c r="I14" s="10" t="str">
        <f ca="1">IFERROR(IF(OR(3&gt;=$B$1,Suppliers!A12="",NOT(ISNUMBER(Suppliers!D12)),Suppliers!L12="Expired",Suppliers!L12="Terminate"),"",Suppliers!D12*-1*IF(Suppliers!E12="Monthly",IF(AND(ISNUMBER(Suppliers!G12),(YEAR(EDATE(DATE(YEAR(TODAY()),MONTH(TODAY()),1),3))*12+MONTH(EDATE(DATE(YEAR(TODAY()),MONTH(TODAY()),1),3)))&gt;(YEAR(Suppliers!G12)*12+MONTH(Suppliers!G12))),"",1),IF(Suppliers!E12="Quarterly",IF(MOD((YEAR(EDATE(DATE(YEAR(TODAY()),MONTH(TODAY()),1),3))-YEAR(IF(ISNUMBER(Suppliers!F12),Suppliers!F12,DATE(YEAR(TODAY()),MONTH(TODAY()),1))))*12+MONTH(EDATE(DATE(YEAR(TODAY()),MONTH(TODAY()),1),3))-MONTH(IF(ISNUMBER(Suppliers!F12),Suppliers!F12,DATE(YEAR(TODAY()),MONTH(TODAY()),1))),3)=0,1,0),IF(Suppliers!E12="Semi-annual",IF(MOD((YEAR(EDATE(DATE(YEAR(TODAY()),MONTH(TODAY()),1),3))-YEAR(IF(ISNUMBER(Suppliers!F12),Suppliers!F12,DATE(YEAR(TODAY()),MONTH(TODAY()),1))))*12+MONTH(EDATE(DATE(YEAR(TODAY()),MONTH(TODAY()),1),3))-MONTH(IF(ISNUMBER(Suppliers!F12),Suppliers!F12,DATE(YEAR(TODAY()),MONTH(TODAY()),1))),6)=0,1,0),IF(Suppliers!E12="Annual",IF(MOD((YEAR(EDATE(DATE(YEAR(TODAY()),MONTH(TODAY()),1),3))-YEAR(IF(ISNUMBER(Suppliers!F12),Suppliers!F12,DATE(YEAR(TODAY()),MONTH(TODAY()),1))))*12+MONTH(EDATE(DATE(YEAR(TODAY()),MONTH(TODAY()),1),3))-MONTH(IF(ISNUMBER(Suppliers!F12),Suppliers!F12,DATE(YEAR(TODAY()),MONTH(TODAY()),1))),12)=0,1,0),IF(Suppliers!E12="One-time",IF(3=0,1,0),1)))))),"")</f>
        <v/>
      </c>
      <c r="J14" s="10" t="str">
        <f ca="1">IFERROR(IF(OR(4&gt;=$B$1,Suppliers!A12="",NOT(ISNUMBER(Suppliers!D12)),Suppliers!L12="Expired",Suppliers!L12="Terminate"),"",Suppliers!D12*-1*IF(Suppliers!E12="Monthly",IF(AND(ISNUMBER(Suppliers!G12),(YEAR(EDATE(DATE(YEAR(TODAY()),MONTH(TODAY()),1),4))*12+MONTH(EDATE(DATE(YEAR(TODAY()),MONTH(TODAY()),1),4)))&gt;(YEAR(Suppliers!G12)*12+MONTH(Suppliers!G12))),"",1),IF(Suppliers!E12="Quarterly",IF(MOD((YEAR(EDATE(DATE(YEAR(TODAY()),MONTH(TODAY()),1),4))-YEAR(IF(ISNUMBER(Suppliers!F12),Suppliers!F12,DATE(YEAR(TODAY()),MONTH(TODAY()),1))))*12+MONTH(EDATE(DATE(YEAR(TODAY()),MONTH(TODAY()),1),4))-MONTH(IF(ISNUMBER(Suppliers!F12),Suppliers!F12,DATE(YEAR(TODAY()),MONTH(TODAY()),1))),3)=0,1,0),IF(Suppliers!E12="Semi-annual",IF(MOD((YEAR(EDATE(DATE(YEAR(TODAY()),MONTH(TODAY()),1),4))-YEAR(IF(ISNUMBER(Suppliers!F12),Suppliers!F12,DATE(YEAR(TODAY()),MONTH(TODAY()),1))))*12+MONTH(EDATE(DATE(YEAR(TODAY()),MONTH(TODAY()),1),4))-MONTH(IF(ISNUMBER(Suppliers!F12),Suppliers!F12,DATE(YEAR(TODAY()),MONTH(TODAY()),1))),6)=0,1,0),IF(Suppliers!E12="Annual",IF(MOD((YEAR(EDATE(DATE(YEAR(TODAY()),MONTH(TODAY()),1),4))-YEAR(IF(ISNUMBER(Suppliers!F12),Suppliers!F12,DATE(YEAR(TODAY()),MONTH(TODAY()),1))))*12+MONTH(EDATE(DATE(YEAR(TODAY()),MONTH(TODAY()),1),4))-MONTH(IF(ISNUMBER(Suppliers!F12),Suppliers!F12,DATE(YEAR(TODAY()),MONTH(TODAY()),1))),12)=0,1,0),IF(Suppliers!E12="One-time",IF(4=0,1,0),1)))))),"")</f>
        <v/>
      </c>
      <c r="K14" s="10" t="str">
        <f ca="1">IFERROR(IF(OR(5&gt;=$B$1,Suppliers!A12="",NOT(ISNUMBER(Suppliers!D12)),Suppliers!L12="Expired",Suppliers!L12="Terminate"),"",Suppliers!D12*-1*IF(Suppliers!E12="Monthly",IF(AND(ISNUMBER(Suppliers!G12),(YEAR(EDATE(DATE(YEAR(TODAY()),MONTH(TODAY()),1),5))*12+MONTH(EDATE(DATE(YEAR(TODAY()),MONTH(TODAY()),1),5)))&gt;(YEAR(Suppliers!G12)*12+MONTH(Suppliers!G12))),"",1),IF(Suppliers!E12="Quarterly",IF(MOD((YEAR(EDATE(DATE(YEAR(TODAY()),MONTH(TODAY()),1),5))-YEAR(IF(ISNUMBER(Suppliers!F12),Suppliers!F12,DATE(YEAR(TODAY()),MONTH(TODAY()),1))))*12+MONTH(EDATE(DATE(YEAR(TODAY()),MONTH(TODAY()),1),5))-MONTH(IF(ISNUMBER(Suppliers!F12),Suppliers!F12,DATE(YEAR(TODAY()),MONTH(TODAY()),1))),3)=0,1,0),IF(Suppliers!E12="Semi-annual",IF(MOD((YEAR(EDATE(DATE(YEAR(TODAY()),MONTH(TODAY()),1),5))-YEAR(IF(ISNUMBER(Suppliers!F12),Suppliers!F12,DATE(YEAR(TODAY()),MONTH(TODAY()),1))))*12+MONTH(EDATE(DATE(YEAR(TODAY()),MONTH(TODAY()),1),5))-MONTH(IF(ISNUMBER(Suppliers!F12),Suppliers!F12,DATE(YEAR(TODAY()),MONTH(TODAY()),1))),6)=0,1,0),IF(Suppliers!E12="Annual",IF(MOD((YEAR(EDATE(DATE(YEAR(TODAY()),MONTH(TODAY()),1),5))-YEAR(IF(ISNUMBER(Suppliers!F12),Suppliers!F12,DATE(YEAR(TODAY()),MONTH(TODAY()),1))))*12+MONTH(EDATE(DATE(YEAR(TODAY()),MONTH(TODAY()),1),5))-MONTH(IF(ISNUMBER(Suppliers!F12),Suppliers!F12,DATE(YEAR(TODAY()),MONTH(TODAY()),1))),12)=0,1,0),IF(Suppliers!E12="One-time",IF(5=0,1,0),1)))))),"")</f>
        <v/>
      </c>
      <c r="L14" s="10" t="str">
        <f ca="1">IFERROR(IF(OR(6&gt;=$B$1,Suppliers!A12="",NOT(ISNUMBER(Suppliers!D12)),Suppliers!L12="Expired",Suppliers!L12="Terminate"),"",Suppliers!D12*-1*IF(Suppliers!E12="Monthly",IF(AND(ISNUMBER(Suppliers!G12),(YEAR(EDATE(DATE(YEAR(TODAY()),MONTH(TODAY()),1),6))*12+MONTH(EDATE(DATE(YEAR(TODAY()),MONTH(TODAY()),1),6)))&gt;(YEAR(Suppliers!G12)*12+MONTH(Suppliers!G12))),"",1),IF(Suppliers!E12="Quarterly",IF(MOD((YEAR(EDATE(DATE(YEAR(TODAY()),MONTH(TODAY()),1),6))-YEAR(IF(ISNUMBER(Suppliers!F12),Suppliers!F12,DATE(YEAR(TODAY()),MONTH(TODAY()),1))))*12+MONTH(EDATE(DATE(YEAR(TODAY()),MONTH(TODAY()),1),6))-MONTH(IF(ISNUMBER(Suppliers!F12),Suppliers!F12,DATE(YEAR(TODAY()),MONTH(TODAY()),1))),3)=0,1,0),IF(Suppliers!E12="Semi-annual",IF(MOD((YEAR(EDATE(DATE(YEAR(TODAY()),MONTH(TODAY()),1),6))-YEAR(IF(ISNUMBER(Suppliers!F12),Suppliers!F12,DATE(YEAR(TODAY()),MONTH(TODAY()),1))))*12+MONTH(EDATE(DATE(YEAR(TODAY()),MONTH(TODAY()),1),6))-MONTH(IF(ISNUMBER(Suppliers!F12),Suppliers!F12,DATE(YEAR(TODAY()),MONTH(TODAY()),1))),6)=0,1,0),IF(Suppliers!E12="Annual",IF(MOD((YEAR(EDATE(DATE(YEAR(TODAY()),MONTH(TODAY()),1),6))-YEAR(IF(ISNUMBER(Suppliers!F12),Suppliers!F12,DATE(YEAR(TODAY()),MONTH(TODAY()),1))))*12+MONTH(EDATE(DATE(YEAR(TODAY()),MONTH(TODAY()),1),6))-MONTH(IF(ISNUMBER(Suppliers!F12),Suppliers!F12,DATE(YEAR(TODAY()),MONTH(TODAY()),1))),12)=0,1,0),IF(Suppliers!E12="One-time",IF(6=0,1,0),1)))))),"")</f>
        <v/>
      </c>
      <c r="M14" s="10" t="str">
        <f ca="1">IFERROR(IF(OR(7&gt;=$B$1,Suppliers!A12="",NOT(ISNUMBER(Suppliers!D12)),Suppliers!L12="Expired",Suppliers!L12="Terminate"),"",Suppliers!D12*-1*IF(Suppliers!E12="Monthly",IF(AND(ISNUMBER(Suppliers!G12),(YEAR(EDATE(DATE(YEAR(TODAY()),MONTH(TODAY()),1),7))*12+MONTH(EDATE(DATE(YEAR(TODAY()),MONTH(TODAY()),1),7)))&gt;(YEAR(Suppliers!G12)*12+MONTH(Suppliers!G12))),"",1),IF(Suppliers!E12="Quarterly",IF(MOD((YEAR(EDATE(DATE(YEAR(TODAY()),MONTH(TODAY()),1),7))-YEAR(IF(ISNUMBER(Suppliers!F12),Suppliers!F12,DATE(YEAR(TODAY()),MONTH(TODAY()),1))))*12+MONTH(EDATE(DATE(YEAR(TODAY()),MONTH(TODAY()),1),7))-MONTH(IF(ISNUMBER(Suppliers!F12),Suppliers!F12,DATE(YEAR(TODAY()),MONTH(TODAY()),1))),3)=0,1,0),IF(Suppliers!E12="Semi-annual",IF(MOD((YEAR(EDATE(DATE(YEAR(TODAY()),MONTH(TODAY()),1),7))-YEAR(IF(ISNUMBER(Suppliers!F12),Suppliers!F12,DATE(YEAR(TODAY()),MONTH(TODAY()),1))))*12+MONTH(EDATE(DATE(YEAR(TODAY()),MONTH(TODAY()),1),7))-MONTH(IF(ISNUMBER(Suppliers!F12),Suppliers!F12,DATE(YEAR(TODAY()),MONTH(TODAY()),1))),6)=0,1,0),IF(Suppliers!E12="Annual",IF(MOD((YEAR(EDATE(DATE(YEAR(TODAY()),MONTH(TODAY()),1),7))-YEAR(IF(ISNUMBER(Suppliers!F12),Suppliers!F12,DATE(YEAR(TODAY()),MONTH(TODAY()),1))))*12+MONTH(EDATE(DATE(YEAR(TODAY()),MONTH(TODAY()),1),7))-MONTH(IF(ISNUMBER(Suppliers!F12),Suppliers!F12,DATE(YEAR(TODAY()),MONTH(TODAY()),1))),12)=0,1,0),IF(Suppliers!E12="One-time",IF(7=0,1,0),1)))))),"")</f>
        <v/>
      </c>
      <c r="N14" s="10" t="str">
        <f ca="1">IFERROR(IF(OR(8&gt;=$B$1,Suppliers!A12="",NOT(ISNUMBER(Suppliers!D12)),Suppliers!L12="Expired",Suppliers!L12="Terminate"),"",Suppliers!D12*-1*IF(Suppliers!E12="Monthly",IF(AND(ISNUMBER(Suppliers!G12),(YEAR(EDATE(DATE(YEAR(TODAY()),MONTH(TODAY()),1),8))*12+MONTH(EDATE(DATE(YEAR(TODAY()),MONTH(TODAY()),1),8)))&gt;(YEAR(Suppliers!G12)*12+MONTH(Suppliers!G12))),"",1),IF(Suppliers!E12="Quarterly",IF(MOD((YEAR(EDATE(DATE(YEAR(TODAY()),MONTH(TODAY()),1),8))-YEAR(IF(ISNUMBER(Suppliers!F12),Suppliers!F12,DATE(YEAR(TODAY()),MONTH(TODAY()),1))))*12+MONTH(EDATE(DATE(YEAR(TODAY()),MONTH(TODAY()),1),8))-MONTH(IF(ISNUMBER(Suppliers!F12),Suppliers!F12,DATE(YEAR(TODAY()),MONTH(TODAY()),1))),3)=0,1,0),IF(Suppliers!E12="Semi-annual",IF(MOD((YEAR(EDATE(DATE(YEAR(TODAY()),MONTH(TODAY()),1),8))-YEAR(IF(ISNUMBER(Suppliers!F12),Suppliers!F12,DATE(YEAR(TODAY()),MONTH(TODAY()),1))))*12+MONTH(EDATE(DATE(YEAR(TODAY()),MONTH(TODAY()),1),8))-MONTH(IF(ISNUMBER(Suppliers!F12),Suppliers!F12,DATE(YEAR(TODAY()),MONTH(TODAY()),1))),6)=0,1,0),IF(Suppliers!E12="Annual",IF(MOD((YEAR(EDATE(DATE(YEAR(TODAY()),MONTH(TODAY()),1),8))-YEAR(IF(ISNUMBER(Suppliers!F12),Suppliers!F12,DATE(YEAR(TODAY()),MONTH(TODAY()),1))))*12+MONTH(EDATE(DATE(YEAR(TODAY()),MONTH(TODAY()),1),8))-MONTH(IF(ISNUMBER(Suppliers!F12),Suppliers!F12,DATE(YEAR(TODAY()),MONTH(TODAY()),1))),12)=0,1,0),IF(Suppliers!E12="One-time",IF(8=0,1,0),1)))))),"")</f>
        <v/>
      </c>
      <c r="O14" s="10" t="str">
        <f ca="1">IFERROR(IF(OR(9&gt;=$B$1,Suppliers!A12="",NOT(ISNUMBER(Suppliers!D12)),Suppliers!L12="Expired",Suppliers!L12="Terminate"),"",Suppliers!D12*-1*IF(Suppliers!E12="Monthly",IF(AND(ISNUMBER(Suppliers!G12),(YEAR(EDATE(DATE(YEAR(TODAY()),MONTH(TODAY()),1),9))*12+MONTH(EDATE(DATE(YEAR(TODAY()),MONTH(TODAY()),1),9)))&gt;(YEAR(Suppliers!G12)*12+MONTH(Suppliers!G12))),"",1),IF(Suppliers!E12="Quarterly",IF(MOD((YEAR(EDATE(DATE(YEAR(TODAY()),MONTH(TODAY()),1),9))-YEAR(IF(ISNUMBER(Suppliers!F12),Suppliers!F12,DATE(YEAR(TODAY()),MONTH(TODAY()),1))))*12+MONTH(EDATE(DATE(YEAR(TODAY()),MONTH(TODAY()),1),9))-MONTH(IF(ISNUMBER(Suppliers!F12),Suppliers!F12,DATE(YEAR(TODAY()),MONTH(TODAY()),1))),3)=0,1,0),IF(Suppliers!E12="Semi-annual",IF(MOD((YEAR(EDATE(DATE(YEAR(TODAY()),MONTH(TODAY()),1),9))-YEAR(IF(ISNUMBER(Suppliers!F12),Suppliers!F12,DATE(YEAR(TODAY()),MONTH(TODAY()),1))))*12+MONTH(EDATE(DATE(YEAR(TODAY()),MONTH(TODAY()),1),9))-MONTH(IF(ISNUMBER(Suppliers!F12),Suppliers!F12,DATE(YEAR(TODAY()),MONTH(TODAY()),1))),6)=0,1,0),IF(Suppliers!E12="Annual",IF(MOD((YEAR(EDATE(DATE(YEAR(TODAY()),MONTH(TODAY()),1),9))-YEAR(IF(ISNUMBER(Suppliers!F12),Suppliers!F12,DATE(YEAR(TODAY()),MONTH(TODAY()),1))))*12+MONTH(EDATE(DATE(YEAR(TODAY()),MONTH(TODAY()),1),9))-MONTH(IF(ISNUMBER(Suppliers!F12),Suppliers!F12,DATE(YEAR(TODAY()),MONTH(TODAY()),1))),12)=0,1,0),IF(Suppliers!E12="One-time",IF(9=0,1,0),1)))))),"")</f>
        <v/>
      </c>
      <c r="P14" s="10" t="str">
        <f ca="1">IFERROR(IF(OR(10&gt;=$B$1,Suppliers!A12="",NOT(ISNUMBER(Suppliers!D12)),Suppliers!L12="Expired",Suppliers!L12="Terminate"),"",Suppliers!D12*-1*IF(Suppliers!E12="Monthly",IF(AND(ISNUMBER(Suppliers!G12),(YEAR(EDATE(DATE(YEAR(TODAY()),MONTH(TODAY()),1),10))*12+MONTH(EDATE(DATE(YEAR(TODAY()),MONTH(TODAY()),1),10)))&gt;(YEAR(Suppliers!G12)*12+MONTH(Suppliers!G12))),"",1),IF(Suppliers!E12="Quarterly",IF(MOD((YEAR(EDATE(DATE(YEAR(TODAY()),MONTH(TODAY()),1),10))-YEAR(IF(ISNUMBER(Suppliers!F12),Suppliers!F12,DATE(YEAR(TODAY()),MONTH(TODAY()),1))))*12+MONTH(EDATE(DATE(YEAR(TODAY()),MONTH(TODAY()),1),10))-MONTH(IF(ISNUMBER(Suppliers!F12),Suppliers!F12,DATE(YEAR(TODAY()),MONTH(TODAY()),1))),3)=0,1,0),IF(Suppliers!E12="Semi-annual",IF(MOD((YEAR(EDATE(DATE(YEAR(TODAY()),MONTH(TODAY()),1),10))-YEAR(IF(ISNUMBER(Suppliers!F12),Suppliers!F12,DATE(YEAR(TODAY()),MONTH(TODAY()),1))))*12+MONTH(EDATE(DATE(YEAR(TODAY()),MONTH(TODAY()),1),10))-MONTH(IF(ISNUMBER(Suppliers!F12),Suppliers!F12,DATE(YEAR(TODAY()),MONTH(TODAY()),1))),6)=0,1,0),IF(Suppliers!E12="Annual",IF(MOD((YEAR(EDATE(DATE(YEAR(TODAY()),MONTH(TODAY()),1),10))-YEAR(IF(ISNUMBER(Suppliers!F12),Suppliers!F12,DATE(YEAR(TODAY()),MONTH(TODAY()),1))))*12+MONTH(EDATE(DATE(YEAR(TODAY()),MONTH(TODAY()),1),10))-MONTH(IF(ISNUMBER(Suppliers!F12),Suppliers!F12,DATE(YEAR(TODAY()),MONTH(TODAY()),1))),12)=0,1,0),IF(Suppliers!E12="One-time",IF(10=0,1,0),1)))))),"")</f>
        <v/>
      </c>
      <c r="Q14" s="10" t="str">
        <f ca="1">IFERROR(IF(OR(11&gt;=$B$1,Suppliers!A12="",NOT(ISNUMBER(Suppliers!D12)),Suppliers!L12="Expired",Suppliers!L12="Terminate"),"",Suppliers!D12*-1*IF(Suppliers!E12="Monthly",IF(AND(ISNUMBER(Suppliers!G12),(YEAR(EDATE(DATE(YEAR(TODAY()),MONTH(TODAY()),1),11))*12+MONTH(EDATE(DATE(YEAR(TODAY()),MONTH(TODAY()),1),11)))&gt;(YEAR(Suppliers!G12)*12+MONTH(Suppliers!G12))),"",1),IF(Suppliers!E12="Quarterly",IF(MOD((YEAR(EDATE(DATE(YEAR(TODAY()),MONTH(TODAY()),1),11))-YEAR(IF(ISNUMBER(Suppliers!F12),Suppliers!F12,DATE(YEAR(TODAY()),MONTH(TODAY()),1))))*12+MONTH(EDATE(DATE(YEAR(TODAY()),MONTH(TODAY()),1),11))-MONTH(IF(ISNUMBER(Suppliers!F12),Suppliers!F12,DATE(YEAR(TODAY()),MONTH(TODAY()),1))),3)=0,1,0),IF(Suppliers!E12="Semi-annual",IF(MOD((YEAR(EDATE(DATE(YEAR(TODAY()),MONTH(TODAY()),1),11))-YEAR(IF(ISNUMBER(Suppliers!F12),Suppliers!F12,DATE(YEAR(TODAY()),MONTH(TODAY()),1))))*12+MONTH(EDATE(DATE(YEAR(TODAY()),MONTH(TODAY()),1),11))-MONTH(IF(ISNUMBER(Suppliers!F12),Suppliers!F12,DATE(YEAR(TODAY()),MONTH(TODAY()),1))),6)=0,1,0),IF(Suppliers!E12="Annual",IF(MOD((YEAR(EDATE(DATE(YEAR(TODAY()),MONTH(TODAY()),1),11))-YEAR(IF(ISNUMBER(Suppliers!F12),Suppliers!F12,DATE(YEAR(TODAY()),MONTH(TODAY()),1))))*12+MONTH(EDATE(DATE(YEAR(TODAY()),MONTH(TODAY()),1),11))-MONTH(IF(ISNUMBER(Suppliers!F12),Suppliers!F12,DATE(YEAR(TODAY()),MONTH(TODAY()),1))),12)=0,1,0),IF(Suppliers!E12="One-time",IF(11=0,1,0),1)))))),"")</f>
        <v/>
      </c>
      <c r="R14" s="10" t="str">
        <f ca="1">IFERROR(IF(OR(12&gt;=$B$1,Suppliers!A12="",NOT(ISNUMBER(Suppliers!D12)),Suppliers!L12="Expired",Suppliers!L12="Terminate"),"",Suppliers!D12*-1*IF(Suppliers!E12="Monthly",IF(AND(ISNUMBER(Suppliers!G12),(YEAR(EDATE(DATE(YEAR(TODAY()),MONTH(TODAY()),1),12))*12+MONTH(EDATE(DATE(YEAR(TODAY()),MONTH(TODAY()),1),12)))&gt;(YEAR(Suppliers!G12)*12+MONTH(Suppliers!G12))),"",1),IF(Suppliers!E12="Quarterly",IF(MOD((YEAR(EDATE(DATE(YEAR(TODAY()),MONTH(TODAY()),1),12))-YEAR(IF(ISNUMBER(Suppliers!F12),Suppliers!F12,DATE(YEAR(TODAY()),MONTH(TODAY()),1))))*12+MONTH(EDATE(DATE(YEAR(TODAY()),MONTH(TODAY()),1),12))-MONTH(IF(ISNUMBER(Suppliers!F12),Suppliers!F12,DATE(YEAR(TODAY()),MONTH(TODAY()),1))),3)=0,1,0),IF(Suppliers!E12="Semi-annual",IF(MOD((YEAR(EDATE(DATE(YEAR(TODAY()),MONTH(TODAY()),1),12))-YEAR(IF(ISNUMBER(Suppliers!F12),Suppliers!F12,DATE(YEAR(TODAY()),MONTH(TODAY()),1))))*12+MONTH(EDATE(DATE(YEAR(TODAY()),MONTH(TODAY()),1),12))-MONTH(IF(ISNUMBER(Suppliers!F12),Suppliers!F12,DATE(YEAR(TODAY()),MONTH(TODAY()),1))),6)=0,1,0),IF(Suppliers!E12="Annual",IF(MOD((YEAR(EDATE(DATE(YEAR(TODAY()),MONTH(TODAY()),1),12))-YEAR(IF(ISNUMBER(Suppliers!F12),Suppliers!F12,DATE(YEAR(TODAY()),MONTH(TODAY()),1))))*12+MONTH(EDATE(DATE(YEAR(TODAY()),MONTH(TODAY()),1),12))-MONTH(IF(ISNUMBER(Suppliers!F12),Suppliers!F12,DATE(YEAR(TODAY()),MONTH(TODAY()),1))),12)=0,1,0),IF(Suppliers!E12="One-time",IF(12=0,1,0),1)))))),"")</f>
        <v/>
      </c>
      <c r="S14" s="10" t="str">
        <f ca="1">IFERROR(IF(OR(13&gt;=$B$1,Suppliers!A12="",NOT(ISNUMBER(Suppliers!D12)),Suppliers!L12="Expired",Suppliers!L12="Terminate"),"",Suppliers!D12*-1*IF(Suppliers!E12="Monthly",IF(AND(ISNUMBER(Suppliers!G12),(YEAR(EDATE(DATE(YEAR(TODAY()),MONTH(TODAY()),1),13))*12+MONTH(EDATE(DATE(YEAR(TODAY()),MONTH(TODAY()),1),13)))&gt;(YEAR(Suppliers!G12)*12+MONTH(Suppliers!G12))),"",1),IF(Suppliers!E12="Quarterly",IF(MOD((YEAR(EDATE(DATE(YEAR(TODAY()),MONTH(TODAY()),1),13))-YEAR(IF(ISNUMBER(Suppliers!F12),Suppliers!F12,DATE(YEAR(TODAY()),MONTH(TODAY()),1))))*12+MONTH(EDATE(DATE(YEAR(TODAY()),MONTH(TODAY()),1),13))-MONTH(IF(ISNUMBER(Suppliers!F12),Suppliers!F12,DATE(YEAR(TODAY()),MONTH(TODAY()),1))),3)=0,1,0),IF(Suppliers!E12="Semi-annual",IF(MOD((YEAR(EDATE(DATE(YEAR(TODAY()),MONTH(TODAY()),1),13))-YEAR(IF(ISNUMBER(Suppliers!F12),Suppliers!F12,DATE(YEAR(TODAY()),MONTH(TODAY()),1))))*12+MONTH(EDATE(DATE(YEAR(TODAY()),MONTH(TODAY()),1),13))-MONTH(IF(ISNUMBER(Suppliers!F12),Suppliers!F12,DATE(YEAR(TODAY()),MONTH(TODAY()),1))),6)=0,1,0),IF(Suppliers!E12="Annual",IF(MOD((YEAR(EDATE(DATE(YEAR(TODAY()),MONTH(TODAY()),1),13))-YEAR(IF(ISNUMBER(Suppliers!F12),Suppliers!F12,DATE(YEAR(TODAY()),MONTH(TODAY()),1))))*12+MONTH(EDATE(DATE(YEAR(TODAY()),MONTH(TODAY()),1),13))-MONTH(IF(ISNUMBER(Suppliers!F12),Suppliers!F12,DATE(YEAR(TODAY()),MONTH(TODAY()),1))),12)=0,1,0),IF(Suppliers!E12="One-time",IF(13=0,1,0),1)))))),"")</f>
        <v/>
      </c>
      <c r="T14" s="10" t="str">
        <f ca="1">IFERROR(IF(OR(14&gt;=$B$1,Suppliers!A12="",NOT(ISNUMBER(Suppliers!D12)),Suppliers!L12="Expired",Suppliers!L12="Terminate"),"",Suppliers!D12*-1*IF(Suppliers!E12="Monthly",IF(AND(ISNUMBER(Suppliers!G12),(YEAR(EDATE(DATE(YEAR(TODAY()),MONTH(TODAY()),1),14))*12+MONTH(EDATE(DATE(YEAR(TODAY()),MONTH(TODAY()),1),14)))&gt;(YEAR(Suppliers!G12)*12+MONTH(Suppliers!G12))),"",1),IF(Suppliers!E12="Quarterly",IF(MOD((YEAR(EDATE(DATE(YEAR(TODAY()),MONTH(TODAY()),1),14))-YEAR(IF(ISNUMBER(Suppliers!F12),Suppliers!F12,DATE(YEAR(TODAY()),MONTH(TODAY()),1))))*12+MONTH(EDATE(DATE(YEAR(TODAY()),MONTH(TODAY()),1),14))-MONTH(IF(ISNUMBER(Suppliers!F12),Suppliers!F12,DATE(YEAR(TODAY()),MONTH(TODAY()),1))),3)=0,1,0),IF(Suppliers!E12="Semi-annual",IF(MOD((YEAR(EDATE(DATE(YEAR(TODAY()),MONTH(TODAY()),1),14))-YEAR(IF(ISNUMBER(Suppliers!F12),Suppliers!F12,DATE(YEAR(TODAY()),MONTH(TODAY()),1))))*12+MONTH(EDATE(DATE(YEAR(TODAY()),MONTH(TODAY()),1),14))-MONTH(IF(ISNUMBER(Suppliers!F12),Suppliers!F12,DATE(YEAR(TODAY()),MONTH(TODAY()),1))),6)=0,1,0),IF(Suppliers!E12="Annual",IF(MOD((YEAR(EDATE(DATE(YEAR(TODAY()),MONTH(TODAY()),1),14))-YEAR(IF(ISNUMBER(Suppliers!F12),Suppliers!F12,DATE(YEAR(TODAY()),MONTH(TODAY()),1))))*12+MONTH(EDATE(DATE(YEAR(TODAY()),MONTH(TODAY()),1),14))-MONTH(IF(ISNUMBER(Suppliers!F12),Suppliers!F12,DATE(YEAR(TODAY()),MONTH(TODAY()),1))),12)=0,1,0),IF(Suppliers!E12="One-time",IF(14=0,1,0),1)))))),"")</f>
        <v/>
      </c>
      <c r="U14" s="10" t="str">
        <f ca="1">IFERROR(IF(OR(15&gt;=$B$1,Suppliers!A12="",NOT(ISNUMBER(Suppliers!D12)),Suppliers!L12="Expired",Suppliers!L12="Terminate"),"",Suppliers!D12*-1*IF(Suppliers!E12="Monthly",IF(AND(ISNUMBER(Suppliers!G12),(YEAR(EDATE(DATE(YEAR(TODAY()),MONTH(TODAY()),1),15))*12+MONTH(EDATE(DATE(YEAR(TODAY()),MONTH(TODAY()),1),15)))&gt;(YEAR(Suppliers!G12)*12+MONTH(Suppliers!G12))),"",1),IF(Suppliers!E12="Quarterly",IF(MOD((YEAR(EDATE(DATE(YEAR(TODAY()),MONTH(TODAY()),1),15))-YEAR(IF(ISNUMBER(Suppliers!F12),Suppliers!F12,DATE(YEAR(TODAY()),MONTH(TODAY()),1))))*12+MONTH(EDATE(DATE(YEAR(TODAY()),MONTH(TODAY()),1),15))-MONTH(IF(ISNUMBER(Suppliers!F12),Suppliers!F12,DATE(YEAR(TODAY()),MONTH(TODAY()),1))),3)=0,1,0),IF(Suppliers!E12="Semi-annual",IF(MOD((YEAR(EDATE(DATE(YEAR(TODAY()),MONTH(TODAY()),1),15))-YEAR(IF(ISNUMBER(Suppliers!F12),Suppliers!F12,DATE(YEAR(TODAY()),MONTH(TODAY()),1))))*12+MONTH(EDATE(DATE(YEAR(TODAY()),MONTH(TODAY()),1),15))-MONTH(IF(ISNUMBER(Suppliers!F12),Suppliers!F12,DATE(YEAR(TODAY()),MONTH(TODAY()),1))),6)=0,1,0),IF(Suppliers!E12="Annual",IF(MOD((YEAR(EDATE(DATE(YEAR(TODAY()),MONTH(TODAY()),1),15))-YEAR(IF(ISNUMBER(Suppliers!F12),Suppliers!F12,DATE(YEAR(TODAY()),MONTH(TODAY()),1))))*12+MONTH(EDATE(DATE(YEAR(TODAY()),MONTH(TODAY()),1),15))-MONTH(IF(ISNUMBER(Suppliers!F12),Suppliers!F12,DATE(YEAR(TODAY()),MONTH(TODAY()),1))),12)=0,1,0),IF(Suppliers!E12="One-time",IF(15=0,1,0),1)))))),"")</f>
        <v/>
      </c>
      <c r="V14" s="10" t="str">
        <f ca="1">IFERROR(IF(OR(16&gt;=$B$1,Suppliers!A12="",NOT(ISNUMBER(Suppliers!D12)),Suppliers!L12="Expired",Suppliers!L12="Terminate"),"",Suppliers!D12*-1*IF(Suppliers!E12="Monthly",IF(AND(ISNUMBER(Suppliers!G12),(YEAR(EDATE(DATE(YEAR(TODAY()),MONTH(TODAY()),1),16))*12+MONTH(EDATE(DATE(YEAR(TODAY()),MONTH(TODAY()),1),16)))&gt;(YEAR(Suppliers!G12)*12+MONTH(Suppliers!G12))),"",1),IF(Suppliers!E12="Quarterly",IF(MOD((YEAR(EDATE(DATE(YEAR(TODAY()),MONTH(TODAY()),1),16))-YEAR(IF(ISNUMBER(Suppliers!F12),Suppliers!F12,DATE(YEAR(TODAY()),MONTH(TODAY()),1))))*12+MONTH(EDATE(DATE(YEAR(TODAY()),MONTH(TODAY()),1),16))-MONTH(IF(ISNUMBER(Suppliers!F12),Suppliers!F12,DATE(YEAR(TODAY()),MONTH(TODAY()),1))),3)=0,1,0),IF(Suppliers!E12="Semi-annual",IF(MOD((YEAR(EDATE(DATE(YEAR(TODAY()),MONTH(TODAY()),1),16))-YEAR(IF(ISNUMBER(Suppliers!F12),Suppliers!F12,DATE(YEAR(TODAY()),MONTH(TODAY()),1))))*12+MONTH(EDATE(DATE(YEAR(TODAY()),MONTH(TODAY()),1),16))-MONTH(IF(ISNUMBER(Suppliers!F12),Suppliers!F12,DATE(YEAR(TODAY()),MONTH(TODAY()),1))),6)=0,1,0),IF(Suppliers!E12="Annual",IF(MOD((YEAR(EDATE(DATE(YEAR(TODAY()),MONTH(TODAY()),1),16))-YEAR(IF(ISNUMBER(Suppliers!F12),Suppliers!F12,DATE(YEAR(TODAY()),MONTH(TODAY()),1))))*12+MONTH(EDATE(DATE(YEAR(TODAY()),MONTH(TODAY()),1),16))-MONTH(IF(ISNUMBER(Suppliers!F12),Suppliers!F12,DATE(YEAR(TODAY()),MONTH(TODAY()),1))),12)=0,1,0),IF(Suppliers!E12="One-time",IF(16=0,1,0),1)))))),"")</f>
        <v/>
      </c>
      <c r="W14" s="10" t="str">
        <f ca="1">IFERROR(IF(OR(17&gt;=$B$1,Suppliers!A12="",NOT(ISNUMBER(Suppliers!D12)),Suppliers!L12="Expired",Suppliers!L12="Terminate"),"",Suppliers!D12*-1*IF(Suppliers!E12="Monthly",IF(AND(ISNUMBER(Suppliers!G12),(YEAR(EDATE(DATE(YEAR(TODAY()),MONTH(TODAY()),1),17))*12+MONTH(EDATE(DATE(YEAR(TODAY()),MONTH(TODAY()),1),17)))&gt;(YEAR(Suppliers!G12)*12+MONTH(Suppliers!G12))),"",1),IF(Suppliers!E12="Quarterly",IF(MOD((YEAR(EDATE(DATE(YEAR(TODAY()),MONTH(TODAY()),1),17))-YEAR(IF(ISNUMBER(Suppliers!F12),Suppliers!F12,DATE(YEAR(TODAY()),MONTH(TODAY()),1))))*12+MONTH(EDATE(DATE(YEAR(TODAY()),MONTH(TODAY()),1),17))-MONTH(IF(ISNUMBER(Suppliers!F12),Suppliers!F12,DATE(YEAR(TODAY()),MONTH(TODAY()),1))),3)=0,1,0),IF(Suppliers!E12="Semi-annual",IF(MOD((YEAR(EDATE(DATE(YEAR(TODAY()),MONTH(TODAY()),1),17))-YEAR(IF(ISNUMBER(Suppliers!F12),Suppliers!F12,DATE(YEAR(TODAY()),MONTH(TODAY()),1))))*12+MONTH(EDATE(DATE(YEAR(TODAY()),MONTH(TODAY()),1),17))-MONTH(IF(ISNUMBER(Suppliers!F12),Suppliers!F12,DATE(YEAR(TODAY()),MONTH(TODAY()),1))),6)=0,1,0),IF(Suppliers!E12="Annual",IF(MOD((YEAR(EDATE(DATE(YEAR(TODAY()),MONTH(TODAY()),1),17))-YEAR(IF(ISNUMBER(Suppliers!F12),Suppliers!F12,DATE(YEAR(TODAY()),MONTH(TODAY()),1))))*12+MONTH(EDATE(DATE(YEAR(TODAY()),MONTH(TODAY()),1),17))-MONTH(IF(ISNUMBER(Suppliers!F12),Suppliers!F12,DATE(YEAR(TODAY()),MONTH(TODAY()),1))),12)=0,1,0),IF(Suppliers!E12="One-time",IF(17=0,1,0),1)))))),"")</f>
        <v/>
      </c>
      <c r="X14" s="10" t="str">
        <f ca="1">IFERROR(IF(OR(18&gt;=$B$1,Suppliers!A12="",NOT(ISNUMBER(Suppliers!D12)),Suppliers!L12="Expired",Suppliers!L12="Terminate"),"",Suppliers!D12*-1*IF(Suppliers!E12="Monthly",IF(AND(ISNUMBER(Suppliers!G12),(YEAR(EDATE(DATE(YEAR(TODAY()),MONTH(TODAY()),1),18))*12+MONTH(EDATE(DATE(YEAR(TODAY()),MONTH(TODAY()),1),18)))&gt;(YEAR(Suppliers!G12)*12+MONTH(Suppliers!G12))),"",1),IF(Suppliers!E12="Quarterly",IF(MOD((YEAR(EDATE(DATE(YEAR(TODAY()),MONTH(TODAY()),1),18))-YEAR(IF(ISNUMBER(Suppliers!F12),Suppliers!F12,DATE(YEAR(TODAY()),MONTH(TODAY()),1))))*12+MONTH(EDATE(DATE(YEAR(TODAY()),MONTH(TODAY()),1),18))-MONTH(IF(ISNUMBER(Suppliers!F12),Suppliers!F12,DATE(YEAR(TODAY()),MONTH(TODAY()),1))),3)=0,1,0),IF(Suppliers!E12="Semi-annual",IF(MOD((YEAR(EDATE(DATE(YEAR(TODAY()),MONTH(TODAY()),1),18))-YEAR(IF(ISNUMBER(Suppliers!F12),Suppliers!F12,DATE(YEAR(TODAY()),MONTH(TODAY()),1))))*12+MONTH(EDATE(DATE(YEAR(TODAY()),MONTH(TODAY()),1),18))-MONTH(IF(ISNUMBER(Suppliers!F12),Suppliers!F12,DATE(YEAR(TODAY()),MONTH(TODAY()),1))),6)=0,1,0),IF(Suppliers!E12="Annual",IF(MOD((YEAR(EDATE(DATE(YEAR(TODAY()),MONTH(TODAY()),1),18))-YEAR(IF(ISNUMBER(Suppliers!F12),Suppliers!F12,DATE(YEAR(TODAY()),MONTH(TODAY()),1))))*12+MONTH(EDATE(DATE(YEAR(TODAY()),MONTH(TODAY()),1),18))-MONTH(IF(ISNUMBER(Suppliers!F12),Suppliers!F12,DATE(YEAR(TODAY()),MONTH(TODAY()),1))),12)=0,1,0),IF(Suppliers!E12="One-time",IF(18=0,1,0),1)))))),"")</f>
        <v/>
      </c>
      <c r="Y14" s="10" t="str">
        <f ca="1">IFERROR(IF(OR(19&gt;=$B$1,Suppliers!A12="",NOT(ISNUMBER(Suppliers!D12)),Suppliers!L12="Expired",Suppliers!L12="Terminate"),"",Suppliers!D12*-1*IF(Suppliers!E12="Monthly",IF(AND(ISNUMBER(Suppliers!G12),(YEAR(EDATE(DATE(YEAR(TODAY()),MONTH(TODAY()),1),19))*12+MONTH(EDATE(DATE(YEAR(TODAY()),MONTH(TODAY()),1),19)))&gt;(YEAR(Suppliers!G12)*12+MONTH(Suppliers!G12))),"",1),IF(Suppliers!E12="Quarterly",IF(MOD((YEAR(EDATE(DATE(YEAR(TODAY()),MONTH(TODAY()),1),19))-YEAR(IF(ISNUMBER(Suppliers!F12),Suppliers!F12,DATE(YEAR(TODAY()),MONTH(TODAY()),1))))*12+MONTH(EDATE(DATE(YEAR(TODAY()),MONTH(TODAY()),1),19))-MONTH(IF(ISNUMBER(Suppliers!F12),Suppliers!F12,DATE(YEAR(TODAY()),MONTH(TODAY()),1))),3)=0,1,0),IF(Suppliers!E12="Semi-annual",IF(MOD((YEAR(EDATE(DATE(YEAR(TODAY()),MONTH(TODAY()),1),19))-YEAR(IF(ISNUMBER(Suppliers!F12),Suppliers!F12,DATE(YEAR(TODAY()),MONTH(TODAY()),1))))*12+MONTH(EDATE(DATE(YEAR(TODAY()),MONTH(TODAY()),1),19))-MONTH(IF(ISNUMBER(Suppliers!F12),Suppliers!F12,DATE(YEAR(TODAY()),MONTH(TODAY()),1))),6)=0,1,0),IF(Suppliers!E12="Annual",IF(MOD((YEAR(EDATE(DATE(YEAR(TODAY()),MONTH(TODAY()),1),19))-YEAR(IF(ISNUMBER(Suppliers!F12),Suppliers!F12,DATE(YEAR(TODAY()),MONTH(TODAY()),1))))*12+MONTH(EDATE(DATE(YEAR(TODAY()),MONTH(TODAY()),1),19))-MONTH(IF(ISNUMBER(Suppliers!F12),Suppliers!F12,DATE(YEAR(TODAY()),MONTH(TODAY()),1))),12)=0,1,0),IF(Suppliers!E12="One-time",IF(19=0,1,0),1)))))),"")</f>
        <v/>
      </c>
      <c r="Z14" s="10" t="str">
        <f ca="1">IFERROR(IF(OR(20&gt;=$B$1,Suppliers!A12="",NOT(ISNUMBER(Suppliers!D12)),Suppliers!L12="Expired",Suppliers!L12="Terminate"),"",Suppliers!D12*-1*IF(Suppliers!E12="Monthly",IF(AND(ISNUMBER(Suppliers!G12),(YEAR(EDATE(DATE(YEAR(TODAY()),MONTH(TODAY()),1),20))*12+MONTH(EDATE(DATE(YEAR(TODAY()),MONTH(TODAY()),1),20)))&gt;(YEAR(Suppliers!G12)*12+MONTH(Suppliers!G12))),"",1),IF(Suppliers!E12="Quarterly",IF(MOD((YEAR(EDATE(DATE(YEAR(TODAY()),MONTH(TODAY()),1),20))-YEAR(IF(ISNUMBER(Suppliers!F12),Suppliers!F12,DATE(YEAR(TODAY()),MONTH(TODAY()),1))))*12+MONTH(EDATE(DATE(YEAR(TODAY()),MONTH(TODAY()),1),20))-MONTH(IF(ISNUMBER(Suppliers!F12),Suppliers!F12,DATE(YEAR(TODAY()),MONTH(TODAY()),1))),3)=0,1,0),IF(Suppliers!E12="Semi-annual",IF(MOD((YEAR(EDATE(DATE(YEAR(TODAY()),MONTH(TODAY()),1),20))-YEAR(IF(ISNUMBER(Suppliers!F12),Suppliers!F12,DATE(YEAR(TODAY()),MONTH(TODAY()),1))))*12+MONTH(EDATE(DATE(YEAR(TODAY()),MONTH(TODAY()),1),20))-MONTH(IF(ISNUMBER(Suppliers!F12),Suppliers!F12,DATE(YEAR(TODAY()),MONTH(TODAY()),1))),6)=0,1,0),IF(Suppliers!E12="Annual",IF(MOD((YEAR(EDATE(DATE(YEAR(TODAY()),MONTH(TODAY()),1),20))-YEAR(IF(ISNUMBER(Suppliers!F12),Suppliers!F12,DATE(YEAR(TODAY()),MONTH(TODAY()),1))))*12+MONTH(EDATE(DATE(YEAR(TODAY()),MONTH(TODAY()),1),20))-MONTH(IF(ISNUMBER(Suppliers!F12),Suppliers!F12,DATE(YEAR(TODAY()),MONTH(TODAY()),1))),12)=0,1,0),IF(Suppliers!E12="One-time",IF(20=0,1,0),1)))))),"")</f>
        <v/>
      </c>
      <c r="AA14" s="10" t="str">
        <f ca="1">IFERROR(IF(OR(21&gt;=$B$1,Suppliers!A12="",NOT(ISNUMBER(Suppliers!D12)),Suppliers!L12="Expired",Suppliers!L12="Terminate"),"",Suppliers!D12*-1*IF(Suppliers!E12="Monthly",IF(AND(ISNUMBER(Suppliers!G12),(YEAR(EDATE(DATE(YEAR(TODAY()),MONTH(TODAY()),1),21))*12+MONTH(EDATE(DATE(YEAR(TODAY()),MONTH(TODAY()),1),21)))&gt;(YEAR(Suppliers!G12)*12+MONTH(Suppliers!G12))),"",1),IF(Suppliers!E12="Quarterly",IF(MOD((YEAR(EDATE(DATE(YEAR(TODAY()),MONTH(TODAY()),1),21))-YEAR(IF(ISNUMBER(Suppliers!F12),Suppliers!F12,DATE(YEAR(TODAY()),MONTH(TODAY()),1))))*12+MONTH(EDATE(DATE(YEAR(TODAY()),MONTH(TODAY()),1),21))-MONTH(IF(ISNUMBER(Suppliers!F12),Suppliers!F12,DATE(YEAR(TODAY()),MONTH(TODAY()),1))),3)=0,1,0),IF(Suppliers!E12="Semi-annual",IF(MOD((YEAR(EDATE(DATE(YEAR(TODAY()),MONTH(TODAY()),1),21))-YEAR(IF(ISNUMBER(Suppliers!F12),Suppliers!F12,DATE(YEAR(TODAY()),MONTH(TODAY()),1))))*12+MONTH(EDATE(DATE(YEAR(TODAY()),MONTH(TODAY()),1),21))-MONTH(IF(ISNUMBER(Suppliers!F12),Suppliers!F12,DATE(YEAR(TODAY()),MONTH(TODAY()),1))),6)=0,1,0),IF(Suppliers!E12="Annual",IF(MOD((YEAR(EDATE(DATE(YEAR(TODAY()),MONTH(TODAY()),1),21))-YEAR(IF(ISNUMBER(Suppliers!F12),Suppliers!F12,DATE(YEAR(TODAY()),MONTH(TODAY()),1))))*12+MONTH(EDATE(DATE(YEAR(TODAY()),MONTH(TODAY()),1),21))-MONTH(IF(ISNUMBER(Suppliers!F12),Suppliers!F12,DATE(YEAR(TODAY()),MONTH(TODAY()),1))),12)=0,1,0),IF(Suppliers!E12="One-time",IF(21=0,1,0),1)))))),"")</f>
        <v/>
      </c>
      <c r="AB14" s="10" t="str">
        <f ca="1">IFERROR(IF(OR(22&gt;=$B$1,Suppliers!A12="",NOT(ISNUMBER(Suppliers!D12)),Suppliers!L12="Expired",Suppliers!L12="Terminate"),"",Suppliers!D12*-1*IF(Suppliers!E12="Monthly",IF(AND(ISNUMBER(Suppliers!G12),(YEAR(EDATE(DATE(YEAR(TODAY()),MONTH(TODAY()),1),22))*12+MONTH(EDATE(DATE(YEAR(TODAY()),MONTH(TODAY()),1),22)))&gt;(YEAR(Suppliers!G12)*12+MONTH(Suppliers!G12))),"",1),IF(Suppliers!E12="Quarterly",IF(MOD((YEAR(EDATE(DATE(YEAR(TODAY()),MONTH(TODAY()),1),22))-YEAR(IF(ISNUMBER(Suppliers!F12),Suppliers!F12,DATE(YEAR(TODAY()),MONTH(TODAY()),1))))*12+MONTH(EDATE(DATE(YEAR(TODAY()),MONTH(TODAY()),1),22))-MONTH(IF(ISNUMBER(Suppliers!F12),Suppliers!F12,DATE(YEAR(TODAY()),MONTH(TODAY()),1))),3)=0,1,0),IF(Suppliers!E12="Semi-annual",IF(MOD((YEAR(EDATE(DATE(YEAR(TODAY()),MONTH(TODAY()),1),22))-YEAR(IF(ISNUMBER(Suppliers!F12),Suppliers!F12,DATE(YEAR(TODAY()),MONTH(TODAY()),1))))*12+MONTH(EDATE(DATE(YEAR(TODAY()),MONTH(TODAY()),1),22))-MONTH(IF(ISNUMBER(Suppliers!F12),Suppliers!F12,DATE(YEAR(TODAY()),MONTH(TODAY()),1))),6)=0,1,0),IF(Suppliers!E12="Annual",IF(MOD((YEAR(EDATE(DATE(YEAR(TODAY()),MONTH(TODAY()),1),22))-YEAR(IF(ISNUMBER(Suppliers!F12),Suppliers!F12,DATE(YEAR(TODAY()),MONTH(TODAY()),1))))*12+MONTH(EDATE(DATE(YEAR(TODAY()),MONTH(TODAY()),1),22))-MONTH(IF(ISNUMBER(Suppliers!F12),Suppliers!F12,DATE(YEAR(TODAY()),MONTH(TODAY()),1))),12)=0,1,0),IF(Suppliers!E12="One-time",IF(22=0,1,0),1)))))),"")</f>
        <v/>
      </c>
      <c r="AC14" s="10" t="str">
        <f ca="1">IFERROR(IF(OR(23&gt;=$B$1,Suppliers!A12="",NOT(ISNUMBER(Suppliers!D12)),Suppliers!L12="Expired",Suppliers!L12="Terminate"),"",Suppliers!D12*-1*IF(Suppliers!E12="Monthly",IF(AND(ISNUMBER(Suppliers!G12),(YEAR(EDATE(DATE(YEAR(TODAY()),MONTH(TODAY()),1),23))*12+MONTH(EDATE(DATE(YEAR(TODAY()),MONTH(TODAY()),1),23)))&gt;(YEAR(Suppliers!G12)*12+MONTH(Suppliers!G12))),"",1),IF(Suppliers!E12="Quarterly",IF(MOD((YEAR(EDATE(DATE(YEAR(TODAY()),MONTH(TODAY()),1),23))-YEAR(IF(ISNUMBER(Suppliers!F12),Suppliers!F12,DATE(YEAR(TODAY()),MONTH(TODAY()),1))))*12+MONTH(EDATE(DATE(YEAR(TODAY()),MONTH(TODAY()),1),23))-MONTH(IF(ISNUMBER(Suppliers!F12),Suppliers!F12,DATE(YEAR(TODAY()),MONTH(TODAY()),1))),3)=0,1,0),IF(Suppliers!E12="Semi-annual",IF(MOD((YEAR(EDATE(DATE(YEAR(TODAY()),MONTH(TODAY()),1),23))-YEAR(IF(ISNUMBER(Suppliers!F12),Suppliers!F12,DATE(YEAR(TODAY()),MONTH(TODAY()),1))))*12+MONTH(EDATE(DATE(YEAR(TODAY()),MONTH(TODAY()),1),23))-MONTH(IF(ISNUMBER(Suppliers!F12),Suppliers!F12,DATE(YEAR(TODAY()),MONTH(TODAY()),1))),6)=0,1,0),IF(Suppliers!E12="Annual",IF(MOD((YEAR(EDATE(DATE(YEAR(TODAY()),MONTH(TODAY()),1),23))-YEAR(IF(ISNUMBER(Suppliers!F12),Suppliers!F12,DATE(YEAR(TODAY()),MONTH(TODAY()),1))))*12+MONTH(EDATE(DATE(YEAR(TODAY()),MONTH(TODAY()),1),23))-MONTH(IF(ISNUMBER(Suppliers!F12),Suppliers!F12,DATE(YEAR(TODAY()),MONTH(TODAY()),1))),12)=0,1,0),IF(Suppliers!E12="One-time",IF(23=0,1,0),1)))))),"")</f>
        <v/>
      </c>
    </row>
    <row r="15" spans="1:29" ht="15" customHeight="1" x14ac:dyDescent="0.35">
      <c r="A15" s="4" t="s">
        <v>80</v>
      </c>
      <c r="B15" s="4" t="str">
        <f>IF(Suppliers!A13="","",Suppliers!A13)</f>
        <v>Mu Office Supplies</v>
      </c>
      <c r="C15" s="10">
        <f>IF(Suppliers!C13="","",Suppliers!C13)</f>
        <v>150</v>
      </c>
      <c r="D15" s="10">
        <f>IF(Suppliers!D13="","",Suppliers!D13)</f>
        <v>178</v>
      </c>
      <c r="E15" s="4" t="str">
        <f>IF(Suppliers!E13="","",Suppliers!E13)</f>
        <v>Monthly</v>
      </c>
      <c r="F15" s="10">
        <f ca="1">IFERROR(IF(OR(0&gt;=$B$1,Suppliers!A13="",NOT(ISNUMBER(Suppliers!D13)),Suppliers!L13="Expired",Suppliers!L13="Terminate"),"",Suppliers!D13*-1*IF(Suppliers!E13="Monthly",IF(AND(ISNUMBER(Suppliers!G13),(YEAR(EDATE(DATE(YEAR(TODAY()),MONTH(TODAY()),1),0))*12+MONTH(EDATE(DATE(YEAR(TODAY()),MONTH(TODAY()),1),0)))&gt;(YEAR(Suppliers!G13)*12+MONTH(Suppliers!G13))),"",1),IF(Suppliers!E13="Quarterly",IF(MOD((YEAR(EDATE(DATE(YEAR(TODAY()),MONTH(TODAY()),1),0))-YEAR(IF(ISNUMBER(Suppliers!F13),Suppliers!F13,DATE(YEAR(TODAY()),MONTH(TODAY()),1))))*12+MONTH(EDATE(DATE(YEAR(TODAY()),MONTH(TODAY()),1),0))-MONTH(IF(ISNUMBER(Suppliers!F13),Suppliers!F13,DATE(YEAR(TODAY()),MONTH(TODAY()),1))),3)=0,1,0),IF(Suppliers!E13="Semi-annual",IF(MOD((YEAR(EDATE(DATE(YEAR(TODAY()),MONTH(TODAY()),1),0))-YEAR(IF(ISNUMBER(Suppliers!F13),Suppliers!F13,DATE(YEAR(TODAY()),MONTH(TODAY()),1))))*12+MONTH(EDATE(DATE(YEAR(TODAY()),MONTH(TODAY()),1),0))-MONTH(IF(ISNUMBER(Suppliers!F13),Suppliers!F13,DATE(YEAR(TODAY()),MONTH(TODAY()),1))),6)=0,1,0),IF(Suppliers!E13="Annual",IF(MOD((YEAR(EDATE(DATE(YEAR(TODAY()),MONTH(TODAY()),1),0))-YEAR(IF(ISNUMBER(Suppliers!F13),Suppliers!F13,DATE(YEAR(TODAY()),MONTH(TODAY()),1))))*12+MONTH(EDATE(DATE(YEAR(TODAY()),MONTH(TODAY()),1),0))-MONTH(IF(ISNUMBER(Suppliers!F13),Suppliers!F13,DATE(YEAR(TODAY()),MONTH(TODAY()),1))),12)=0,1,0),IF(Suppliers!E13="One-time",IF(0=0,1,0),1)))))),"")</f>
        <v>-178</v>
      </c>
      <c r="G15" s="10">
        <f ca="1">IFERROR(IF(OR(1&gt;=$B$1,Suppliers!A13="",NOT(ISNUMBER(Suppliers!D13)),Suppliers!L13="Expired",Suppliers!L13="Terminate"),"",Suppliers!D13*-1*IF(Suppliers!E13="Monthly",IF(AND(ISNUMBER(Suppliers!G13),(YEAR(EDATE(DATE(YEAR(TODAY()),MONTH(TODAY()),1),1))*12+MONTH(EDATE(DATE(YEAR(TODAY()),MONTH(TODAY()),1),1)))&gt;(YEAR(Suppliers!G13)*12+MONTH(Suppliers!G13))),"",1),IF(Suppliers!E13="Quarterly",IF(MOD((YEAR(EDATE(DATE(YEAR(TODAY()),MONTH(TODAY()),1),1))-YEAR(IF(ISNUMBER(Suppliers!F13),Suppliers!F13,DATE(YEAR(TODAY()),MONTH(TODAY()),1))))*12+MONTH(EDATE(DATE(YEAR(TODAY()),MONTH(TODAY()),1),1))-MONTH(IF(ISNUMBER(Suppliers!F13),Suppliers!F13,DATE(YEAR(TODAY()),MONTH(TODAY()),1))),3)=0,1,0),IF(Suppliers!E13="Semi-annual",IF(MOD((YEAR(EDATE(DATE(YEAR(TODAY()),MONTH(TODAY()),1),1))-YEAR(IF(ISNUMBER(Suppliers!F13),Suppliers!F13,DATE(YEAR(TODAY()),MONTH(TODAY()),1))))*12+MONTH(EDATE(DATE(YEAR(TODAY()),MONTH(TODAY()),1),1))-MONTH(IF(ISNUMBER(Suppliers!F13),Suppliers!F13,DATE(YEAR(TODAY()),MONTH(TODAY()),1))),6)=0,1,0),IF(Suppliers!E13="Annual",IF(MOD((YEAR(EDATE(DATE(YEAR(TODAY()),MONTH(TODAY()),1),1))-YEAR(IF(ISNUMBER(Suppliers!F13),Suppliers!F13,DATE(YEAR(TODAY()),MONTH(TODAY()),1))))*12+MONTH(EDATE(DATE(YEAR(TODAY()),MONTH(TODAY()),1),1))-MONTH(IF(ISNUMBER(Suppliers!F13),Suppliers!F13,DATE(YEAR(TODAY()),MONTH(TODAY()),1))),12)=0,1,0),IF(Suppliers!E13="One-time",IF(1=0,1,0),1)))))),"")</f>
        <v>-178</v>
      </c>
      <c r="H15" s="10">
        <f ca="1">IFERROR(IF(OR(2&gt;=$B$1,Suppliers!A13="",NOT(ISNUMBER(Suppliers!D13)),Suppliers!L13="Expired",Suppliers!L13="Terminate"),"",Suppliers!D13*-1*IF(Suppliers!E13="Monthly",IF(AND(ISNUMBER(Suppliers!G13),(YEAR(EDATE(DATE(YEAR(TODAY()),MONTH(TODAY()),1),2))*12+MONTH(EDATE(DATE(YEAR(TODAY()),MONTH(TODAY()),1),2)))&gt;(YEAR(Suppliers!G13)*12+MONTH(Suppliers!G13))),"",1),IF(Suppliers!E13="Quarterly",IF(MOD((YEAR(EDATE(DATE(YEAR(TODAY()),MONTH(TODAY()),1),2))-YEAR(IF(ISNUMBER(Suppliers!F13),Suppliers!F13,DATE(YEAR(TODAY()),MONTH(TODAY()),1))))*12+MONTH(EDATE(DATE(YEAR(TODAY()),MONTH(TODAY()),1),2))-MONTH(IF(ISNUMBER(Suppliers!F13),Suppliers!F13,DATE(YEAR(TODAY()),MONTH(TODAY()),1))),3)=0,1,0),IF(Suppliers!E13="Semi-annual",IF(MOD((YEAR(EDATE(DATE(YEAR(TODAY()),MONTH(TODAY()),1),2))-YEAR(IF(ISNUMBER(Suppliers!F13),Suppliers!F13,DATE(YEAR(TODAY()),MONTH(TODAY()),1))))*12+MONTH(EDATE(DATE(YEAR(TODAY()),MONTH(TODAY()),1),2))-MONTH(IF(ISNUMBER(Suppliers!F13),Suppliers!F13,DATE(YEAR(TODAY()),MONTH(TODAY()),1))),6)=0,1,0),IF(Suppliers!E13="Annual",IF(MOD((YEAR(EDATE(DATE(YEAR(TODAY()),MONTH(TODAY()),1),2))-YEAR(IF(ISNUMBER(Suppliers!F13),Suppliers!F13,DATE(YEAR(TODAY()),MONTH(TODAY()),1))))*12+MONTH(EDATE(DATE(YEAR(TODAY()),MONTH(TODAY()),1),2))-MONTH(IF(ISNUMBER(Suppliers!F13),Suppliers!F13,DATE(YEAR(TODAY()),MONTH(TODAY()),1))),12)=0,1,0),IF(Suppliers!E13="One-time",IF(2=0,1,0),1)))))),"")</f>
        <v>-178</v>
      </c>
      <c r="I15" s="10" t="str">
        <f ca="1">IFERROR(IF(OR(3&gt;=$B$1,Suppliers!A13="",NOT(ISNUMBER(Suppliers!D13)),Suppliers!L13="Expired",Suppliers!L13="Terminate"),"",Suppliers!D13*-1*IF(Suppliers!E13="Monthly",IF(AND(ISNUMBER(Suppliers!G13),(YEAR(EDATE(DATE(YEAR(TODAY()),MONTH(TODAY()),1),3))*12+MONTH(EDATE(DATE(YEAR(TODAY()),MONTH(TODAY()),1),3)))&gt;(YEAR(Suppliers!G13)*12+MONTH(Suppliers!G13))),"",1),IF(Suppliers!E13="Quarterly",IF(MOD((YEAR(EDATE(DATE(YEAR(TODAY()),MONTH(TODAY()),1),3))-YEAR(IF(ISNUMBER(Suppliers!F13),Suppliers!F13,DATE(YEAR(TODAY()),MONTH(TODAY()),1))))*12+MONTH(EDATE(DATE(YEAR(TODAY()),MONTH(TODAY()),1),3))-MONTH(IF(ISNUMBER(Suppliers!F13),Suppliers!F13,DATE(YEAR(TODAY()),MONTH(TODAY()),1))),3)=0,1,0),IF(Suppliers!E13="Semi-annual",IF(MOD((YEAR(EDATE(DATE(YEAR(TODAY()),MONTH(TODAY()),1),3))-YEAR(IF(ISNUMBER(Suppliers!F13),Suppliers!F13,DATE(YEAR(TODAY()),MONTH(TODAY()),1))))*12+MONTH(EDATE(DATE(YEAR(TODAY()),MONTH(TODAY()),1),3))-MONTH(IF(ISNUMBER(Suppliers!F13),Suppliers!F13,DATE(YEAR(TODAY()),MONTH(TODAY()),1))),6)=0,1,0),IF(Suppliers!E13="Annual",IF(MOD((YEAR(EDATE(DATE(YEAR(TODAY()),MONTH(TODAY()),1),3))-YEAR(IF(ISNUMBER(Suppliers!F13),Suppliers!F13,DATE(YEAR(TODAY()),MONTH(TODAY()),1))))*12+MONTH(EDATE(DATE(YEAR(TODAY()),MONTH(TODAY()),1),3))-MONTH(IF(ISNUMBER(Suppliers!F13),Suppliers!F13,DATE(YEAR(TODAY()),MONTH(TODAY()),1))),12)=0,1,0),IF(Suppliers!E13="One-time",IF(3=0,1,0),1)))))),"")</f>
        <v/>
      </c>
      <c r="J15" s="10" t="str">
        <f ca="1">IFERROR(IF(OR(4&gt;=$B$1,Suppliers!A13="",NOT(ISNUMBER(Suppliers!D13)),Suppliers!L13="Expired",Suppliers!L13="Terminate"),"",Suppliers!D13*-1*IF(Suppliers!E13="Monthly",IF(AND(ISNUMBER(Suppliers!G13),(YEAR(EDATE(DATE(YEAR(TODAY()),MONTH(TODAY()),1),4))*12+MONTH(EDATE(DATE(YEAR(TODAY()),MONTH(TODAY()),1),4)))&gt;(YEAR(Suppliers!G13)*12+MONTH(Suppliers!G13))),"",1),IF(Suppliers!E13="Quarterly",IF(MOD((YEAR(EDATE(DATE(YEAR(TODAY()),MONTH(TODAY()),1),4))-YEAR(IF(ISNUMBER(Suppliers!F13),Suppliers!F13,DATE(YEAR(TODAY()),MONTH(TODAY()),1))))*12+MONTH(EDATE(DATE(YEAR(TODAY()),MONTH(TODAY()),1),4))-MONTH(IF(ISNUMBER(Suppliers!F13),Suppliers!F13,DATE(YEAR(TODAY()),MONTH(TODAY()),1))),3)=0,1,0),IF(Suppliers!E13="Semi-annual",IF(MOD((YEAR(EDATE(DATE(YEAR(TODAY()),MONTH(TODAY()),1),4))-YEAR(IF(ISNUMBER(Suppliers!F13),Suppliers!F13,DATE(YEAR(TODAY()),MONTH(TODAY()),1))))*12+MONTH(EDATE(DATE(YEAR(TODAY()),MONTH(TODAY()),1),4))-MONTH(IF(ISNUMBER(Suppliers!F13),Suppliers!F13,DATE(YEAR(TODAY()),MONTH(TODAY()),1))),6)=0,1,0),IF(Suppliers!E13="Annual",IF(MOD((YEAR(EDATE(DATE(YEAR(TODAY()),MONTH(TODAY()),1),4))-YEAR(IF(ISNUMBER(Suppliers!F13),Suppliers!F13,DATE(YEAR(TODAY()),MONTH(TODAY()),1))))*12+MONTH(EDATE(DATE(YEAR(TODAY()),MONTH(TODAY()),1),4))-MONTH(IF(ISNUMBER(Suppliers!F13),Suppliers!F13,DATE(YEAR(TODAY()),MONTH(TODAY()),1))),12)=0,1,0),IF(Suppliers!E13="One-time",IF(4=0,1,0),1)))))),"")</f>
        <v/>
      </c>
      <c r="K15" s="10" t="str">
        <f ca="1">IFERROR(IF(OR(5&gt;=$B$1,Suppliers!A13="",NOT(ISNUMBER(Suppliers!D13)),Suppliers!L13="Expired",Suppliers!L13="Terminate"),"",Suppliers!D13*-1*IF(Suppliers!E13="Monthly",IF(AND(ISNUMBER(Suppliers!G13),(YEAR(EDATE(DATE(YEAR(TODAY()),MONTH(TODAY()),1),5))*12+MONTH(EDATE(DATE(YEAR(TODAY()),MONTH(TODAY()),1),5)))&gt;(YEAR(Suppliers!G13)*12+MONTH(Suppliers!G13))),"",1),IF(Suppliers!E13="Quarterly",IF(MOD((YEAR(EDATE(DATE(YEAR(TODAY()),MONTH(TODAY()),1),5))-YEAR(IF(ISNUMBER(Suppliers!F13),Suppliers!F13,DATE(YEAR(TODAY()),MONTH(TODAY()),1))))*12+MONTH(EDATE(DATE(YEAR(TODAY()),MONTH(TODAY()),1),5))-MONTH(IF(ISNUMBER(Suppliers!F13),Suppliers!F13,DATE(YEAR(TODAY()),MONTH(TODAY()),1))),3)=0,1,0),IF(Suppliers!E13="Semi-annual",IF(MOD((YEAR(EDATE(DATE(YEAR(TODAY()),MONTH(TODAY()),1),5))-YEAR(IF(ISNUMBER(Suppliers!F13),Suppliers!F13,DATE(YEAR(TODAY()),MONTH(TODAY()),1))))*12+MONTH(EDATE(DATE(YEAR(TODAY()),MONTH(TODAY()),1),5))-MONTH(IF(ISNUMBER(Suppliers!F13),Suppliers!F13,DATE(YEAR(TODAY()),MONTH(TODAY()),1))),6)=0,1,0),IF(Suppliers!E13="Annual",IF(MOD((YEAR(EDATE(DATE(YEAR(TODAY()),MONTH(TODAY()),1),5))-YEAR(IF(ISNUMBER(Suppliers!F13),Suppliers!F13,DATE(YEAR(TODAY()),MONTH(TODAY()),1))))*12+MONTH(EDATE(DATE(YEAR(TODAY()),MONTH(TODAY()),1),5))-MONTH(IF(ISNUMBER(Suppliers!F13),Suppliers!F13,DATE(YEAR(TODAY()),MONTH(TODAY()),1))),12)=0,1,0),IF(Suppliers!E13="One-time",IF(5=0,1,0),1)))))),"")</f>
        <v/>
      </c>
      <c r="L15" s="10" t="str">
        <f ca="1">IFERROR(IF(OR(6&gt;=$B$1,Suppliers!A13="",NOT(ISNUMBER(Suppliers!D13)),Suppliers!L13="Expired",Suppliers!L13="Terminate"),"",Suppliers!D13*-1*IF(Suppliers!E13="Monthly",IF(AND(ISNUMBER(Suppliers!G13),(YEAR(EDATE(DATE(YEAR(TODAY()),MONTH(TODAY()),1),6))*12+MONTH(EDATE(DATE(YEAR(TODAY()),MONTH(TODAY()),1),6)))&gt;(YEAR(Suppliers!G13)*12+MONTH(Suppliers!G13))),"",1),IF(Suppliers!E13="Quarterly",IF(MOD((YEAR(EDATE(DATE(YEAR(TODAY()),MONTH(TODAY()),1),6))-YEAR(IF(ISNUMBER(Suppliers!F13),Suppliers!F13,DATE(YEAR(TODAY()),MONTH(TODAY()),1))))*12+MONTH(EDATE(DATE(YEAR(TODAY()),MONTH(TODAY()),1),6))-MONTH(IF(ISNUMBER(Suppliers!F13),Suppliers!F13,DATE(YEAR(TODAY()),MONTH(TODAY()),1))),3)=0,1,0),IF(Suppliers!E13="Semi-annual",IF(MOD((YEAR(EDATE(DATE(YEAR(TODAY()),MONTH(TODAY()),1),6))-YEAR(IF(ISNUMBER(Suppliers!F13),Suppliers!F13,DATE(YEAR(TODAY()),MONTH(TODAY()),1))))*12+MONTH(EDATE(DATE(YEAR(TODAY()),MONTH(TODAY()),1),6))-MONTH(IF(ISNUMBER(Suppliers!F13),Suppliers!F13,DATE(YEAR(TODAY()),MONTH(TODAY()),1))),6)=0,1,0),IF(Suppliers!E13="Annual",IF(MOD((YEAR(EDATE(DATE(YEAR(TODAY()),MONTH(TODAY()),1),6))-YEAR(IF(ISNUMBER(Suppliers!F13),Suppliers!F13,DATE(YEAR(TODAY()),MONTH(TODAY()),1))))*12+MONTH(EDATE(DATE(YEAR(TODAY()),MONTH(TODAY()),1),6))-MONTH(IF(ISNUMBER(Suppliers!F13),Suppliers!F13,DATE(YEAR(TODAY()),MONTH(TODAY()),1))),12)=0,1,0),IF(Suppliers!E13="One-time",IF(6=0,1,0),1)))))),"")</f>
        <v/>
      </c>
      <c r="M15" s="10" t="str">
        <f ca="1">IFERROR(IF(OR(7&gt;=$B$1,Suppliers!A13="",NOT(ISNUMBER(Suppliers!D13)),Suppliers!L13="Expired",Suppliers!L13="Terminate"),"",Suppliers!D13*-1*IF(Suppliers!E13="Monthly",IF(AND(ISNUMBER(Suppliers!G13),(YEAR(EDATE(DATE(YEAR(TODAY()),MONTH(TODAY()),1),7))*12+MONTH(EDATE(DATE(YEAR(TODAY()),MONTH(TODAY()),1),7)))&gt;(YEAR(Suppliers!G13)*12+MONTH(Suppliers!G13))),"",1),IF(Suppliers!E13="Quarterly",IF(MOD((YEAR(EDATE(DATE(YEAR(TODAY()),MONTH(TODAY()),1),7))-YEAR(IF(ISNUMBER(Suppliers!F13),Suppliers!F13,DATE(YEAR(TODAY()),MONTH(TODAY()),1))))*12+MONTH(EDATE(DATE(YEAR(TODAY()),MONTH(TODAY()),1),7))-MONTH(IF(ISNUMBER(Suppliers!F13),Suppliers!F13,DATE(YEAR(TODAY()),MONTH(TODAY()),1))),3)=0,1,0),IF(Suppliers!E13="Semi-annual",IF(MOD((YEAR(EDATE(DATE(YEAR(TODAY()),MONTH(TODAY()),1),7))-YEAR(IF(ISNUMBER(Suppliers!F13),Suppliers!F13,DATE(YEAR(TODAY()),MONTH(TODAY()),1))))*12+MONTH(EDATE(DATE(YEAR(TODAY()),MONTH(TODAY()),1),7))-MONTH(IF(ISNUMBER(Suppliers!F13),Suppliers!F13,DATE(YEAR(TODAY()),MONTH(TODAY()),1))),6)=0,1,0),IF(Suppliers!E13="Annual",IF(MOD((YEAR(EDATE(DATE(YEAR(TODAY()),MONTH(TODAY()),1),7))-YEAR(IF(ISNUMBER(Suppliers!F13),Suppliers!F13,DATE(YEAR(TODAY()),MONTH(TODAY()),1))))*12+MONTH(EDATE(DATE(YEAR(TODAY()),MONTH(TODAY()),1),7))-MONTH(IF(ISNUMBER(Suppliers!F13),Suppliers!F13,DATE(YEAR(TODAY()),MONTH(TODAY()),1))),12)=0,1,0),IF(Suppliers!E13="One-time",IF(7=0,1,0),1)))))),"")</f>
        <v/>
      </c>
      <c r="N15" s="10" t="str">
        <f ca="1">IFERROR(IF(OR(8&gt;=$B$1,Suppliers!A13="",NOT(ISNUMBER(Suppliers!D13)),Suppliers!L13="Expired",Suppliers!L13="Terminate"),"",Suppliers!D13*-1*IF(Suppliers!E13="Monthly",IF(AND(ISNUMBER(Suppliers!G13),(YEAR(EDATE(DATE(YEAR(TODAY()),MONTH(TODAY()),1),8))*12+MONTH(EDATE(DATE(YEAR(TODAY()),MONTH(TODAY()),1),8)))&gt;(YEAR(Suppliers!G13)*12+MONTH(Suppliers!G13))),"",1),IF(Suppliers!E13="Quarterly",IF(MOD((YEAR(EDATE(DATE(YEAR(TODAY()),MONTH(TODAY()),1),8))-YEAR(IF(ISNUMBER(Suppliers!F13),Suppliers!F13,DATE(YEAR(TODAY()),MONTH(TODAY()),1))))*12+MONTH(EDATE(DATE(YEAR(TODAY()),MONTH(TODAY()),1),8))-MONTH(IF(ISNUMBER(Suppliers!F13),Suppliers!F13,DATE(YEAR(TODAY()),MONTH(TODAY()),1))),3)=0,1,0),IF(Suppliers!E13="Semi-annual",IF(MOD((YEAR(EDATE(DATE(YEAR(TODAY()),MONTH(TODAY()),1),8))-YEAR(IF(ISNUMBER(Suppliers!F13),Suppliers!F13,DATE(YEAR(TODAY()),MONTH(TODAY()),1))))*12+MONTH(EDATE(DATE(YEAR(TODAY()),MONTH(TODAY()),1),8))-MONTH(IF(ISNUMBER(Suppliers!F13),Suppliers!F13,DATE(YEAR(TODAY()),MONTH(TODAY()),1))),6)=0,1,0),IF(Suppliers!E13="Annual",IF(MOD((YEAR(EDATE(DATE(YEAR(TODAY()),MONTH(TODAY()),1),8))-YEAR(IF(ISNUMBER(Suppliers!F13),Suppliers!F13,DATE(YEAR(TODAY()),MONTH(TODAY()),1))))*12+MONTH(EDATE(DATE(YEAR(TODAY()),MONTH(TODAY()),1),8))-MONTH(IF(ISNUMBER(Suppliers!F13),Suppliers!F13,DATE(YEAR(TODAY()),MONTH(TODAY()),1))),12)=0,1,0),IF(Suppliers!E13="One-time",IF(8=0,1,0),1)))))),"")</f>
        <v/>
      </c>
      <c r="O15" s="10" t="str">
        <f ca="1">IFERROR(IF(OR(9&gt;=$B$1,Suppliers!A13="",NOT(ISNUMBER(Suppliers!D13)),Suppliers!L13="Expired",Suppliers!L13="Terminate"),"",Suppliers!D13*-1*IF(Suppliers!E13="Monthly",IF(AND(ISNUMBER(Suppliers!G13),(YEAR(EDATE(DATE(YEAR(TODAY()),MONTH(TODAY()),1),9))*12+MONTH(EDATE(DATE(YEAR(TODAY()),MONTH(TODAY()),1),9)))&gt;(YEAR(Suppliers!G13)*12+MONTH(Suppliers!G13))),"",1),IF(Suppliers!E13="Quarterly",IF(MOD((YEAR(EDATE(DATE(YEAR(TODAY()),MONTH(TODAY()),1),9))-YEAR(IF(ISNUMBER(Suppliers!F13),Suppliers!F13,DATE(YEAR(TODAY()),MONTH(TODAY()),1))))*12+MONTH(EDATE(DATE(YEAR(TODAY()),MONTH(TODAY()),1),9))-MONTH(IF(ISNUMBER(Suppliers!F13),Suppliers!F13,DATE(YEAR(TODAY()),MONTH(TODAY()),1))),3)=0,1,0),IF(Suppliers!E13="Semi-annual",IF(MOD((YEAR(EDATE(DATE(YEAR(TODAY()),MONTH(TODAY()),1),9))-YEAR(IF(ISNUMBER(Suppliers!F13),Suppliers!F13,DATE(YEAR(TODAY()),MONTH(TODAY()),1))))*12+MONTH(EDATE(DATE(YEAR(TODAY()),MONTH(TODAY()),1),9))-MONTH(IF(ISNUMBER(Suppliers!F13),Suppliers!F13,DATE(YEAR(TODAY()),MONTH(TODAY()),1))),6)=0,1,0),IF(Suppliers!E13="Annual",IF(MOD((YEAR(EDATE(DATE(YEAR(TODAY()),MONTH(TODAY()),1),9))-YEAR(IF(ISNUMBER(Suppliers!F13),Suppliers!F13,DATE(YEAR(TODAY()),MONTH(TODAY()),1))))*12+MONTH(EDATE(DATE(YEAR(TODAY()),MONTH(TODAY()),1),9))-MONTH(IF(ISNUMBER(Suppliers!F13),Suppliers!F13,DATE(YEAR(TODAY()),MONTH(TODAY()),1))),12)=0,1,0),IF(Suppliers!E13="One-time",IF(9=0,1,0),1)))))),"")</f>
        <v/>
      </c>
      <c r="P15" s="10" t="str">
        <f ca="1">IFERROR(IF(OR(10&gt;=$B$1,Suppliers!A13="",NOT(ISNUMBER(Suppliers!D13)),Suppliers!L13="Expired",Suppliers!L13="Terminate"),"",Suppliers!D13*-1*IF(Suppliers!E13="Monthly",IF(AND(ISNUMBER(Suppliers!G13),(YEAR(EDATE(DATE(YEAR(TODAY()),MONTH(TODAY()),1),10))*12+MONTH(EDATE(DATE(YEAR(TODAY()),MONTH(TODAY()),1),10)))&gt;(YEAR(Suppliers!G13)*12+MONTH(Suppliers!G13))),"",1),IF(Suppliers!E13="Quarterly",IF(MOD((YEAR(EDATE(DATE(YEAR(TODAY()),MONTH(TODAY()),1),10))-YEAR(IF(ISNUMBER(Suppliers!F13),Suppliers!F13,DATE(YEAR(TODAY()),MONTH(TODAY()),1))))*12+MONTH(EDATE(DATE(YEAR(TODAY()),MONTH(TODAY()),1),10))-MONTH(IF(ISNUMBER(Suppliers!F13),Suppliers!F13,DATE(YEAR(TODAY()),MONTH(TODAY()),1))),3)=0,1,0),IF(Suppliers!E13="Semi-annual",IF(MOD((YEAR(EDATE(DATE(YEAR(TODAY()),MONTH(TODAY()),1),10))-YEAR(IF(ISNUMBER(Suppliers!F13),Suppliers!F13,DATE(YEAR(TODAY()),MONTH(TODAY()),1))))*12+MONTH(EDATE(DATE(YEAR(TODAY()),MONTH(TODAY()),1),10))-MONTH(IF(ISNUMBER(Suppliers!F13),Suppliers!F13,DATE(YEAR(TODAY()),MONTH(TODAY()),1))),6)=0,1,0),IF(Suppliers!E13="Annual",IF(MOD((YEAR(EDATE(DATE(YEAR(TODAY()),MONTH(TODAY()),1),10))-YEAR(IF(ISNUMBER(Suppliers!F13),Suppliers!F13,DATE(YEAR(TODAY()),MONTH(TODAY()),1))))*12+MONTH(EDATE(DATE(YEAR(TODAY()),MONTH(TODAY()),1),10))-MONTH(IF(ISNUMBER(Suppliers!F13),Suppliers!F13,DATE(YEAR(TODAY()),MONTH(TODAY()),1))),12)=0,1,0),IF(Suppliers!E13="One-time",IF(10=0,1,0),1)))))),"")</f>
        <v/>
      </c>
      <c r="Q15" s="10" t="str">
        <f ca="1">IFERROR(IF(OR(11&gt;=$B$1,Suppliers!A13="",NOT(ISNUMBER(Suppliers!D13)),Suppliers!L13="Expired",Suppliers!L13="Terminate"),"",Suppliers!D13*-1*IF(Suppliers!E13="Monthly",IF(AND(ISNUMBER(Suppliers!G13),(YEAR(EDATE(DATE(YEAR(TODAY()),MONTH(TODAY()),1),11))*12+MONTH(EDATE(DATE(YEAR(TODAY()),MONTH(TODAY()),1),11)))&gt;(YEAR(Suppliers!G13)*12+MONTH(Suppliers!G13))),"",1),IF(Suppliers!E13="Quarterly",IF(MOD((YEAR(EDATE(DATE(YEAR(TODAY()),MONTH(TODAY()),1),11))-YEAR(IF(ISNUMBER(Suppliers!F13),Suppliers!F13,DATE(YEAR(TODAY()),MONTH(TODAY()),1))))*12+MONTH(EDATE(DATE(YEAR(TODAY()),MONTH(TODAY()),1),11))-MONTH(IF(ISNUMBER(Suppliers!F13),Suppliers!F13,DATE(YEAR(TODAY()),MONTH(TODAY()),1))),3)=0,1,0),IF(Suppliers!E13="Semi-annual",IF(MOD((YEAR(EDATE(DATE(YEAR(TODAY()),MONTH(TODAY()),1),11))-YEAR(IF(ISNUMBER(Suppliers!F13),Suppliers!F13,DATE(YEAR(TODAY()),MONTH(TODAY()),1))))*12+MONTH(EDATE(DATE(YEAR(TODAY()),MONTH(TODAY()),1),11))-MONTH(IF(ISNUMBER(Suppliers!F13),Suppliers!F13,DATE(YEAR(TODAY()),MONTH(TODAY()),1))),6)=0,1,0),IF(Suppliers!E13="Annual",IF(MOD((YEAR(EDATE(DATE(YEAR(TODAY()),MONTH(TODAY()),1),11))-YEAR(IF(ISNUMBER(Suppliers!F13),Suppliers!F13,DATE(YEAR(TODAY()),MONTH(TODAY()),1))))*12+MONTH(EDATE(DATE(YEAR(TODAY()),MONTH(TODAY()),1),11))-MONTH(IF(ISNUMBER(Suppliers!F13),Suppliers!F13,DATE(YEAR(TODAY()),MONTH(TODAY()),1))),12)=0,1,0),IF(Suppliers!E13="One-time",IF(11=0,1,0),1)))))),"")</f>
        <v/>
      </c>
      <c r="R15" s="10" t="str">
        <f ca="1">IFERROR(IF(OR(12&gt;=$B$1,Suppliers!A13="",NOT(ISNUMBER(Suppliers!D13)),Suppliers!L13="Expired",Suppliers!L13="Terminate"),"",Suppliers!D13*-1*IF(Suppliers!E13="Monthly",IF(AND(ISNUMBER(Suppliers!G13),(YEAR(EDATE(DATE(YEAR(TODAY()),MONTH(TODAY()),1),12))*12+MONTH(EDATE(DATE(YEAR(TODAY()),MONTH(TODAY()),1),12)))&gt;(YEAR(Suppliers!G13)*12+MONTH(Suppliers!G13))),"",1),IF(Suppliers!E13="Quarterly",IF(MOD((YEAR(EDATE(DATE(YEAR(TODAY()),MONTH(TODAY()),1),12))-YEAR(IF(ISNUMBER(Suppliers!F13),Suppliers!F13,DATE(YEAR(TODAY()),MONTH(TODAY()),1))))*12+MONTH(EDATE(DATE(YEAR(TODAY()),MONTH(TODAY()),1),12))-MONTH(IF(ISNUMBER(Suppliers!F13),Suppliers!F13,DATE(YEAR(TODAY()),MONTH(TODAY()),1))),3)=0,1,0),IF(Suppliers!E13="Semi-annual",IF(MOD((YEAR(EDATE(DATE(YEAR(TODAY()),MONTH(TODAY()),1),12))-YEAR(IF(ISNUMBER(Suppliers!F13),Suppliers!F13,DATE(YEAR(TODAY()),MONTH(TODAY()),1))))*12+MONTH(EDATE(DATE(YEAR(TODAY()),MONTH(TODAY()),1),12))-MONTH(IF(ISNUMBER(Suppliers!F13),Suppliers!F13,DATE(YEAR(TODAY()),MONTH(TODAY()),1))),6)=0,1,0),IF(Suppliers!E13="Annual",IF(MOD((YEAR(EDATE(DATE(YEAR(TODAY()),MONTH(TODAY()),1),12))-YEAR(IF(ISNUMBER(Suppliers!F13),Suppliers!F13,DATE(YEAR(TODAY()),MONTH(TODAY()),1))))*12+MONTH(EDATE(DATE(YEAR(TODAY()),MONTH(TODAY()),1),12))-MONTH(IF(ISNUMBER(Suppliers!F13),Suppliers!F13,DATE(YEAR(TODAY()),MONTH(TODAY()),1))),12)=0,1,0),IF(Suppliers!E13="One-time",IF(12=0,1,0),1)))))),"")</f>
        <v/>
      </c>
      <c r="S15" s="10" t="str">
        <f ca="1">IFERROR(IF(OR(13&gt;=$B$1,Suppliers!A13="",NOT(ISNUMBER(Suppliers!D13)),Suppliers!L13="Expired",Suppliers!L13="Terminate"),"",Suppliers!D13*-1*IF(Suppliers!E13="Monthly",IF(AND(ISNUMBER(Suppliers!G13),(YEAR(EDATE(DATE(YEAR(TODAY()),MONTH(TODAY()),1),13))*12+MONTH(EDATE(DATE(YEAR(TODAY()),MONTH(TODAY()),1),13)))&gt;(YEAR(Suppliers!G13)*12+MONTH(Suppliers!G13))),"",1),IF(Suppliers!E13="Quarterly",IF(MOD((YEAR(EDATE(DATE(YEAR(TODAY()),MONTH(TODAY()),1),13))-YEAR(IF(ISNUMBER(Suppliers!F13),Suppliers!F13,DATE(YEAR(TODAY()),MONTH(TODAY()),1))))*12+MONTH(EDATE(DATE(YEAR(TODAY()),MONTH(TODAY()),1),13))-MONTH(IF(ISNUMBER(Suppliers!F13),Suppliers!F13,DATE(YEAR(TODAY()),MONTH(TODAY()),1))),3)=0,1,0),IF(Suppliers!E13="Semi-annual",IF(MOD((YEAR(EDATE(DATE(YEAR(TODAY()),MONTH(TODAY()),1),13))-YEAR(IF(ISNUMBER(Suppliers!F13),Suppliers!F13,DATE(YEAR(TODAY()),MONTH(TODAY()),1))))*12+MONTH(EDATE(DATE(YEAR(TODAY()),MONTH(TODAY()),1),13))-MONTH(IF(ISNUMBER(Suppliers!F13),Suppliers!F13,DATE(YEAR(TODAY()),MONTH(TODAY()),1))),6)=0,1,0),IF(Suppliers!E13="Annual",IF(MOD((YEAR(EDATE(DATE(YEAR(TODAY()),MONTH(TODAY()),1),13))-YEAR(IF(ISNUMBER(Suppliers!F13),Suppliers!F13,DATE(YEAR(TODAY()),MONTH(TODAY()),1))))*12+MONTH(EDATE(DATE(YEAR(TODAY()),MONTH(TODAY()),1),13))-MONTH(IF(ISNUMBER(Suppliers!F13),Suppliers!F13,DATE(YEAR(TODAY()),MONTH(TODAY()),1))),12)=0,1,0),IF(Suppliers!E13="One-time",IF(13=0,1,0),1)))))),"")</f>
        <v/>
      </c>
      <c r="T15" s="10" t="str">
        <f ca="1">IFERROR(IF(OR(14&gt;=$B$1,Suppliers!A13="",NOT(ISNUMBER(Suppliers!D13)),Suppliers!L13="Expired",Suppliers!L13="Terminate"),"",Suppliers!D13*-1*IF(Suppliers!E13="Monthly",IF(AND(ISNUMBER(Suppliers!G13),(YEAR(EDATE(DATE(YEAR(TODAY()),MONTH(TODAY()),1),14))*12+MONTH(EDATE(DATE(YEAR(TODAY()),MONTH(TODAY()),1),14)))&gt;(YEAR(Suppliers!G13)*12+MONTH(Suppliers!G13))),"",1),IF(Suppliers!E13="Quarterly",IF(MOD((YEAR(EDATE(DATE(YEAR(TODAY()),MONTH(TODAY()),1),14))-YEAR(IF(ISNUMBER(Suppliers!F13),Suppliers!F13,DATE(YEAR(TODAY()),MONTH(TODAY()),1))))*12+MONTH(EDATE(DATE(YEAR(TODAY()),MONTH(TODAY()),1),14))-MONTH(IF(ISNUMBER(Suppliers!F13),Suppliers!F13,DATE(YEAR(TODAY()),MONTH(TODAY()),1))),3)=0,1,0),IF(Suppliers!E13="Semi-annual",IF(MOD((YEAR(EDATE(DATE(YEAR(TODAY()),MONTH(TODAY()),1),14))-YEAR(IF(ISNUMBER(Suppliers!F13),Suppliers!F13,DATE(YEAR(TODAY()),MONTH(TODAY()),1))))*12+MONTH(EDATE(DATE(YEAR(TODAY()),MONTH(TODAY()),1),14))-MONTH(IF(ISNUMBER(Suppliers!F13),Suppliers!F13,DATE(YEAR(TODAY()),MONTH(TODAY()),1))),6)=0,1,0),IF(Suppliers!E13="Annual",IF(MOD((YEAR(EDATE(DATE(YEAR(TODAY()),MONTH(TODAY()),1),14))-YEAR(IF(ISNUMBER(Suppliers!F13),Suppliers!F13,DATE(YEAR(TODAY()),MONTH(TODAY()),1))))*12+MONTH(EDATE(DATE(YEAR(TODAY()),MONTH(TODAY()),1),14))-MONTH(IF(ISNUMBER(Suppliers!F13),Suppliers!F13,DATE(YEAR(TODAY()),MONTH(TODAY()),1))),12)=0,1,0),IF(Suppliers!E13="One-time",IF(14=0,1,0),1)))))),"")</f>
        <v/>
      </c>
      <c r="U15" s="10" t="str">
        <f ca="1">IFERROR(IF(OR(15&gt;=$B$1,Suppliers!A13="",NOT(ISNUMBER(Suppliers!D13)),Suppliers!L13="Expired",Suppliers!L13="Terminate"),"",Suppliers!D13*-1*IF(Suppliers!E13="Monthly",IF(AND(ISNUMBER(Suppliers!G13),(YEAR(EDATE(DATE(YEAR(TODAY()),MONTH(TODAY()),1),15))*12+MONTH(EDATE(DATE(YEAR(TODAY()),MONTH(TODAY()),1),15)))&gt;(YEAR(Suppliers!G13)*12+MONTH(Suppliers!G13))),"",1),IF(Suppliers!E13="Quarterly",IF(MOD((YEAR(EDATE(DATE(YEAR(TODAY()),MONTH(TODAY()),1),15))-YEAR(IF(ISNUMBER(Suppliers!F13),Suppliers!F13,DATE(YEAR(TODAY()),MONTH(TODAY()),1))))*12+MONTH(EDATE(DATE(YEAR(TODAY()),MONTH(TODAY()),1),15))-MONTH(IF(ISNUMBER(Suppliers!F13),Suppliers!F13,DATE(YEAR(TODAY()),MONTH(TODAY()),1))),3)=0,1,0),IF(Suppliers!E13="Semi-annual",IF(MOD((YEAR(EDATE(DATE(YEAR(TODAY()),MONTH(TODAY()),1),15))-YEAR(IF(ISNUMBER(Suppliers!F13),Suppliers!F13,DATE(YEAR(TODAY()),MONTH(TODAY()),1))))*12+MONTH(EDATE(DATE(YEAR(TODAY()),MONTH(TODAY()),1),15))-MONTH(IF(ISNUMBER(Suppliers!F13),Suppliers!F13,DATE(YEAR(TODAY()),MONTH(TODAY()),1))),6)=0,1,0),IF(Suppliers!E13="Annual",IF(MOD((YEAR(EDATE(DATE(YEAR(TODAY()),MONTH(TODAY()),1),15))-YEAR(IF(ISNUMBER(Suppliers!F13),Suppliers!F13,DATE(YEAR(TODAY()),MONTH(TODAY()),1))))*12+MONTH(EDATE(DATE(YEAR(TODAY()),MONTH(TODAY()),1),15))-MONTH(IF(ISNUMBER(Suppliers!F13),Suppliers!F13,DATE(YEAR(TODAY()),MONTH(TODAY()),1))),12)=0,1,0),IF(Suppliers!E13="One-time",IF(15=0,1,0),1)))))),"")</f>
        <v/>
      </c>
      <c r="V15" s="10" t="str">
        <f ca="1">IFERROR(IF(OR(16&gt;=$B$1,Suppliers!A13="",NOT(ISNUMBER(Suppliers!D13)),Suppliers!L13="Expired",Suppliers!L13="Terminate"),"",Suppliers!D13*-1*IF(Suppliers!E13="Monthly",IF(AND(ISNUMBER(Suppliers!G13),(YEAR(EDATE(DATE(YEAR(TODAY()),MONTH(TODAY()),1),16))*12+MONTH(EDATE(DATE(YEAR(TODAY()),MONTH(TODAY()),1),16)))&gt;(YEAR(Suppliers!G13)*12+MONTH(Suppliers!G13))),"",1),IF(Suppliers!E13="Quarterly",IF(MOD((YEAR(EDATE(DATE(YEAR(TODAY()),MONTH(TODAY()),1),16))-YEAR(IF(ISNUMBER(Suppliers!F13),Suppliers!F13,DATE(YEAR(TODAY()),MONTH(TODAY()),1))))*12+MONTH(EDATE(DATE(YEAR(TODAY()),MONTH(TODAY()),1),16))-MONTH(IF(ISNUMBER(Suppliers!F13),Suppliers!F13,DATE(YEAR(TODAY()),MONTH(TODAY()),1))),3)=0,1,0),IF(Suppliers!E13="Semi-annual",IF(MOD((YEAR(EDATE(DATE(YEAR(TODAY()),MONTH(TODAY()),1),16))-YEAR(IF(ISNUMBER(Suppliers!F13),Suppliers!F13,DATE(YEAR(TODAY()),MONTH(TODAY()),1))))*12+MONTH(EDATE(DATE(YEAR(TODAY()),MONTH(TODAY()),1),16))-MONTH(IF(ISNUMBER(Suppliers!F13),Suppliers!F13,DATE(YEAR(TODAY()),MONTH(TODAY()),1))),6)=0,1,0),IF(Suppliers!E13="Annual",IF(MOD((YEAR(EDATE(DATE(YEAR(TODAY()),MONTH(TODAY()),1),16))-YEAR(IF(ISNUMBER(Suppliers!F13),Suppliers!F13,DATE(YEAR(TODAY()),MONTH(TODAY()),1))))*12+MONTH(EDATE(DATE(YEAR(TODAY()),MONTH(TODAY()),1),16))-MONTH(IF(ISNUMBER(Suppliers!F13),Suppliers!F13,DATE(YEAR(TODAY()),MONTH(TODAY()),1))),12)=0,1,0),IF(Suppliers!E13="One-time",IF(16=0,1,0),1)))))),"")</f>
        <v/>
      </c>
      <c r="W15" s="10" t="str">
        <f ca="1">IFERROR(IF(OR(17&gt;=$B$1,Suppliers!A13="",NOT(ISNUMBER(Suppliers!D13)),Suppliers!L13="Expired",Suppliers!L13="Terminate"),"",Suppliers!D13*-1*IF(Suppliers!E13="Monthly",IF(AND(ISNUMBER(Suppliers!G13),(YEAR(EDATE(DATE(YEAR(TODAY()),MONTH(TODAY()),1),17))*12+MONTH(EDATE(DATE(YEAR(TODAY()),MONTH(TODAY()),1),17)))&gt;(YEAR(Suppliers!G13)*12+MONTH(Suppliers!G13))),"",1),IF(Suppliers!E13="Quarterly",IF(MOD((YEAR(EDATE(DATE(YEAR(TODAY()),MONTH(TODAY()),1),17))-YEAR(IF(ISNUMBER(Suppliers!F13),Suppliers!F13,DATE(YEAR(TODAY()),MONTH(TODAY()),1))))*12+MONTH(EDATE(DATE(YEAR(TODAY()),MONTH(TODAY()),1),17))-MONTH(IF(ISNUMBER(Suppliers!F13),Suppliers!F13,DATE(YEAR(TODAY()),MONTH(TODAY()),1))),3)=0,1,0),IF(Suppliers!E13="Semi-annual",IF(MOD((YEAR(EDATE(DATE(YEAR(TODAY()),MONTH(TODAY()),1),17))-YEAR(IF(ISNUMBER(Suppliers!F13),Suppliers!F13,DATE(YEAR(TODAY()),MONTH(TODAY()),1))))*12+MONTH(EDATE(DATE(YEAR(TODAY()),MONTH(TODAY()),1),17))-MONTH(IF(ISNUMBER(Suppliers!F13),Suppliers!F13,DATE(YEAR(TODAY()),MONTH(TODAY()),1))),6)=0,1,0),IF(Suppliers!E13="Annual",IF(MOD((YEAR(EDATE(DATE(YEAR(TODAY()),MONTH(TODAY()),1),17))-YEAR(IF(ISNUMBER(Suppliers!F13),Suppliers!F13,DATE(YEAR(TODAY()),MONTH(TODAY()),1))))*12+MONTH(EDATE(DATE(YEAR(TODAY()),MONTH(TODAY()),1),17))-MONTH(IF(ISNUMBER(Suppliers!F13),Suppliers!F13,DATE(YEAR(TODAY()),MONTH(TODAY()),1))),12)=0,1,0),IF(Suppliers!E13="One-time",IF(17=0,1,0),1)))))),"")</f>
        <v/>
      </c>
      <c r="X15" s="10" t="str">
        <f ca="1">IFERROR(IF(OR(18&gt;=$B$1,Suppliers!A13="",NOT(ISNUMBER(Suppliers!D13)),Suppliers!L13="Expired",Suppliers!L13="Terminate"),"",Suppliers!D13*-1*IF(Suppliers!E13="Monthly",IF(AND(ISNUMBER(Suppliers!G13),(YEAR(EDATE(DATE(YEAR(TODAY()),MONTH(TODAY()),1),18))*12+MONTH(EDATE(DATE(YEAR(TODAY()),MONTH(TODAY()),1),18)))&gt;(YEAR(Suppliers!G13)*12+MONTH(Suppliers!G13))),"",1),IF(Suppliers!E13="Quarterly",IF(MOD((YEAR(EDATE(DATE(YEAR(TODAY()),MONTH(TODAY()),1),18))-YEAR(IF(ISNUMBER(Suppliers!F13),Suppliers!F13,DATE(YEAR(TODAY()),MONTH(TODAY()),1))))*12+MONTH(EDATE(DATE(YEAR(TODAY()),MONTH(TODAY()),1),18))-MONTH(IF(ISNUMBER(Suppliers!F13),Suppliers!F13,DATE(YEAR(TODAY()),MONTH(TODAY()),1))),3)=0,1,0),IF(Suppliers!E13="Semi-annual",IF(MOD((YEAR(EDATE(DATE(YEAR(TODAY()),MONTH(TODAY()),1),18))-YEAR(IF(ISNUMBER(Suppliers!F13),Suppliers!F13,DATE(YEAR(TODAY()),MONTH(TODAY()),1))))*12+MONTH(EDATE(DATE(YEAR(TODAY()),MONTH(TODAY()),1),18))-MONTH(IF(ISNUMBER(Suppliers!F13),Suppliers!F13,DATE(YEAR(TODAY()),MONTH(TODAY()),1))),6)=0,1,0),IF(Suppliers!E13="Annual",IF(MOD((YEAR(EDATE(DATE(YEAR(TODAY()),MONTH(TODAY()),1),18))-YEAR(IF(ISNUMBER(Suppliers!F13),Suppliers!F13,DATE(YEAR(TODAY()),MONTH(TODAY()),1))))*12+MONTH(EDATE(DATE(YEAR(TODAY()),MONTH(TODAY()),1),18))-MONTH(IF(ISNUMBER(Suppliers!F13),Suppliers!F13,DATE(YEAR(TODAY()),MONTH(TODAY()),1))),12)=0,1,0),IF(Suppliers!E13="One-time",IF(18=0,1,0),1)))))),"")</f>
        <v/>
      </c>
      <c r="Y15" s="10" t="str">
        <f ca="1">IFERROR(IF(OR(19&gt;=$B$1,Suppliers!A13="",NOT(ISNUMBER(Suppliers!D13)),Suppliers!L13="Expired",Suppliers!L13="Terminate"),"",Suppliers!D13*-1*IF(Suppliers!E13="Monthly",IF(AND(ISNUMBER(Suppliers!G13),(YEAR(EDATE(DATE(YEAR(TODAY()),MONTH(TODAY()),1),19))*12+MONTH(EDATE(DATE(YEAR(TODAY()),MONTH(TODAY()),1),19)))&gt;(YEAR(Suppliers!G13)*12+MONTH(Suppliers!G13))),"",1),IF(Suppliers!E13="Quarterly",IF(MOD((YEAR(EDATE(DATE(YEAR(TODAY()),MONTH(TODAY()),1),19))-YEAR(IF(ISNUMBER(Suppliers!F13),Suppliers!F13,DATE(YEAR(TODAY()),MONTH(TODAY()),1))))*12+MONTH(EDATE(DATE(YEAR(TODAY()),MONTH(TODAY()),1),19))-MONTH(IF(ISNUMBER(Suppliers!F13),Suppliers!F13,DATE(YEAR(TODAY()),MONTH(TODAY()),1))),3)=0,1,0),IF(Suppliers!E13="Semi-annual",IF(MOD((YEAR(EDATE(DATE(YEAR(TODAY()),MONTH(TODAY()),1),19))-YEAR(IF(ISNUMBER(Suppliers!F13),Suppliers!F13,DATE(YEAR(TODAY()),MONTH(TODAY()),1))))*12+MONTH(EDATE(DATE(YEAR(TODAY()),MONTH(TODAY()),1),19))-MONTH(IF(ISNUMBER(Suppliers!F13),Suppliers!F13,DATE(YEAR(TODAY()),MONTH(TODAY()),1))),6)=0,1,0),IF(Suppliers!E13="Annual",IF(MOD((YEAR(EDATE(DATE(YEAR(TODAY()),MONTH(TODAY()),1),19))-YEAR(IF(ISNUMBER(Suppliers!F13),Suppliers!F13,DATE(YEAR(TODAY()),MONTH(TODAY()),1))))*12+MONTH(EDATE(DATE(YEAR(TODAY()),MONTH(TODAY()),1),19))-MONTH(IF(ISNUMBER(Suppliers!F13),Suppliers!F13,DATE(YEAR(TODAY()),MONTH(TODAY()),1))),12)=0,1,0),IF(Suppliers!E13="One-time",IF(19=0,1,0),1)))))),"")</f>
        <v/>
      </c>
      <c r="Z15" s="10" t="str">
        <f ca="1">IFERROR(IF(OR(20&gt;=$B$1,Suppliers!A13="",NOT(ISNUMBER(Suppliers!D13)),Suppliers!L13="Expired",Suppliers!L13="Terminate"),"",Suppliers!D13*-1*IF(Suppliers!E13="Monthly",IF(AND(ISNUMBER(Suppliers!G13),(YEAR(EDATE(DATE(YEAR(TODAY()),MONTH(TODAY()),1),20))*12+MONTH(EDATE(DATE(YEAR(TODAY()),MONTH(TODAY()),1),20)))&gt;(YEAR(Suppliers!G13)*12+MONTH(Suppliers!G13))),"",1),IF(Suppliers!E13="Quarterly",IF(MOD((YEAR(EDATE(DATE(YEAR(TODAY()),MONTH(TODAY()),1),20))-YEAR(IF(ISNUMBER(Suppliers!F13),Suppliers!F13,DATE(YEAR(TODAY()),MONTH(TODAY()),1))))*12+MONTH(EDATE(DATE(YEAR(TODAY()),MONTH(TODAY()),1),20))-MONTH(IF(ISNUMBER(Suppliers!F13),Suppliers!F13,DATE(YEAR(TODAY()),MONTH(TODAY()),1))),3)=0,1,0),IF(Suppliers!E13="Semi-annual",IF(MOD((YEAR(EDATE(DATE(YEAR(TODAY()),MONTH(TODAY()),1),20))-YEAR(IF(ISNUMBER(Suppliers!F13),Suppliers!F13,DATE(YEAR(TODAY()),MONTH(TODAY()),1))))*12+MONTH(EDATE(DATE(YEAR(TODAY()),MONTH(TODAY()),1),20))-MONTH(IF(ISNUMBER(Suppliers!F13),Suppliers!F13,DATE(YEAR(TODAY()),MONTH(TODAY()),1))),6)=0,1,0),IF(Suppliers!E13="Annual",IF(MOD((YEAR(EDATE(DATE(YEAR(TODAY()),MONTH(TODAY()),1),20))-YEAR(IF(ISNUMBER(Suppliers!F13),Suppliers!F13,DATE(YEAR(TODAY()),MONTH(TODAY()),1))))*12+MONTH(EDATE(DATE(YEAR(TODAY()),MONTH(TODAY()),1),20))-MONTH(IF(ISNUMBER(Suppliers!F13),Suppliers!F13,DATE(YEAR(TODAY()),MONTH(TODAY()),1))),12)=0,1,0),IF(Suppliers!E13="One-time",IF(20=0,1,0),1)))))),"")</f>
        <v/>
      </c>
      <c r="AA15" s="10" t="str">
        <f ca="1">IFERROR(IF(OR(21&gt;=$B$1,Suppliers!A13="",NOT(ISNUMBER(Suppliers!D13)),Suppliers!L13="Expired",Suppliers!L13="Terminate"),"",Suppliers!D13*-1*IF(Suppliers!E13="Monthly",IF(AND(ISNUMBER(Suppliers!G13),(YEAR(EDATE(DATE(YEAR(TODAY()),MONTH(TODAY()),1),21))*12+MONTH(EDATE(DATE(YEAR(TODAY()),MONTH(TODAY()),1),21)))&gt;(YEAR(Suppliers!G13)*12+MONTH(Suppliers!G13))),"",1),IF(Suppliers!E13="Quarterly",IF(MOD((YEAR(EDATE(DATE(YEAR(TODAY()),MONTH(TODAY()),1),21))-YEAR(IF(ISNUMBER(Suppliers!F13),Suppliers!F13,DATE(YEAR(TODAY()),MONTH(TODAY()),1))))*12+MONTH(EDATE(DATE(YEAR(TODAY()),MONTH(TODAY()),1),21))-MONTH(IF(ISNUMBER(Suppliers!F13),Suppliers!F13,DATE(YEAR(TODAY()),MONTH(TODAY()),1))),3)=0,1,0),IF(Suppliers!E13="Semi-annual",IF(MOD((YEAR(EDATE(DATE(YEAR(TODAY()),MONTH(TODAY()),1),21))-YEAR(IF(ISNUMBER(Suppliers!F13),Suppliers!F13,DATE(YEAR(TODAY()),MONTH(TODAY()),1))))*12+MONTH(EDATE(DATE(YEAR(TODAY()),MONTH(TODAY()),1),21))-MONTH(IF(ISNUMBER(Suppliers!F13),Suppliers!F13,DATE(YEAR(TODAY()),MONTH(TODAY()),1))),6)=0,1,0),IF(Suppliers!E13="Annual",IF(MOD((YEAR(EDATE(DATE(YEAR(TODAY()),MONTH(TODAY()),1),21))-YEAR(IF(ISNUMBER(Suppliers!F13),Suppliers!F13,DATE(YEAR(TODAY()),MONTH(TODAY()),1))))*12+MONTH(EDATE(DATE(YEAR(TODAY()),MONTH(TODAY()),1),21))-MONTH(IF(ISNUMBER(Suppliers!F13),Suppliers!F13,DATE(YEAR(TODAY()),MONTH(TODAY()),1))),12)=0,1,0),IF(Suppliers!E13="One-time",IF(21=0,1,0),1)))))),"")</f>
        <v/>
      </c>
      <c r="AB15" s="10" t="str">
        <f ca="1">IFERROR(IF(OR(22&gt;=$B$1,Suppliers!A13="",NOT(ISNUMBER(Suppliers!D13)),Suppliers!L13="Expired",Suppliers!L13="Terminate"),"",Suppliers!D13*-1*IF(Suppliers!E13="Monthly",IF(AND(ISNUMBER(Suppliers!G13),(YEAR(EDATE(DATE(YEAR(TODAY()),MONTH(TODAY()),1),22))*12+MONTH(EDATE(DATE(YEAR(TODAY()),MONTH(TODAY()),1),22)))&gt;(YEAR(Suppliers!G13)*12+MONTH(Suppliers!G13))),"",1),IF(Suppliers!E13="Quarterly",IF(MOD((YEAR(EDATE(DATE(YEAR(TODAY()),MONTH(TODAY()),1),22))-YEAR(IF(ISNUMBER(Suppliers!F13),Suppliers!F13,DATE(YEAR(TODAY()),MONTH(TODAY()),1))))*12+MONTH(EDATE(DATE(YEAR(TODAY()),MONTH(TODAY()),1),22))-MONTH(IF(ISNUMBER(Suppliers!F13),Suppliers!F13,DATE(YEAR(TODAY()),MONTH(TODAY()),1))),3)=0,1,0),IF(Suppliers!E13="Semi-annual",IF(MOD((YEAR(EDATE(DATE(YEAR(TODAY()),MONTH(TODAY()),1),22))-YEAR(IF(ISNUMBER(Suppliers!F13),Suppliers!F13,DATE(YEAR(TODAY()),MONTH(TODAY()),1))))*12+MONTH(EDATE(DATE(YEAR(TODAY()),MONTH(TODAY()),1),22))-MONTH(IF(ISNUMBER(Suppliers!F13),Suppliers!F13,DATE(YEAR(TODAY()),MONTH(TODAY()),1))),6)=0,1,0),IF(Suppliers!E13="Annual",IF(MOD((YEAR(EDATE(DATE(YEAR(TODAY()),MONTH(TODAY()),1),22))-YEAR(IF(ISNUMBER(Suppliers!F13),Suppliers!F13,DATE(YEAR(TODAY()),MONTH(TODAY()),1))))*12+MONTH(EDATE(DATE(YEAR(TODAY()),MONTH(TODAY()),1),22))-MONTH(IF(ISNUMBER(Suppliers!F13),Suppliers!F13,DATE(YEAR(TODAY()),MONTH(TODAY()),1))),12)=0,1,0),IF(Suppliers!E13="One-time",IF(22=0,1,0),1)))))),"")</f>
        <v/>
      </c>
      <c r="AC15" s="10" t="str">
        <f ca="1">IFERROR(IF(OR(23&gt;=$B$1,Suppliers!A13="",NOT(ISNUMBER(Suppliers!D13)),Suppliers!L13="Expired",Suppliers!L13="Terminate"),"",Suppliers!D13*-1*IF(Suppliers!E13="Monthly",IF(AND(ISNUMBER(Suppliers!G13),(YEAR(EDATE(DATE(YEAR(TODAY()),MONTH(TODAY()),1),23))*12+MONTH(EDATE(DATE(YEAR(TODAY()),MONTH(TODAY()),1),23)))&gt;(YEAR(Suppliers!G13)*12+MONTH(Suppliers!G13))),"",1),IF(Suppliers!E13="Quarterly",IF(MOD((YEAR(EDATE(DATE(YEAR(TODAY()),MONTH(TODAY()),1),23))-YEAR(IF(ISNUMBER(Suppliers!F13),Suppliers!F13,DATE(YEAR(TODAY()),MONTH(TODAY()),1))))*12+MONTH(EDATE(DATE(YEAR(TODAY()),MONTH(TODAY()),1),23))-MONTH(IF(ISNUMBER(Suppliers!F13),Suppliers!F13,DATE(YEAR(TODAY()),MONTH(TODAY()),1))),3)=0,1,0),IF(Suppliers!E13="Semi-annual",IF(MOD((YEAR(EDATE(DATE(YEAR(TODAY()),MONTH(TODAY()),1),23))-YEAR(IF(ISNUMBER(Suppliers!F13),Suppliers!F13,DATE(YEAR(TODAY()),MONTH(TODAY()),1))))*12+MONTH(EDATE(DATE(YEAR(TODAY()),MONTH(TODAY()),1),23))-MONTH(IF(ISNUMBER(Suppliers!F13),Suppliers!F13,DATE(YEAR(TODAY()),MONTH(TODAY()),1))),6)=0,1,0),IF(Suppliers!E13="Annual",IF(MOD((YEAR(EDATE(DATE(YEAR(TODAY()),MONTH(TODAY()),1),23))-YEAR(IF(ISNUMBER(Suppliers!F13),Suppliers!F13,DATE(YEAR(TODAY()),MONTH(TODAY()),1))))*12+MONTH(EDATE(DATE(YEAR(TODAY()),MONTH(TODAY()),1),23))-MONTH(IF(ISNUMBER(Suppliers!F13),Suppliers!F13,DATE(YEAR(TODAY()),MONTH(TODAY()),1))),12)=0,1,0),IF(Suppliers!E13="One-time",IF(23=0,1,0),1)))))),"")</f>
        <v/>
      </c>
    </row>
    <row r="16" spans="1:29" ht="15" customHeight="1" x14ac:dyDescent="0.35">
      <c r="A16" s="4" t="s">
        <v>80</v>
      </c>
      <c r="B16" s="4" t="str">
        <f>IF(Suppliers!A14="","",Suppliers!A14)</f>
        <v>Nu Dev Tools Ltd</v>
      </c>
      <c r="C16" s="10">
        <f>IF(Suppliers!C14="","",Suppliers!C14)</f>
        <v>588.24</v>
      </c>
      <c r="D16" s="10">
        <f>IF(Suppliers!D14="","",Suppliers!D14)</f>
        <v>700</v>
      </c>
      <c r="E16" s="4" t="str">
        <f>IF(Suppliers!E14="","",Suppliers!E14)</f>
        <v>Monthly</v>
      </c>
      <c r="F16" s="10">
        <f ca="1">IFERROR(IF(OR(0&gt;=$B$1,Suppliers!A14="",NOT(ISNUMBER(Suppliers!D14)),Suppliers!L14="Expired",Suppliers!L14="Terminate"),"",Suppliers!D14*-1*IF(Suppliers!E14="Monthly",IF(AND(ISNUMBER(Suppliers!G14),(YEAR(EDATE(DATE(YEAR(TODAY()),MONTH(TODAY()),1),0))*12+MONTH(EDATE(DATE(YEAR(TODAY()),MONTH(TODAY()),1),0)))&gt;(YEAR(Suppliers!G14)*12+MONTH(Suppliers!G14))),"",1),IF(Suppliers!E14="Quarterly",IF(MOD((YEAR(EDATE(DATE(YEAR(TODAY()),MONTH(TODAY()),1),0))-YEAR(IF(ISNUMBER(Suppliers!F14),Suppliers!F14,DATE(YEAR(TODAY()),MONTH(TODAY()),1))))*12+MONTH(EDATE(DATE(YEAR(TODAY()),MONTH(TODAY()),1),0))-MONTH(IF(ISNUMBER(Suppliers!F14),Suppliers!F14,DATE(YEAR(TODAY()),MONTH(TODAY()),1))),3)=0,1,0),IF(Suppliers!E14="Semi-annual",IF(MOD((YEAR(EDATE(DATE(YEAR(TODAY()),MONTH(TODAY()),1),0))-YEAR(IF(ISNUMBER(Suppliers!F14),Suppliers!F14,DATE(YEAR(TODAY()),MONTH(TODAY()),1))))*12+MONTH(EDATE(DATE(YEAR(TODAY()),MONTH(TODAY()),1),0))-MONTH(IF(ISNUMBER(Suppliers!F14),Suppliers!F14,DATE(YEAR(TODAY()),MONTH(TODAY()),1))),6)=0,1,0),IF(Suppliers!E14="Annual",IF(MOD((YEAR(EDATE(DATE(YEAR(TODAY()),MONTH(TODAY()),1),0))-YEAR(IF(ISNUMBER(Suppliers!F14),Suppliers!F14,DATE(YEAR(TODAY()),MONTH(TODAY()),1))))*12+MONTH(EDATE(DATE(YEAR(TODAY()),MONTH(TODAY()),1),0))-MONTH(IF(ISNUMBER(Suppliers!F14),Suppliers!F14,DATE(YEAR(TODAY()),MONTH(TODAY()),1))),12)=0,1,0),IF(Suppliers!E14="One-time",IF(0=0,1,0),1)))))),"")</f>
        <v>-700</v>
      </c>
      <c r="G16" s="10">
        <f ca="1">IFERROR(IF(OR(1&gt;=$B$1,Suppliers!A14="",NOT(ISNUMBER(Suppliers!D14)),Suppliers!L14="Expired",Suppliers!L14="Terminate"),"",Suppliers!D14*-1*IF(Suppliers!E14="Monthly",IF(AND(ISNUMBER(Suppliers!G14),(YEAR(EDATE(DATE(YEAR(TODAY()),MONTH(TODAY()),1),1))*12+MONTH(EDATE(DATE(YEAR(TODAY()),MONTH(TODAY()),1),1)))&gt;(YEAR(Suppliers!G14)*12+MONTH(Suppliers!G14))),"",1),IF(Suppliers!E14="Quarterly",IF(MOD((YEAR(EDATE(DATE(YEAR(TODAY()),MONTH(TODAY()),1),1))-YEAR(IF(ISNUMBER(Suppliers!F14),Suppliers!F14,DATE(YEAR(TODAY()),MONTH(TODAY()),1))))*12+MONTH(EDATE(DATE(YEAR(TODAY()),MONTH(TODAY()),1),1))-MONTH(IF(ISNUMBER(Suppliers!F14),Suppliers!F14,DATE(YEAR(TODAY()),MONTH(TODAY()),1))),3)=0,1,0),IF(Suppliers!E14="Semi-annual",IF(MOD((YEAR(EDATE(DATE(YEAR(TODAY()),MONTH(TODAY()),1),1))-YEAR(IF(ISNUMBER(Suppliers!F14),Suppliers!F14,DATE(YEAR(TODAY()),MONTH(TODAY()),1))))*12+MONTH(EDATE(DATE(YEAR(TODAY()),MONTH(TODAY()),1),1))-MONTH(IF(ISNUMBER(Suppliers!F14),Suppliers!F14,DATE(YEAR(TODAY()),MONTH(TODAY()),1))),6)=0,1,0),IF(Suppliers!E14="Annual",IF(MOD((YEAR(EDATE(DATE(YEAR(TODAY()),MONTH(TODAY()),1),1))-YEAR(IF(ISNUMBER(Suppliers!F14),Suppliers!F14,DATE(YEAR(TODAY()),MONTH(TODAY()),1))))*12+MONTH(EDATE(DATE(YEAR(TODAY()),MONTH(TODAY()),1),1))-MONTH(IF(ISNUMBER(Suppliers!F14),Suppliers!F14,DATE(YEAR(TODAY()),MONTH(TODAY()),1))),12)=0,1,0),IF(Suppliers!E14="One-time",IF(1=0,1,0),1)))))),"")</f>
        <v>-700</v>
      </c>
      <c r="H16" s="10">
        <f ca="1">IFERROR(IF(OR(2&gt;=$B$1,Suppliers!A14="",NOT(ISNUMBER(Suppliers!D14)),Suppliers!L14="Expired",Suppliers!L14="Terminate"),"",Suppliers!D14*-1*IF(Suppliers!E14="Monthly",IF(AND(ISNUMBER(Suppliers!G14),(YEAR(EDATE(DATE(YEAR(TODAY()),MONTH(TODAY()),1),2))*12+MONTH(EDATE(DATE(YEAR(TODAY()),MONTH(TODAY()),1),2)))&gt;(YEAR(Suppliers!G14)*12+MONTH(Suppliers!G14))),"",1),IF(Suppliers!E14="Quarterly",IF(MOD((YEAR(EDATE(DATE(YEAR(TODAY()),MONTH(TODAY()),1),2))-YEAR(IF(ISNUMBER(Suppliers!F14),Suppliers!F14,DATE(YEAR(TODAY()),MONTH(TODAY()),1))))*12+MONTH(EDATE(DATE(YEAR(TODAY()),MONTH(TODAY()),1),2))-MONTH(IF(ISNUMBER(Suppliers!F14),Suppliers!F14,DATE(YEAR(TODAY()),MONTH(TODAY()),1))),3)=0,1,0),IF(Suppliers!E14="Semi-annual",IF(MOD((YEAR(EDATE(DATE(YEAR(TODAY()),MONTH(TODAY()),1),2))-YEAR(IF(ISNUMBER(Suppliers!F14),Suppliers!F14,DATE(YEAR(TODAY()),MONTH(TODAY()),1))))*12+MONTH(EDATE(DATE(YEAR(TODAY()),MONTH(TODAY()),1),2))-MONTH(IF(ISNUMBER(Suppliers!F14),Suppliers!F14,DATE(YEAR(TODAY()),MONTH(TODAY()),1))),6)=0,1,0),IF(Suppliers!E14="Annual",IF(MOD((YEAR(EDATE(DATE(YEAR(TODAY()),MONTH(TODAY()),1),2))-YEAR(IF(ISNUMBER(Suppliers!F14),Suppliers!F14,DATE(YEAR(TODAY()),MONTH(TODAY()),1))))*12+MONTH(EDATE(DATE(YEAR(TODAY()),MONTH(TODAY()),1),2))-MONTH(IF(ISNUMBER(Suppliers!F14),Suppliers!F14,DATE(YEAR(TODAY()),MONTH(TODAY()),1))),12)=0,1,0),IF(Suppliers!E14="One-time",IF(2=0,1,0),1)))))),"")</f>
        <v>-700</v>
      </c>
      <c r="I16" s="10" t="str">
        <f ca="1">IFERROR(IF(OR(3&gt;=$B$1,Suppliers!A14="",NOT(ISNUMBER(Suppliers!D14)),Suppliers!L14="Expired",Suppliers!L14="Terminate"),"",Suppliers!D14*-1*IF(Suppliers!E14="Monthly",IF(AND(ISNUMBER(Suppliers!G14),(YEAR(EDATE(DATE(YEAR(TODAY()),MONTH(TODAY()),1),3))*12+MONTH(EDATE(DATE(YEAR(TODAY()),MONTH(TODAY()),1),3)))&gt;(YEAR(Suppliers!G14)*12+MONTH(Suppliers!G14))),"",1),IF(Suppliers!E14="Quarterly",IF(MOD((YEAR(EDATE(DATE(YEAR(TODAY()),MONTH(TODAY()),1),3))-YEAR(IF(ISNUMBER(Suppliers!F14),Suppliers!F14,DATE(YEAR(TODAY()),MONTH(TODAY()),1))))*12+MONTH(EDATE(DATE(YEAR(TODAY()),MONTH(TODAY()),1),3))-MONTH(IF(ISNUMBER(Suppliers!F14),Suppliers!F14,DATE(YEAR(TODAY()),MONTH(TODAY()),1))),3)=0,1,0),IF(Suppliers!E14="Semi-annual",IF(MOD((YEAR(EDATE(DATE(YEAR(TODAY()),MONTH(TODAY()),1),3))-YEAR(IF(ISNUMBER(Suppliers!F14),Suppliers!F14,DATE(YEAR(TODAY()),MONTH(TODAY()),1))))*12+MONTH(EDATE(DATE(YEAR(TODAY()),MONTH(TODAY()),1),3))-MONTH(IF(ISNUMBER(Suppliers!F14),Suppliers!F14,DATE(YEAR(TODAY()),MONTH(TODAY()),1))),6)=0,1,0),IF(Suppliers!E14="Annual",IF(MOD((YEAR(EDATE(DATE(YEAR(TODAY()),MONTH(TODAY()),1),3))-YEAR(IF(ISNUMBER(Suppliers!F14),Suppliers!F14,DATE(YEAR(TODAY()),MONTH(TODAY()),1))))*12+MONTH(EDATE(DATE(YEAR(TODAY()),MONTH(TODAY()),1),3))-MONTH(IF(ISNUMBER(Suppliers!F14),Suppliers!F14,DATE(YEAR(TODAY()),MONTH(TODAY()),1))),12)=0,1,0),IF(Suppliers!E14="One-time",IF(3=0,1,0),1)))))),"")</f>
        <v/>
      </c>
      <c r="J16" s="10" t="str">
        <f ca="1">IFERROR(IF(OR(4&gt;=$B$1,Suppliers!A14="",NOT(ISNUMBER(Suppliers!D14)),Suppliers!L14="Expired",Suppliers!L14="Terminate"),"",Suppliers!D14*-1*IF(Suppliers!E14="Monthly",IF(AND(ISNUMBER(Suppliers!G14),(YEAR(EDATE(DATE(YEAR(TODAY()),MONTH(TODAY()),1),4))*12+MONTH(EDATE(DATE(YEAR(TODAY()),MONTH(TODAY()),1),4)))&gt;(YEAR(Suppliers!G14)*12+MONTH(Suppliers!G14))),"",1),IF(Suppliers!E14="Quarterly",IF(MOD((YEAR(EDATE(DATE(YEAR(TODAY()),MONTH(TODAY()),1),4))-YEAR(IF(ISNUMBER(Suppliers!F14),Suppliers!F14,DATE(YEAR(TODAY()),MONTH(TODAY()),1))))*12+MONTH(EDATE(DATE(YEAR(TODAY()),MONTH(TODAY()),1),4))-MONTH(IF(ISNUMBER(Suppliers!F14),Suppliers!F14,DATE(YEAR(TODAY()),MONTH(TODAY()),1))),3)=0,1,0),IF(Suppliers!E14="Semi-annual",IF(MOD((YEAR(EDATE(DATE(YEAR(TODAY()),MONTH(TODAY()),1),4))-YEAR(IF(ISNUMBER(Suppliers!F14),Suppliers!F14,DATE(YEAR(TODAY()),MONTH(TODAY()),1))))*12+MONTH(EDATE(DATE(YEAR(TODAY()),MONTH(TODAY()),1),4))-MONTH(IF(ISNUMBER(Suppliers!F14),Suppliers!F14,DATE(YEAR(TODAY()),MONTH(TODAY()),1))),6)=0,1,0),IF(Suppliers!E14="Annual",IF(MOD((YEAR(EDATE(DATE(YEAR(TODAY()),MONTH(TODAY()),1),4))-YEAR(IF(ISNUMBER(Suppliers!F14),Suppliers!F14,DATE(YEAR(TODAY()),MONTH(TODAY()),1))))*12+MONTH(EDATE(DATE(YEAR(TODAY()),MONTH(TODAY()),1),4))-MONTH(IF(ISNUMBER(Suppliers!F14),Suppliers!F14,DATE(YEAR(TODAY()),MONTH(TODAY()),1))),12)=0,1,0),IF(Suppliers!E14="One-time",IF(4=0,1,0),1)))))),"")</f>
        <v/>
      </c>
      <c r="K16" s="10" t="str">
        <f ca="1">IFERROR(IF(OR(5&gt;=$B$1,Suppliers!A14="",NOT(ISNUMBER(Suppliers!D14)),Suppliers!L14="Expired",Suppliers!L14="Terminate"),"",Suppliers!D14*-1*IF(Suppliers!E14="Monthly",IF(AND(ISNUMBER(Suppliers!G14),(YEAR(EDATE(DATE(YEAR(TODAY()),MONTH(TODAY()),1),5))*12+MONTH(EDATE(DATE(YEAR(TODAY()),MONTH(TODAY()),1),5)))&gt;(YEAR(Suppliers!G14)*12+MONTH(Suppliers!G14))),"",1),IF(Suppliers!E14="Quarterly",IF(MOD((YEAR(EDATE(DATE(YEAR(TODAY()),MONTH(TODAY()),1),5))-YEAR(IF(ISNUMBER(Suppliers!F14),Suppliers!F14,DATE(YEAR(TODAY()),MONTH(TODAY()),1))))*12+MONTH(EDATE(DATE(YEAR(TODAY()),MONTH(TODAY()),1),5))-MONTH(IF(ISNUMBER(Suppliers!F14),Suppliers!F14,DATE(YEAR(TODAY()),MONTH(TODAY()),1))),3)=0,1,0),IF(Suppliers!E14="Semi-annual",IF(MOD((YEAR(EDATE(DATE(YEAR(TODAY()),MONTH(TODAY()),1),5))-YEAR(IF(ISNUMBER(Suppliers!F14),Suppliers!F14,DATE(YEAR(TODAY()),MONTH(TODAY()),1))))*12+MONTH(EDATE(DATE(YEAR(TODAY()),MONTH(TODAY()),1),5))-MONTH(IF(ISNUMBER(Suppliers!F14),Suppliers!F14,DATE(YEAR(TODAY()),MONTH(TODAY()),1))),6)=0,1,0),IF(Suppliers!E14="Annual",IF(MOD((YEAR(EDATE(DATE(YEAR(TODAY()),MONTH(TODAY()),1),5))-YEAR(IF(ISNUMBER(Suppliers!F14),Suppliers!F14,DATE(YEAR(TODAY()),MONTH(TODAY()),1))))*12+MONTH(EDATE(DATE(YEAR(TODAY()),MONTH(TODAY()),1),5))-MONTH(IF(ISNUMBER(Suppliers!F14),Suppliers!F14,DATE(YEAR(TODAY()),MONTH(TODAY()),1))),12)=0,1,0),IF(Suppliers!E14="One-time",IF(5=0,1,0),1)))))),"")</f>
        <v/>
      </c>
      <c r="L16" s="10" t="str">
        <f ca="1">IFERROR(IF(OR(6&gt;=$B$1,Suppliers!A14="",NOT(ISNUMBER(Suppliers!D14)),Suppliers!L14="Expired",Suppliers!L14="Terminate"),"",Suppliers!D14*-1*IF(Suppliers!E14="Monthly",IF(AND(ISNUMBER(Suppliers!G14),(YEAR(EDATE(DATE(YEAR(TODAY()),MONTH(TODAY()),1),6))*12+MONTH(EDATE(DATE(YEAR(TODAY()),MONTH(TODAY()),1),6)))&gt;(YEAR(Suppliers!G14)*12+MONTH(Suppliers!G14))),"",1),IF(Suppliers!E14="Quarterly",IF(MOD((YEAR(EDATE(DATE(YEAR(TODAY()),MONTH(TODAY()),1),6))-YEAR(IF(ISNUMBER(Suppliers!F14),Suppliers!F14,DATE(YEAR(TODAY()),MONTH(TODAY()),1))))*12+MONTH(EDATE(DATE(YEAR(TODAY()),MONTH(TODAY()),1),6))-MONTH(IF(ISNUMBER(Suppliers!F14),Suppliers!F14,DATE(YEAR(TODAY()),MONTH(TODAY()),1))),3)=0,1,0),IF(Suppliers!E14="Semi-annual",IF(MOD((YEAR(EDATE(DATE(YEAR(TODAY()),MONTH(TODAY()),1),6))-YEAR(IF(ISNUMBER(Suppliers!F14),Suppliers!F14,DATE(YEAR(TODAY()),MONTH(TODAY()),1))))*12+MONTH(EDATE(DATE(YEAR(TODAY()),MONTH(TODAY()),1),6))-MONTH(IF(ISNUMBER(Suppliers!F14),Suppliers!F14,DATE(YEAR(TODAY()),MONTH(TODAY()),1))),6)=0,1,0),IF(Suppliers!E14="Annual",IF(MOD((YEAR(EDATE(DATE(YEAR(TODAY()),MONTH(TODAY()),1),6))-YEAR(IF(ISNUMBER(Suppliers!F14),Suppliers!F14,DATE(YEAR(TODAY()),MONTH(TODAY()),1))))*12+MONTH(EDATE(DATE(YEAR(TODAY()),MONTH(TODAY()),1),6))-MONTH(IF(ISNUMBER(Suppliers!F14),Suppliers!F14,DATE(YEAR(TODAY()),MONTH(TODAY()),1))),12)=0,1,0),IF(Suppliers!E14="One-time",IF(6=0,1,0),1)))))),"")</f>
        <v/>
      </c>
      <c r="M16" s="10" t="str">
        <f ca="1">IFERROR(IF(OR(7&gt;=$B$1,Suppliers!A14="",NOT(ISNUMBER(Suppliers!D14)),Suppliers!L14="Expired",Suppliers!L14="Terminate"),"",Suppliers!D14*-1*IF(Suppliers!E14="Monthly",IF(AND(ISNUMBER(Suppliers!G14),(YEAR(EDATE(DATE(YEAR(TODAY()),MONTH(TODAY()),1),7))*12+MONTH(EDATE(DATE(YEAR(TODAY()),MONTH(TODAY()),1),7)))&gt;(YEAR(Suppliers!G14)*12+MONTH(Suppliers!G14))),"",1),IF(Suppliers!E14="Quarterly",IF(MOD((YEAR(EDATE(DATE(YEAR(TODAY()),MONTH(TODAY()),1),7))-YEAR(IF(ISNUMBER(Suppliers!F14),Suppliers!F14,DATE(YEAR(TODAY()),MONTH(TODAY()),1))))*12+MONTH(EDATE(DATE(YEAR(TODAY()),MONTH(TODAY()),1),7))-MONTH(IF(ISNUMBER(Suppliers!F14),Suppliers!F14,DATE(YEAR(TODAY()),MONTH(TODAY()),1))),3)=0,1,0),IF(Suppliers!E14="Semi-annual",IF(MOD((YEAR(EDATE(DATE(YEAR(TODAY()),MONTH(TODAY()),1),7))-YEAR(IF(ISNUMBER(Suppliers!F14),Suppliers!F14,DATE(YEAR(TODAY()),MONTH(TODAY()),1))))*12+MONTH(EDATE(DATE(YEAR(TODAY()),MONTH(TODAY()),1),7))-MONTH(IF(ISNUMBER(Suppliers!F14),Suppliers!F14,DATE(YEAR(TODAY()),MONTH(TODAY()),1))),6)=0,1,0),IF(Suppliers!E14="Annual",IF(MOD((YEAR(EDATE(DATE(YEAR(TODAY()),MONTH(TODAY()),1),7))-YEAR(IF(ISNUMBER(Suppliers!F14),Suppliers!F14,DATE(YEAR(TODAY()),MONTH(TODAY()),1))))*12+MONTH(EDATE(DATE(YEAR(TODAY()),MONTH(TODAY()),1),7))-MONTH(IF(ISNUMBER(Suppliers!F14),Suppliers!F14,DATE(YEAR(TODAY()),MONTH(TODAY()),1))),12)=0,1,0),IF(Suppliers!E14="One-time",IF(7=0,1,0),1)))))),"")</f>
        <v/>
      </c>
      <c r="N16" s="10" t="str">
        <f ca="1">IFERROR(IF(OR(8&gt;=$B$1,Suppliers!A14="",NOT(ISNUMBER(Suppliers!D14)),Suppliers!L14="Expired",Suppliers!L14="Terminate"),"",Suppliers!D14*-1*IF(Suppliers!E14="Monthly",IF(AND(ISNUMBER(Suppliers!G14),(YEAR(EDATE(DATE(YEAR(TODAY()),MONTH(TODAY()),1),8))*12+MONTH(EDATE(DATE(YEAR(TODAY()),MONTH(TODAY()),1),8)))&gt;(YEAR(Suppliers!G14)*12+MONTH(Suppliers!G14))),"",1),IF(Suppliers!E14="Quarterly",IF(MOD((YEAR(EDATE(DATE(YEAR(TODAY()),MONTH(TODAY()),1),8))-YEAR(IF(ISNUMBER(Suppliers!F14),Suppliers!F14,DATE(YEAR(TODAY()),MONTH(TODAY()),1))))*12+MONTH(EDATE(DATE(YEAR(TODAY()),MONTH(TODAY()),1),8))-MONTH(IF(ISNUMBER(Suppliers!F14),Suppliers!F14,DATE(YEAR(TODAY()),MONTH(TODAY()),1))),3)=0,1,0),IF(Suppliers!E14="Semi-annual",IF(MOD((YEAR(EDATE(DATE(YEAR(TODAY()),MONTH(TODAY()),1),8))-YEAR(IF(ISNUMBER(Suppliers!F14),Suppliers!F14,DATE(YEAR(TODAY()),MONTH(TODAY()),1))))*12+MONTH(EDATE(DATE(YEAR(TODAY()),MONTH(TODAY()),1),8))-MONTH(IF(ISNUMBER(Suppliers!F14),Suppliers!F14,DATE(YEAR(TODAY()),MONTH(TODAY()),1))),6)=0,1,0),IF(Suppliers!E14="Annual",IF(MOD((YEAR(EDATE(DATE(YEAR(TODAY()),MONTH(TODAY()),1),8))-YEAR(IF(ISNUMBER(Suppliers!F14),Suppliers!F14,DATE(YEAR(TODAY()),MONTH(TODAY()),1))))*12+MONTH(EDATE(DATE(YEAR(TODAY()),MONTH(TODAY()),1),8))-MONTH(IF(ISNUMBER(Suppliers!F14),Suppliers!F14,DATE(YEAR(TODAY()),MONTH(TODAY()),1))),12)=0,1,0),IF(Suppliers!E14="One-time",IF(8=0,1,0),1)))))),"")</f>
        <v/>
      </c>
      <c r="O16" s="10" t="str">
        <f ca="1">IFERROR(IF(OR(9&gt;=$B$1,Suppliers!A14="",NOT(ISNUMBER(Suppliers!D14)),Suppliers!L14="Expired",Suppliers!L14="Terminate"),"",Suppliers!D14*-1*IF(Suppliers!E14="Monthly",IF(AND(ISNUMBER(Suppliers!G14),(YEAR(EDATE(DATE(YEAR(TODAY()),MONTH(TODAY()),1),9))*12+MONTH(EDATE(DATE(YEAR(TODAY()),MONTH(TODAY()),1),9)))&gt;(YEAR(Suppliers!G14)*12+MONTH(Suppliers!G14))),"",1),IF(Suppliers!E14="Quarterly",IF(MOD((YEAR(EDATE(DATE(YEAR(TODAY()),MONTH(TODAY()),1),9))-YEAR(IF(ISNUMBER(Suppliers!F14),Suppliers!F14,DATE(YEAR(TODAY()),MONTH(TODAY()),1))))*12+MONTH(EDATE(DATE(YEAR(TODAY()),MONTH(TODAY()),1),9))-MONTH(IF(ISNUMBER(Suppliers!F14),Suppliers!F14,DATE(YEAR(TODAY()),MONTH(TODAY()),1))),3)=0,1,0),IF(Suppliers!E14="Semi-annual",IF(MOD((YEAR(EDATE(DATE(YEAR(TODAY()),MONTH(TODAY()),1),9))-YEAR(IF(ISNUMBER(Suppliers!F14),Suppliers!F14,DATE(YEAR(TODAY()),MONTH(TODAY()),1))))*12+MONTH(EDATE(DATE(YEAR(TODAY()),MONTH(TODAY()),1),9))-MONTH(IF(ISNUMBER(Suppliers!F14),Suppliers!F14,DATE(YEAR(TODAY()),MONTH(TODAY()),1))),6)=0,1,0),IF(Suppliers!E14="Annual",IF(MOD((YEAR(EDATE(DATE(YEAR(TODAY()),MONTH(TODAY()),1),9))-YEAR(IF(ISNUMBER(Suppliers!F14),Suppliers!F14,DATE(YEAR(TODAY()),MONTH(TODAY()),1))))*12+MONTH(EDATE(DATE(YEAR(TODAY()),MONTH(TODAY()),1),9))-MONTH(IF(ISNUMBER(Suppliers!F14),Suppliers!F14,DATE(YEAR(TODAY()),MONTH(TODAY()),1))),12)=0,1,0),IF(Suppliers!E14="One-time",IF(9=0,1,0),1)))))),"")</f>
        <v/>
      </c>
      <c r="P16" s="10" t="str">
        <f ca="1">IFERROR(IF(OR(10&gt;=$B$1,Suppliers!A14="",NOT(ISNUMBER(Suppliers!D14)),Suppliers!L14="Expired",Suppliers!L14="Terminate"),"",Suppliers!D14*-1*IF(Suppliers!E14="Monthly",IF(AND(ISNUMBER(Suppliers!G14),(YEAR(EDATE(DATE(YEAR(TODAY()),MONTH(TODAY()),1),10))*12+MONTH(EDATE(DATE(YEAR(TODAY()),MONTH(TODAY()),1),10)))&gt;(YEAR(Suppliers!G14)*12+MONTH(Suppliers!G14))),"",1),IF(Suppliers!E14="Quarterly",IF(MOD((YEAR(EDATE(DATE(YEAR(TODAY()),MONTH(TODAY()),1),10))-YEAR(IF(ISNUMBER(Suppliers!F14),Suppliers!F14,DATE(YEAR(TODAY()),MONTH(TODAY()),1))))*12+MONTH(EDATE(DATE(YEAR(TODAY()),MONTH(TODAY()),1),10))-MONTH(IF(ISNUMBER(Suppliers!F14),Suppliers!F14,DATE(YEAR(TODAY()),MONTH(TODAY()),1))),3)=0,1,0),IF(Suppliers!E14="Semi-annual",IF(MOD((YEAR(EDATE(DATE(YEAR(TODAY()),MONTH(TODAY()),1),10))-YEAR(IF(ISNUMBER(Suppliers!F14),Suppliers!F14,DATE(YEAR(TODAY()),MONTH(TODAY()),1))))*12+MONTH(EDATE(DATE(YEAR(TODAY()),MONTH(TODAY()),1),10))-MONTH(IF(ISNUMBER(Suppliers!F14),Suppliers!F14,DATE(YEAR(TODAY()),MONTH(TODAY()),1))),6)=0,1,0),IF(Suppliers!E14="Annual",IF(MOD((YEAR(EDATE(DATE(YEAR(TODAY()),MONTH(TODAY()),1),10))-YEAR(IF(ISNUMBER(Suppliers!F14),Suppliers!F14,DATE(YEAR(TODAY()),MONTH(TODAY()),1))))*12+MONTH(EDATE(DATE(YEAR(TODAY()),MONTH(TODAY()),1),10))-MONTH(IF(ISNUMBER(Suppliers!F14),Suppliers!F14,DATE(YEAR(TODAY()),MONTH(TODAY()),1))),12)=0,1,0),IF(Suppliers!E14="One-time",IF(10=0,1,0),1)))))),"")</f>
        <v/>
      </c>
      <c r="Q16" s="10" t="str">
        <f ca="1">IFERROR(IF(OR(11&gt;=$B$1,Suppliers!A14="",NOT(ISNUMBER(Suppliers!D14)),Suppliers!L14="Expired",Suppliers!L14="Terminate"),"",Suppliers!D14*-1*IF(Suppliers!E14="Monthly",IF(AND(ISNUMBER(Suppliers!G14),(YEAR(EDATE(DATE(YEAR(TODAY()),MONTH(TODAY()),1),11))*12+MONTH(EDATE(DATE(YEAR(TODAY()),MONTH(TODAY()),1),11)))&gt;(YEAR(Suppliers!G14)*12+MONTH(Suppliers!G14))),"",1),IF(Suppliers!E14="Quarterly",IF(MOD((YEAR(EDATE(DATE(YEAR(TODAY()),MONTH(TODAY()),1),11))-YEAR(IF(ISNUMBER(Suppliers!F14),Suppliers!F14,DATE(YEAR(TODAY()),MONTH(TODAY()),1))))*12+MONTH(EDATE(DATE(YEAR(TODAY()),MONTH(TODAY()),1),11))-MONTH(IF(ISNUMBER(Suppliers!F14),Suppliers!F14,DATE(YEAR(TODAY()),MONTH(TODAY()),1))),3)=0,1,0),IF(Suppliers!E14="Semi-annual",IF(MOD((YEAR(EDATE(DATE(YEAR(TODAY()),MONTH(TODAY()),1),11))-YEAR(IF(ISNUMBER(Suppliers!F14),Suppliers!F14,DATE(YEAR(TODAY()),MONTH(TODAY()),1))))*12+MONTH(EDATE(DATE(YEAR(TODAY()),MONTH(TODAY()),1),11))-MONTH(IF(ISNUMBER(Suppliers!F14),Suppliers!F14,DATE(YEAR(TODAY()),MONTH(TODAY()),1))),6)=0,1,0),IF(Suppliers!E14="Annual",IF(MOD((YEAR(EDATE(DATE(YEAR(TODAY()),MONTH(TODAY()),1),11))-YEAR(IF(ISNUMBER(Suppliers!F14),Suppliers!F14,DATE(YEAR(TODAY()),MONTH(TODAY()),1))))*12+MONTH(EDATE(DATE(YEAR(TODAY()),MONTH(TODAY()),1),11))-MONTH(IF(ISNUMBER(Suppliers!F14),Suppliers!F14,DATE(YEAR(TODAY()),MONTH(TODAY()),1))),12)=0,1,0),IF(Suppliers!E14="One-time",IF(11=0,1,0),1)))))),"")</f>
        <v/>
      </c>
      <c r="R16" s="10" t="str">
        <f ca="1">IFERROR(IF(OR(12&gt;=$B$1,Suppliers!A14="",NOT(ISNUMBER(Suppliers!D14)),Suppliers!L14="Expired",Suppliers!L14="Terminate"),"",Suppliers!D14*-1*IF(Suppliers!E14="Monthly",IF(AND(ISNUMBER(Suppliers!G14),(YEAR(EDATE(DATE(YEAR(TODAY()),MONTH(TODAY()),1),12))*12+MONTH(EDATE(DATE(YEAR(TODAY()),MONTH(TODAY()),1),12)))&gt;(YEAR(Suppliers!G14)*12+MONTH(Suppliers!G14))),"",1),IF(Suppliers!E14="Quarterly",IF(MOD((YEAR(EDATE(DATE(YEAR(TODAY()),MONTH(TODAY()),1),12))-YEAR(IF(ISNUMBER(Suppliers!F14),Suppliers!F14,DATE(YEAR(TODAY()),MONTH(TODAY()),1))))*12+MONTH(EDATE(DATE(YEAR(TODAY()),MONTH(TODAY()),1),12))-MONTH(IF(ISNUMBER(Suppliers!F14),Suppliers!F14,DATE(YEAR(TODAY()),MONTH(TODAY()),1))),3)=0,1,0),IF(Suppliers!E14="Semi-annual",IF(MOD((YEAR(EDATE(DATE(YEAR(TODAY()),MONTH(TODAY()),1),12))-YEAR(IF(ISNUMBER(Suppliers!F14),Suppliers!F14,DATE(YEAR(TODAY()),MONTH(TODAY()),1))))*12+MONTH(EDATE(DATE(YEAR(TODAY()),MONTH(TODAY()),1),12))-MONTH(IF(ISNUMBER(Suppliers!F14),Suppliers!F14,DATE(YEAR(TODAY()),MONTH(TODAY()),1))),6)=0,1,0),IF(Suppliers!E14="Annual",IF(MOD((YEAR(EDATE(DATE(YEAR(TODAY()),MONTH(TODAY()),1),12))-YEAR(IF(ISNUMBER(Suppliers!F14),Suppliers!F14,DATE(YEAR(TODAY()),MONTH(TODAY()),1))))*12+MONTH(EDATE(DATE(YEAR(TODAY()),MONTH(TODAY()),1),12))-MONTH(IF(ISNUMBER(Suppliers!F14),Suppliers!F14,DATE(YEAR(TODAY()),MONTH(TODAY()),1))),12)=0,1,0),IF(Suppliers!E14="One-time",IF(12=0,1,0),1)))))),"")</f>
        <v/>
      </c>
      <c r="S16" s="10" t="str">
        <f ca="1">IFERROR(IF(OR(13&gt;=$B$1,Suppliers!A14="",NOT(ISNUMBER(Suppliers!D14)),Suppliers!L14="Expired",Suppliers!L14="Terminate"),"",Suppliers!D14*-1*IF(Suppliers!E14="Monthly",IF(AND(ISNUMBER(Suppliers!G14),(YEAR(EDATE(DATE(YEAR(TODAY()),MONTH(TODAY()),1),13))*12+MONTH(EDATE(DATE(YEAR(TODAY()),MONTH(TODAY()),1),13)))&gt;(YEAR(Suppliers!G14)*12+MONTH(Suppliers!G14))),"",1),IF(Suppliers!E14="Quarterly",IF(MOD((YEAR(EDATE(DATE(YEAR(TODAY()),MONTH(TODAY()),1),13))-YEAR(IF(ISNUMBER(Suppliers!F14),Suppliers!F14,DATE(YEAR(TODAY()),MONTH(TODAY()),1))))*12+MONTH(EDATE(DATE(YEAR(TODAY()),MONTH(TODAY()),1),13))-MONTH(IF(ISNUMBER(Suppliers!F14),Suppliers!F14,DATE(YEAR(TODAY()),MONTH(TODAY()),1))),3)=0,1,0),IF(Suppliers!E14="Semi-annual",IF(MOD((YEAR(EDATE(DATE(YEAR(TODAY()),MONTH(TODAY()),1),13))-YEAR(IF(ISNUMBER(Suppliers!F14),Suppliers!F14,DATE(YEAR(TODAY()),MONTH(TODAY()),1))))*12+MONTH(EDATE(DATE(YEAR(TODAY()),MONTH(TODAY()),1),13))-MONTH(IF(ISNUMBER(Suppliers!F14),Suppliers!F14,DATE(YEAR(TODAY()),MONTH(TODAY()),1))),6)=0,1,0),IF(Suppliers!E14="Annual",IF(MOD((YEAR(EDATE(DATE(YEAR(TODAY()),MONTH(TODAY()),1),13))-YEAR(IF(ISNUMBER(Suppliers!F14),Suppliers!F14,DATE(YEAR(TODAY()),MONTH(TODAY()),1))))*12+MONTH(EDATE(DATE(YEAR(TODAY()),MONTH(TODAY()),1),13))-MONTH(IF(ISNUMBER(Suppliers!F14),Suppliers!F14,DATE(YEAR(TODAY()),MONTH(TODAY()),1))),12)=0,1,0),IF(Suppliers!E14="One-time",IF(13=0,1,0),1)))))),"")</f>
        <v/>
      </c>
      <c r="T16" s="10" t="str">
        <f ca="1">IFERROR(IF(OR(14&gt;=$B$1,Suppliers!A14="",NOT(ISNUMBER(Suppliers!D14)),Suppliers!L14="Expired",Suppliers!L14="Terminate"),"",Suppliers!D14*-1*IF(Suppliers!E14="Monthly",IF(AND(ISNUMBER(Suppliers!G14),(YEAR(EDATE(DATE(YEAR(TODAY()),MONTH(TODAY()),1),14))*12+MONTH(EDATE(DATE(YEAR(TODAY()),MONTH(TODAY()),1),14)))&gt;(YEAR(Suppliers!G14)*12+MONTH(Suppliers!G14))),"",1),IF(Suppliers!E14="Quarterly",IF(MOD((YEAR(EDATE(DATE(YEAR(TODAY()),MONTH(TODAY()),1),14))-YEAR(IF(ISNUMBER(Suppliers!F14),Suppliers!F14,DATE(YEAR(TODAY()),MONTH(TODAY()),1))))*12+MONTH(EDATE(DATE(YEAR(TODAY()),MONTH(TODAY()),1),14))-MONTH(IF(ISNUMBER(Suppliers!F14),Suppliers!F14,DATE(YEAR(TODAY()),MONTH(TODAY()),1))),3)=0,1,0),IF(Suppliers!E14="Semi-annual",IF(MOD((YEAR(EDATE(DATE(YEAR(TODAY()),MONTH(TODAY()),1),14))-YEAR(IF(ISNUMBER(Suppliers!F14),Suppliers!F14,DATE(YEAR(TODAY()),MONTH(TODAY()),1))))*12+MONTH(EDATE(DATE(YEAR(TODAY()),MONTH(TODAY()),1),14))-MONTH(IF(ISNUMBER(Suppliers!F14),Suppliers!F14,DATE(YEAR(TODAY()),MONTH(TODAY()),1))),6)=0,1,0),IF(Suppliers!E14="Annual",IF(MOD((YEAR(EDATE(DATE(YEAR(TODAY()),MONTH(TODAY()),1),14))-YEAR(IF(ISNUMBER(Suppliers!F14),Suppliers!F14,DATE(YEAR(TODAY()),MONTH(TODAY()),1))))*12+MONTH(EDATE(DATE(YEAR(TODAY()),MONTH(TODAY()),1),14))-MONTH(IF(ISNUMBER(Suppliers!F14),Suppliers!F14,DATE(YEAR(TODAY()),MONTH(TODAY()),1))),12)=0,1,0),IF(Suppliers!E14="One-time",IF(14=0,1,0),1)))))),"")</f>
        <v/>
      </c>
      <c r="U16" s="10" t="str">
        <f ca="1">IFERROR(IF(OR(15&gt;=$B$1,Suppliers!A14="",NOT(ISNUMBER(Suppliers!D14)),Suppliers!L14="Expired",Suppliers!L14="Terminate"),"",Suppliers!D14*-1*IF(Suppliers!E14="Monthly",IF(AND(ISNUMBER(Suppliers!G14),(YEAR(EDATE(DATE(YEAR(TODAY()),MONTH(TODAY()),1),15))*12+MONTH(EDATE(DATE(YEAR(TODAY()),MONTH(TODAY()),1),15)))&gt;(YEAR(Suppliers!G14)*12+MONTH(Suppliers!G14))),"",1),IF(Suppliers!E14="Quarterly",IF(MOD((YEAR(EDATE(DATE(YEAR(TODAY()),MONTH(TODAY()),1),15))-YEAR(IF(ISNUMBER(Suppliers!F14),Suppliers!F14,DATE(YEAR(TODAY()),MONTH(TODAY()),1))))*12+MONTH(EDATE(DATE(YEAR(TODAY()),MONTH(TODAY()),1),15))-MONTH(IF(ISNUMBER(Suppliers!F14),Suppliers!F14,DATE(YEAR(TODAY()),MONTH(TODAY()),1))),3)=0,1,0),IF(Suppliers!E14="Semi-annual",IF(MOD((YEAR(EDATE(DATE(YEAR(TODAY()),MONTH(TODAY()),1),15))-YEAR(IF(ISNUMBER(Suppliers!F14),Suppliers!F14,DATE(YEAR(TODAY()),MONTH(TODAY()),1))))*12+MONTH(EDATE(DATE(YEAR(TODAY()),MONTH(TODAY()),1),15))-MONTH(IF(ISNUMBER(Suppliers!F14),Suppliers!F14,DATE(YEAR(TODAY()),MONTH(TODAY()),1))),6)=0,1,0),IF(Suppliers!E14="Annual",IF(MOD((YEAR(EDATE(DATE(YEAR(TODAY()),MONTH(TODAY()),1),15))-YEAR(IF(ISNUMBER(Suppliers!F14),Suppliers!F14,DATE(YEAR(TODAY()),MONTH(TODAY()),1))))*12+MONTH(EDATE(DATE(YEAR(TODAY()),MONTH(TODAY()),1),15))-MONTH(IF(ISNUMBER(Suppliers!F14),Suppliers!F14,DATE(YEAR(TODAY()),MONTH(TODAY()),1))),12)=0,1,0),IF(Suppliers!E14="One-time",IF(15=0,1,0),1)))))),"")</f>
        <v/>
      </c>
      <c r="V16" s="10" t="str">
        <f ca="1">IFERROR(IF(OR(16&gt;=$B$1,Suppliers!A14="",NOT(ISNUMBER(Suppliers!D14)),Suppliers!L14="Expired",Suppliers!L14="Terminate"),"",Suppliers!D14*-1*IF(Suppliers!E14="Monthly",IF(AND(ISNUMBER(Suppliers!G14),(YEAR(EDATE(DATE(YEAR(TODAY()),MONTH(TODAY()),1),16))*12+MONTH(EDATE(DATE(YEAR(TODAY()),MONTH(TODAY()),1),16)))&gt;(YEAR(Suppliers!G14)*12+MONTH(Suppliers!G14))),"",1),IF(Suppliers!E14="Quarterly",IF(MOD((YEAR(EDATE(DATE(YEAR(TODAY()),MONTH(TODAY()),1),16))-YEAR(IF(ISNUMBER(Suppliers!F14),Suppliers!F14,DATE(YEAR(TODAY()),MONTH(TODAY()),1))))*12+MONTH(EDATE(DATE(YEAR(TODAY()),MONTH(TODAY()),1),16))-MONTH(IF(ISNUMBER(Suppliers!F14),Suppliers!F14,DATE(YEAR(TODAY()),MONTH(TODAY()),1))),3)=0,1,0),IF(Suppliers!E14="Semi-annual",IF(MOD((YEAR(EDATE(DATE(YEAR(TODAY()),MONTH(TODAY()),1),16))-YEAR(IF(ISNUMBER(Suppliers!F14),Suppliers!F14,DATE(YEAR(TODAY()),MONTH(TODAY()),1))))*12+MONTH(EDATE(DATE(YEAR(TODAY()),MONTH(TODAY()),1),16))-MONTH(IF(ISNUMBER(Suppliers!F14),Suppliers!F14,DATE(YEAR(TODAY()),MONTH(TODAY()),1))),6)=0,1,0),IF(Suppliers!E14="Annual",IF(MOD((YEAR(EDATE(DATE(YEAR(TODAY()),MONTH(TODAY()),1),16))-YEAR(IF(ISNUMBER(Suppliers!F14),Suppliers!F14,DATE(YEAR(TODAY()),MONTH(TODAY()),1))))*12+MONTH(EDATE(DATE(YEAR(TODAY()),MONTH(TODAY()),1),16))-MONTH(IF(ISNUMBER(Suppliers!F14),Suppliers!F14,DATE(YEAR(TODAY()),MONTH(TODAY()),1))),12)=0,1,0),IF(Suppliers!E14="One-time",IF(16=0,1,0),1)))))),"")</f>
        <v/>
      </c>
      <c r="W16" s="10" t="str">
        <f ca="1">IFERROR(IF(OR(17&gt;=$B$1,Suppliers!A14="",NOT(ISNUMBER(Suppliers!D14)),Suppliers!L14="Expired",Suppliers!L14="Terminate"),"",Suppliers!D14*-1*IF(Suppliers!E14="Monthly",IF(AND(ISNUMBER(Suppliers!G14),(YEAR(EDATE(DATE(YEAR(TODAY()),MONTH(TODAY()),1),17))*12+MONTH(EDATE(DATE(YEAR(TODAY()),MONTH(TODAY()),1),17)))&gt;(YEAR(Suppliers!G14)*12+MONTH(Suppliers!G14))),"",1),IF(Suppliers!E14="Quarterly",IF(MOD((YEAR(EDATE(DATE(YEAR(TODAY()),MONTH(TODAY()),1),17))-YEAR(IF(ISNUMBER(Suppliers!F14),Suppliers!F14,DATE(YEAR(TODAY()),MONTH(TODAY()),1))))*12+MONTH(EDATE(DATE(YEAR(TODAY()),MONTH(TODAY()),1),17))-MONTH(IF(ISNUMBER(Suppliers!F14),Suppliers!F14,DATE(YEAR(TODAY()),MONTH(TODAY()),1))),3)=0,1,0),IF(Suppliers!E14="Semi-annual",IF(MOD((YEAR(EDATE(DATE(YEAR(TODAY()),MONTH(TODAY()),1),17))-YEAR(IF(ISNUMBER(Suppliers!F14),Suppliers!F14,DATE(YEAR(TODAY()),MONTH(TODAY()),1))))*12+MONTH(EDATE(DATE(YEAR(TODAY()),MONTH(TODAY()),1),17))-MONTH(IF(ISNUMBER(Suppliers!F14),Suppliers!F14,DATE(YEAR(TODAY()),MONTH(TODAY()),1))),6)=0,1,0),IF(Suppliers!E14="Annual",IF(MOD((YEAR(EDATE(DATE(YEAR(TODAY()),MONTH(TODAY()),1),17))-YEAR(IF(ISNUMBER(Suppliers!F14),Suppliers!F14,DATE(YEAR(TODAY()),MONTH(TODAY()),1))))*12+MONTH(EDATE(DATE(YEAR(TODAY()),MONTH(TODAY()),1),17))-MONTH(IF(ISNUMBER(Suppliers!F14),Suppliers!F14,DATE(YEAR(TODAY()),MONTH(TODAY()),1))),12)=0,1,0),IF(Suppliers!E14="One-time",IF(17=0,1,0),1)))))),"")</f>
        <v/>
      </c>
      <c r="X16" s="10" t="str">
        <f ca="1">IFERROR(IF(OR(18&gt;=$B$1,Suppliers!A14="",NOT(ISNUMBER(Suppliers!D14)),Suppliers!L14="Expired",Suppliers!L14="Terminate"),"",Suppliers!D14*-1*IF(Suppliers!E14="Monthly",IF(AND(ISNUMBER(Suppliers!G14),(YEAR(EDATE(DATE(YEAR(TODAY()),MONTH(TODAY()),1),18))*12+MONTH(EDATE(DATE(YEAR(TODAY()),MONTH(TODAY()),1),18)))&gt;(YEAR(Suppliers!G14)*12+MONTH(Suppliers!G14))),"",1),IF(Suppliers!E14="Quarterly",IF(MOD((YEAR(EDATE(DATE(YEAR(TODAY()),MONTH(TODAY()),1),18))-YEAR(IF(ISNUMBER(Suppliers!F14),Suppliers!F14,DATE(YEAR(TODAY()),MONTH(TODAY()),1))))*12+MONTH(EDATE(DATE(YEAR(TODAY()),MONTH(TODAY()),1),18))-MONTH(IF(ISNUMBER(Suppliers!F14),Suppliers!F14,DATE(YEAR(TODAY()),MONTH(TODAY()),1))),3)=0,1,0),IF(Suppliers!E14="Semi-annual",IF(MOD((YEAR(EDATE(DATE(YEAR(TODAY()),MONTH(TODAY()),1),18))-YEAR(IF(ISNUMBER(Suppliers!F14),Suppliers!F14,DATE(YEAR(TODAY()),MONTH(TODAY()),1))))*12+MONTH(EDATE(DATE(YEAR(TODAY()),MONTH(TODAY()),1),18))-MONTH(IF(ISNUMBER(Suppliers!F14),Suppliers!F14,DATE(YEAR(TODAY()),MONTH(TODAY()),1))),6)=0,1,0),IF(Suppliers!E14="Annual",IF(MOD((YEAR(EDATE(DATE(YEAR(TODAY()),MONTH(TODAY()),1),18))-YEAR(IF(ISNUMBER(Suppliers!F14),Suppliers!F14,DATE(YEAR(TODAY()),MONTH(TODAY()),1))))*12+MONTH(EDATE(DATE(YEAR(TODAY()),MONTH(TODAY()),1),18))-MONTH(IF(ISNUMBER(Suppliers!F14),Suppliers!F14,DATE(YEAR(TODAY()),MONTH(TODAY()),1))),12)=0,1,0),IF(Suppliers!E14="One-time",IF(18=0,1,0),1)))))),"")</f>
        <v/>
      </c>
      <c r="Y16" s="10" t="str">
        <f ca="1">IFERROR(IF(OR(19&gt;=$B$1,Suppliers!A14="",NOT(ISNUMBER(Suppliers!D14)),Suppliers!L14="Expired",Suppliers!L14="Terminate"),"",Suppliers!D14*-1*IF(Suppliers!E14="Monthly",IF(AND(ISNUMBER(Suppliers!G14),(YEAR(EDATE(DATE(YEAR(TODAY()),MONTH(TODAY()),1),19))*12+MONTH(EDATE(DATE(YEAR(TODAY()),MONTH(TODAY()),1),19)))&gt;(YEAR(Suppliers!G14)*12+MONTH(Suppliers!G14))),"",1),IF(Suppliers!E14="Quarterly",IF(MOD((YEAR(EDATE(DATE(YEAR(TODAY()),MONTH(TODAY()),1),19))-YEAR(IF(ISNUMBER(Suppliers!F14),Suppliers!F14,DATE(YEAR(TODAY()),MONTH(TODAY()),1))))*12+MONTH(EDATE(DATE(YEAR(TODAY()),MONTH(TODAY()),1),19))-MONTH(IF(ISNUMBER(Suppliers!F14),Suppliers!F14,DATE(YEAR(TODAY()),MONTH(TODAY()),1))),3)=0,1,0),IF(Suppliers!E14="Semi-annual",IF(MOD((YEAR(EDATE(DATE(YEAR(TODAY()),MONTH(TODAY()),1),19))-YEAR(IF(ISNUMBER(Suppliers!F14),Suppliers!F14,DATE(YEAR(TODAY()),MONTH(TODAY()),1))))*12+MONTH(EDATE(DATE(YEAR(TODAY()),MONTH(TODAY()),1),19))-MONTH(IF(ISNUMBER(Suppliers!F14),Suppliers!F14,DATE(YEAR(TODAY()),MONTH(TODAY()),1))),6)=0,1,0),IF(Suppliers!E14="Annual",IF(MOD((YEAR(EDATE(DATE(YEAR(TODAY()),MONTH(TODAY()),1),19))-YEAR(IF(ISNUMBER(Suppliers!F14),Suppliers!F14,DATE(YEAR(TODAY()),MONTH(TODAY()),1))))*12+MONTH(EDATE(DATE(YEAR(TODAY()),MONTH(TODAY()),1),19))-MONTH(IF(ISNUMBER(Suppliers!F14),Suppliers!F14,DATE(YEAR(TODAY()),MONTH(TODAY()),1))),12)=0,1,0),IF(Suppliers!E14="One-time",IF(19=0,1,0),1)))))),"")</f>
        <v/>
      </c>
      <c r="Z16" s="10" t="str">
        <f ca="1">IFERROR(IF(OR(20&gt;=$B$1,Suppliers!A14="",NOT(ISNUMBER(Suppliers!D14)),Suppliers!L14="Expired",Suppliers!L14="Terminate"),"",Suppliers!D14*-1*IF(Suppliers!E14="Monthly",IF(AND(ISNUMBER(Suppliers!G14),(YEAR(EDATE(DATE(YEAR(TODAY()),MONTH(TODAY()),1),20))*12+MONTH(EDATE(DATE(YEAR(TODAY()),MONTH(TODAY()),1),20)))&gt;(YEAR(Suppliers!G14)*12+MONTH(Suppliers!G14))),"",1),IF(Suppliers!E14="Quarterly",IF(MOD((YEAR(EDATE(DATE(YEAR(TODAY()),MONTH(TODAY()),1),20))-YEAR(IF(ISNUMBER(Suppliers!F14),Suppliers!F14,DATE(YEAR(TODAY()),MONTH(TODAY()),1))))*12+MONTH(EDATE(DATE(YEAR(TODAY()),MONTH(TODAY()),1),20))-MONTH(IF(ISNUMBER(Suppliers!F14),Suppliers!F14,DATE(YEAR(TODAY()),MONTH(TODAY()),1))),3)=0,1,0),IF(Suppliers!E14="Semi-annual",IF(MOD((YEAR(EDATE(DATE(YEAR(TODAY()),MONTH(TODAY()),1),20))-YEAR(IF(ISNUMBER(Suppliers!F14),Suppliers!F14,DATE(YEAR(TODAY()),MONTH(TODAY()),1))))*12+MONTH(EDATE(DATE(YEAR(TODAY()),MONTH(TODAY()),1),20))-MONTH(IF(ISNUMBER(Suppliers!F14),Suppliers!F14,DATE(YEAR(TODAY()),MONTH(TODAY()),1))),6)=0,1,0),IF(Suppliers!E14="Annual",IF(MOD((YEAR(EDATE(DATE(YEAR(TODAY()),MONTH(TODAY()),1),20))-YEAR(IF(ISNUMBER(Suppliers!F14),Suppliers!F14,DATE(YEAR(TODAY()),MONTH(TODAY()),1))))*12+MONTH(EDATE(DATE(YEAR(TODAY()),MONTH(TODAY()),1),20))-MONTH(IF(ISNUMBER(Suppliers!F14),Suppliers!F14,DATE(YEAR(TODAY()),MONTH(TODAY()),1))),12)=0,1,0),IF(Suppliers!E14="One-time",IF(20=0,1,0),1)))))),"")</f>
        <v/>
      </c>
      <c r="AA16" s="10" t="str">
        <f ca="1">IFERROR(IF(OR(21&gt;=$B$1,Suppliers!A14="",NOT(ISNUMBER(Suppliers!D14)),Suppliers!L14="Expired",Suppliers!L14="Terminate"),"",Suppliers!D14*-1*IF(Suppliers!E14="Monthly",IF(AND(ISNUMBER(Suppliers!G14),(YEAR(EDATE(DATE(YEAR(TODAY()),MONTH(TODAY()),1),21))*12+MONTH(EDATE(DATE(YEAR(TODAY()),MONTH(TODAY()),1),21)))&gt;(YEAR(Suppliers!G14)*12+MONTH(Suppliers!G14))),"",1),IF(Suppliers!E14="Quarterly",IF(MOD((YEAR(EDATE(DATE(YEAR(TODAY()),MONTH(TODAY()),1),21))-YEAR(IF(ISNUMBER(Suppliers!F14),Suppliers!F14,DATE(YEAR(TODAY()),MONTH(TODAY()),1))))*12+MONTH(EDATE(DATE(YEAR(TODAY()),MONTH(TODAY()),1),21))-MONTH(IF(ISNUMBER(Suppliers!F14),Suppliers!F14,DATE(YEAR(TODAY()),MONTH(TODAY()),1))),3)=0,1,0),IF(Suppliers!E14="Semi-annual",IF(MOD((YEAR(EDATE(DATE(YEAR(TODAY()),MONTH(TODAY()),1),21))-YEAR(IF(ISNUMBER(Suppliers!F14),Suppliers!F14,DATE(YEAR(TODAY()),MONTH(TODAY()),1))))*12+MONTH(EDATE(DATE(YEAR(TODAY()),MONTH(TODAY()),1),21))-MONTH(IF(ISNUMBER(Suppliers!F14),Suppliers!F14,DATE(YEAR(TODAY()),MONTH(TODAY()),1))),6)=0,1,0),IF(Suppliers!E14="Annual",IF(MOD((YEAR(EDATE(DATE(YEAR(TODAY()),MONTH(TODAY()),1),21))-YEAR(IF(ISNUMBER(Suppliers!F14),Suppliers!F14,DATE(YEAR(TODAY()),MONTH(TODAY()),1))))*12+MONTH(EDATE(DATE(YEAR(TODAY()),MONTH(TODAY()),1),21))-MONTH(IF(ISNUMBER(Suppliers!F14),Suppliers!F14,DATE(YEAR(TODAY()),MONTH(TODAY()),1))),12)=0,1,0),IF(Suppliers!E14="One-time",IF(21=0,1,0),1)))))),"")</f>
        <v/>
      </c>
      <c r="AB16" s="10" t="str">
        <f ca="1">IFERROR(IF(OR(22&gt;=$B$1,Suppliers!A14="",NOT(ISNUMBER(Suppliers!D14)),Suppliers!L14="Expired",Suppliers!L14="Terminate"),"",Suppliers!D14*-1*IF(Suppliers!E14="Monthly",IF(AND(ISNUMBER(Suppliers!G14),(YEAR(EDATE(DATE(YEAR(TODAY()),MONTH(TODAY()),1),22))*12+MONTH(EDATE(DATE(YEAR(TODAY()),MONTH(TODAY()),1),22)))&gt;(YEAR(Suppliers!G14)*12+MONTH(Suppliers!G14))),"",1),IF(Suppliers!E14="Quarterly",IF(MOD((YEAR(EDATE(DATE(YEAR(TODAY()),MONTH(TODAY()),1),22))-YEAR(IF(ISNUMBER(Suppliers!F14),Suppliers!F14,DATE(YEAR(TODAY()),MONTH(TODAY()),1))))*12+MONTH(EDATE(DATE(YEAR(TODAY()),MONTH(TODAY()),1),22))-MONTH(IF(ISNUMBER(Suppliers!F14),Suppliers!F14,DATE(YEAR(TODAY()),MONTH(TODAY()),1))),3)=0,1,0),IF(Suppliers!E14="Semi-annual",IF(MOD((YEAR(EDATE(DATE(YEAR(TODAY()),MONTH(TODAY()),1),22))-YEAR(IF(ISNUMBER(Suppliers!F14),Suppliers!F14,DATE(YEAR(TODAY()),MONTH(TODAY()),1))))*12+MONTH(EDATE(DATE(YEAR(TODAY()),MONTH(TODAY()),1),22))-MONTH(IF(ISNUMBER(Suppliers!F14),Suppliers!F14,DATE(YEAR(TODAY()),MONTH(TODAY()),1))),6)=0,1,0),IF(Suppliers!E14="Annual",IF(MOD((YEAR(EDATE(DATE(YEAR(TODAY()),MONTH(TODAY()),1),22))-YEAR(IF(ISNUMBER(Suppliers!F14),Suppliers!F14,DATE(YEAR(TODAY()),MONTH(TODAY()),1))))*12+MONTH(EDATE(DATE(YEAR(TODAY()),MONTH(TODAY()),1),22))-MONTH(IF(ISNUMBER(Suppliers!F14),Suppliers!F14,DATE(YEAR(TODAY()),MONTH(TODAY()),1))),12)=0,1,0),IF(Suppliers!E14="One-time",IF(22=0,1,0),1)))))),"")</f>
        <v/>
      </c>
      <c r="AC16" s="10" t="str">
        <f ca="1">IFERROR(IF(OR(23&gt;=$B$1,Suppliers!A14="",NOT(ISNUMBER(Suppliers!D14)),Suppliers!L14="Expired",Suppliers!L14="Terminate"),"",Suppliers!D14*-1*IF(Suppliers!E14="Monthly",IF(AND(ISNUMBER(Suppliers!G14),(YEAR(EDATE(DATE(YEAR(TODAY()),MONTH(TODAY()),1),23))*12+MONTH(EDATE(DATE(YEAR(TODAY()),MONTH(TODAY()),1),23)))&gt;(YEAR(Suppliers!G14)*12+MONTH(Suppliers!G14))),"",1),IF(Suppliers!E14="Quarterly",IF(MOD((YEAR(EDATE(DATE(YEAR(TODAY()),MONTH(TODAY()),1),23))-YEAR(IF(ISNUMBER(Suppliers!F14),Suppliers!F14,DATE(YEAR(TODAY()),MONTH(TODAY()),1))))*12+MONTH(EDATE(DATE(YEAR(TODAY()),MONTH(TODAY()),1),23))-MONTH(IF(ISNUMBER(Suppliers!F14),Suppliers!F14,DATE(YEAR(TODAY()),MONTH(TODAY()),1))),3)=0,1,0),IF(Suppliers!E14="Semi-annual",IF(MOD((YEAR(EDATE(DATE(YEAR(TODAY()),MONTH(TODAY()),1),23))-YEAR(IF(ISNUMBER(Suppliers!F14),Suppliers!F14,DATE(YEAR(TODAY()),MONTH(TODAY()),1))))*12+MONTH(EDATE(DATE(YEAR(TODAY()),MONTH(TODAY()),1),23))-MONTH(IF(ISNUMBER(Suppliers!F14),Suppliers!F14,DATE(YEAR(TODAY()),MONTH(TODAY()),1))),6)=0,1,0),IF(Suppliers!E14="Annual",IF(MOD((YEAR(EDATE(DATE(YEAR(TODAY()),MONTH(TODAY()),1),23))-YEAR(IF(ISNUMBER(Suppliers!F14),Suppliers!F14,DATE(YEAR(TODAY()),MONTH(TODAY()),1))))*12+MONTH(EDATE(DATE(YEAR(TODAY()),MONTH(TODAY()),1),23))-MONTH(IF(ISNUMBER(Suppliers!F14),Suppliers!F14,DATE(YEAR(TODAY()),MONTH(TODAY()),1))),12)=0,1,0),IF(Suppliers!E14="One-time",IF(23=0,1,0),1)))))),"")</f>
        <v/>
      </c>
    </row>
    <row r="17" spans="1:29" ht="15" customHeight="1" x14ac:dyDescent="0.35">
      <c r="A17" s="4" t="s">
        <v>80</v>
      </c>
      <c r="B17" s="4" t="str">
        <f>IF(Suppliers!A15="","",Suppliers!A15)</f>
        <v>Xi Marketing Platform</v>
      </c>
      <c r="C17" s="10">
        <f>IF(Suppliers!C15="","",Suppliers!C15)</f>
        <v>1050.42</v>
      </c>
      <c r="D17" s="10">
        <f>IF(Suppliers!D15="","",Suppliers!D15)</f>
        <v>1250</v>
      </c>
      <c r="E17" s="4" t="str">
        <f>IF(Suppliers!E15="","",Suppliers!E15)</f>
        <v>Monthly</v>
      </c>
      <c r="F17" s="10">
        <f ca="1">IFERROR(IF(OR(0&gt;=$B$1,Suppliers!A15="",NOT(ISNUMBER(Suppliers!D15)),Suppliers!L15="Expired",Suppliers!L15="Terminate"),"",Suppliers!D15*-1*IF(Suppliers!E15="Monthly",IF(AND(ISNUMBER(Suppliers!G15),(YEAR(EDATE(DATE(YEAR(TODAY()),MONTH(TODAY()),1),0))*12+MONTH(EDATE(DATE(YEAR(TODAY()),MONTH(TODAY()),1),0)))&gt;(YEAR(Suppliers!G15)*12+MONTH(Suppliers!G15))),"",1),IF(Suppliers!E15="Quarterly",IF(MOD((YEAR(EDATE(DATE(YEAR(TODAY()),MONTH(TODAY()),1),0))-YEAR(IF(ISNUMBER(Suppliers!F15),Suppliers!F15,DATE(YEAR(TODAY()),MONTH(TODAY()),1))))*12+MONTH(EDATE(DATE(YEAR(TODAY()),MONTH(TODAY()),1),0))-MONTH(IF(ISNUMBER(Suppliers!F15),Suppliers!F15,DATE(YEAR(TODAY()),MONTH(TODAY()),1))),3)=0,1,0),IF(Suppliers!E15="Semi-annual",IF(MOD((YEAR(EDATE(DATE(YEAR(TODAY()),MONTH(TODAY()),1),0))-YEAR(IF(ISNUMBER(Suppliers!F15),Suppliers!F15,DATE(YEAR(TODAY()),MONTH(TODAY()),1))))*12+MONTH(EDATE(DATE(YEAR(TODAY()),MONTH(TODAY()),1),0))-MONTH(IF(ISNUMBER(Suppliers!F15),Suppliers!F15,DATE(YEAR(TODAY()),MONTH(TODAY()),1))),6)=0,1,0),IF(Suppliers!E15="Annual",IF(MOD((YEAR(EDATE(DATE(YEAR(TODAY()),MONTH(TODAY()),1),0))-YEAR(IF(ISNUMBER(Suppliers!F15),Suppliers!F15,DATE(YEAR(TODAY()),MONTH(TODAY()),1))))*12+MONTH(EDATE(DATE(YEAR(TODAY()),MONTH(TODAY()),1),0))-MONTH(IF(ISNUMBER(Suppliers!F15),Suppliers!F15,DATE(YEAR(TODAY()),MONTH(TODAY()),1))),12)=0,1,0),IF(Suppliers!E15="One-time",IF(0=0,1,0),1)))))),"")</f>
        <v>-1250</v>
      </c>
      <c r="G17" s="10">
        <f ca="1">IFERROR(IF(OR(1&gt;=$B$1,Suppliers!A15="",NOT(ISNUMBER(Suppliers!D15)),Suppliers!L15="Expired",Suppliers!L15="Terminate"),"",Suppliers!D15*-1*IF(Suppliers!E15="Monthly",IF(AND(ISNUMBER(Suppliers!G15),(YEAR(EDATE(DATE(YEAR(TODAY()),MONTH(TODAY()),1),1))*12+MONTH(EDATE(DATE(YEAR(TODAY()),MONTH(TODAY()),1),1)))&gt;(YEAR(Suppliers!G15)*12+MONTH(Suppliers!G15))),"",1),IF(Suppliers!E15="Quarterly",IF(MOD((YEAR(EDATE(DATE(YEAR(TODAY()),MONTH(TODAY()),1),1))-YEAR(IF(ISNUMBER(Suppliers!F15),Suppliers!F15,DATE(YEAR(TODAY()),MONTH(TODAY()),1))))*12+MONTH(EDATE(DATE(YEAR(TODAY()),MONTH(TODAY()),1),1))-MONTH(IF(ISNUMBER(Suppliers!F15),Suppliers!F15,DATE(YEAR(TODAY()),MONTH(TODAY()),1))),3)=0,1,0),IF(Suppliers!E15="Semi-annual",IF(MOD((YEAR(EDATE(DATE(YEAR(TODAY()),MONTH(TODAY()),1),1))-YEAR(IF(ISNUMBER(Suppliers!F15),Suppliers!F15,DATE(YEAR(TODAY()),MONTH(TODAY()),1))))*12+MONTH(EDATE(DATE(YEAR(TODAY()),MONTH(TODAY()),1),1))-MONTH(IF(ISNUMBER(Suppliers!F15),Suppliers!F15,DATE(YEAR(TODAY()),MONTH(TODAY()),1))),6)=0,1,0),IF(Suppliers!E15="Annual",IF(MOD((YEAR(EDATE(DATE(YEAR(TODAY()),MONTH(TODAY()),1),1))-YEAR(IF(ISNUMBER(Suppliers!F15),Suppliers!F15,DATE(YEAR(TODAY()),MONTH(TODAY()),1))))*12+MONTH(EDATE(DATE(YEAR(TODAY()),MONTH(TODAY()),1),1))-MONTH(IF(ISNUMBER(Suppliers!F15),Suppliers!F15,DATE(YEAR(TODAY()),MONTH(TODAY()),1))),12)=0,1,0),IF(Suppliers!E15="One-time",IF(1=0,1,0),1)))))),"")</f>
        <v>-1250</v>
      </c>
      <c r="H17" s="10" t="str">
        <f ca="1">IFERROR(IF(OR(2&gt;=$B$1,Suppliers!A15="",NOT(ISNUMBER(Suppliers!D15)),Suppliers!L15="Expired",Suppliers!L15="Terminate"),"",Suppliers!D15*-1*IF(Suppliers!E15="Monthly",IF(AND(ISNUMBER(Suppliers!G15),(YEAR(EDATE(DATE(YEAR(TODAY()),MONTH(TODAY()),1),2))*12+MONTH(EDATE(DATE(YEAR(TODAY()),MONTH(TODAY()),1),2)))&gt;(YEAR(Suppliers!G15)*12+MONTH(Suppliers!G15))),"",1),IF(Suppliers!E15="Quarterly",IF(MOD((YEAR(EDATE(DATE(YEAR(TODAY()),MONTH(TODAY()),1),2))-YEAR(IF(ISNUMBER(Suppliers!F15),Suppliers!F15,DATE(YEAR(TODAY()),MONTH(TODAY()),1))))*12+MONTH(EDATE(DATE(YEAR(TODAY()),MONTH(TODAY()),1),2))-MONTH(IF(ISNUMBER(Suppliers!F15),Suppliers!F15,DATE(YEAR(TODAY()),MONTH(TODAY()),1))),3)=0,1,0),IF(Suppliers!E15="Semi-annual",IF(MOD((YEAR(EDATE(DATE(YEAR(TODAY()),MONTH(TODAY()),1),2))-YEAR(IF(ISNUMBER(Suppliers!F15),Suppliers!F15,DATE(YEAR(TODAY()),MONTH(TODAY()),1))))*12+MONTH(EDATE(DATE(YEAR(TODAY()),MONTH(TODAY()),1),2))-MONTH(IF(ISNUMBER(Suppliers!F15),Suppliers!F15,DATE(YEAR(TODAY()),MONTH(TODAY()),1))),6)=0,1,0),IF(Suppliers!E15="Annual",IF(MOD((YEAR(EDATE(DATE(YEAR(TODAY()),MONTH(TODAY()),1),2))-YEAR(IF(ISNUMBER(Suppliers!F15),Suppliers!F15,DATE(YEAR(TODAY()),MONTH(TODAY()),1))))*12+MONTH(EDATE(DATE(YEAR(TODAY()),MONTH(TODAY()),1),2))-MONTH(IF(ISNUMBER(Suppliers!F15),Suppliers!F15,DATE(YEAR(TODAY()),MONTH(TODAY()),1))),12)=0,1,0),IF(Suppliers!E15="One-time",IF(2=0,1,0),1)))))),"")</f>
        <v/>
      </c>
      <c r="I17" s="10" t="str">
        <f ca="1">IFERROR(IF(OR(3&gt;=$B$1,Suppliers!A15="",NOT(ISNUMBER(Suppliers!D15)),Suppliers!L15="Expired",Suppliers!L15="Terminate"),"",Suppliers!D15*-1*IF(Suppliers!E15="Monthly",IF(AND(ISNUMBER(Suppliers!G15),(YEAR(EDATE(DATE(YEAR(TODAY()),MONTH(TODAY()),1),3))*12+MONTH(EDATE(DATE(YEAR(TODAY()),MONTH(TODAY()),1),3)))&gt;(YEAR(Suppliers!G15)*12+MONTH(Suppliers!G15))),"",1),IF(Suppliers!E15="Quarterly",IF(MOD((YEAR(EDATE(DATE(YEAR(TODAY()),MONTH(TODAY()),1),3))-YEAR(IF(ISNUMBER(Suppliers!F15),Suppliers!F15,DATE(YEAR(TODAY()),MONTH(TODAY()),1))))*12+MONTH(EDATE(DATE(YEAR(TODAY()),MONTH(TODAY()),1),3))-MONTH(IF(ISNUMBER(Suppliers!F15),Suppliers!F15,DATE(YEAR(TODAY()),MONTH(TODAY()),1))),3)=0,1,0),IF(Suppliers!E15="Semi-annual",IF(MOD((YEAR(EDATE(DATE(YEAR(TODAY()),MONTH(TODAY()),1),3))-YEAR(IF(ISNUMBER(Suppliers!F15),Suppliers!F15,DATE(YEAR(TODAY()),MONTH(TODAY()),1))))*12+MONTH(EDATE(DATE(YEAR(TODAY()),MONTH(TODAY()),1),3))-MONTH(IF(ISNUMBER(Suppliers!F15),Suppliers!F15,DATE(YEAR(TODAY()),MONTH(TODAY()),1))),6)=0,1,0),IF(Suppliers!E15="Annual",IF(MOD((YEAR(EDATE(DATE(YEAR(TODAY()),MONTH(TODAY()),1),3))-YEAR(IF(ISNUMBER(Suppliers!F15),Suppliers!F15,DATE(YEAR(TODAY()),MONTH(TODAY()),1))))*12+MONTH(EDATE(DATE(YEAR(TODAY()),MONTH(TODAY()),1),3))-MONTH(IF(ISNUMBER(Suppliers!F15),Suppliers!F15,DATE(YEAR(TODAY()),MONTH(TODAY()),1))),12)=0,1,0),IF(Suppliers!E15="One-time",IF(3=0,1,0),1)))))),"")</f>
        <v/>
      </c>
      <c r="J17" s="10" t="str">
        <f ca="1">IFERROR(IF(OR(4&gt;=$B$1,Suppliers!A15="",NOT(ISNUMBER(Suppliers!D15)),Suppliers!L15="Expired",Suppliers!L15="Terminate"),"",Suppliers!D15*-1*IF(Suppliers!E15="Monthly",IF(AND(ISNUMBER(Suppliers!G15),(YEAR(EDATE(DATE(YEAR(TODAY()),MONTH(TODAY()),1),4))*12+MONTH(EDATE(DATE(YEAR(TODAY()),MONTH(TODAY()),1),4)))&gt;(YEAR(Suppliers!G15)*12+MONTH(Suppliers!G15))),"",1),IF(Suppliers!E15="Quarterly",IF(MOD((YEAR(EDATE(DATE(YEAR(TODAY()),MONTH(TODAY()),1),4))-YEAR(IF(ISNUMBER(Suppliers!F15),Suppliers!F15,DATE(YEAR(TODAY()),MONTH(TODAY()),1))))*12+MONTH(EDATE(DATE(YEAR(TODAY()),MONTH(TODAY()),1),4))-MONTH(IF(ISNUMBER(Suppliers!F15),Suppliers!F15,DATE(YEAR(TODAY()),MONTH(TODAY()),1))),3)=0,1,0),IF(Suppliers!E15="Semi-annual",IF(MOD((YEAR(EDATE(DATE(YEAR(TODAY()),MONTH(TODAY()),1),4))-YEAR(IF(ISNUMBER(Suppliers!F15),Suppliers!F15,DATE(YEAR(TODAY()),MONTH(TODAY()),1))))*12+MONTH(EDATE(DATE(YEAR(TODAY()),MONTH(TODAY()),1),4))-MONTH(IF(ISNUMBER(Suppliers!F15),Suppliers!F15,DATE(YEAR(TODAY()),MONTH(TODAY()),1))),6)=0,1,0),IF(Suppliers!E15="Annual",IF(MOD((YEAR(EDATE(DATE(YEAR(TODAY()),MONTH(TODAY()),1),4))-YEAR(IF(ISNUMBER(Suppliers!F15),Suppliers!F15,DATE(YEAR(TODAY()),MONTH(TODAY()),1))))*12+MONTH(EDATE(DATE(YEAR(TODAY()),MONTH(TODAY()),1),4))-MONTH(IF(ISNUMBER(Suppliers!F15),Suppliers!F15,DATE(YEAR(TODAY()),MONTH(TODAY()),1))),12)=0,1,0),IF(Suppliers!E15="One-time",IF(4=0,1,0),1)))))),"")</f>
        <v/>
      </c>
      <c r="K17" s="10" t="str">
        <f ca="1">IFERROR(IF(OR(5&gt;=$B$1,Suppliers!A15="",NOT(ISNUMBER(Suppliers!D15)),Suppliers!L15="Expired",Suppliers!L15="Terminate"),"",Suppliers!D15*-1*IF(Suppliers!E15="Monthly",IF(AND(ISNUMBER(Suppliers!G15),(YEAR(EDATE(DATE(YEAR(TODAY()),MONTH(TODAY()),1),5))*12+MONTH(EDATE(DATE(YEAR(TODAY()),MONTH(TODAY()),1),5)))&gt;(YEAR(Suppliers!G15)*12+MONTH(Suppliers!G15))),"",1),IF(Suppliers!E15="Quarterly",IF(MOD((YEAR(EDATE(DATE(YEAR(TODAY()),MONTH(TODAY()),1),5))-YEAR(IF(ISNUMBER(Suppliers!F15),Suppliers!F15,DATE(YEAR(TODAY()),MONTH(TODAY()),1))))*12+MONTH(EDATE(DATE(YEAR(TODAY()),MONTH(TODAY()),1),5))-MONTH(IF(ISNUMBER(Suppliers!F15),Suppliers!F15,DATE(YEAR(TODAY()),MONTH(TODAY()),1))),3)=0,1,0),IF(Suppliers!E15="Semi-annual",IF(MOD((YEAR(EDATE(DATE(YEAR(TODAY()),MONTH(TODAY()),1),5))-YEAR(IF(ISNUMBER(Suppliers!F15),Suppliers!F15,DATE(YEAR(TODAY()),MONTH(TODAY()),1))))*12+MONTH(EDATE(DATE(YEAR(TODAY()),MONTH(TODAY()),1),5))-MONTH(IF(ISNUMBER(Suppliers!F15),Suppliers!F15,DATE(YEAR(TODAY()),MONTH(TODAY()),1))),6)=0,1,0),IF(Suppliers!E15="Annual",IF(MOD((YEAR(EDATE(DATE(YEAR(TODAY()),MONTH(TODAY()),1),5))-YEAR(IF(ISNUMBER(Suppliers!F15),Suppliers!F15,DATE(YEAR(TODAY()),MONTH(TODAY()),1))))*12+MONTH(EDATE(DATE(YEAR(TODAY()),MONTH(TODAY()),1),5))-MONTH(IF(ISNUMBER(Suppliers!F15),Suppliers!F15,DATE(YEAR(TODAY()),MONTH(TODAY()),1))),12)=0,1,0),IF(Suppliers!E15="One-time",IF(5=0,1,0),1)))))),"")</f>
        <v/>
      </c>
      <c r="L17" s="10" t="str">
        <f ca="1">IFERROR(IF(OR(6&gt;=$B$1,Suppliers!A15="",NOT(ISNUMBER(Suppliers!D15)),Suppliers!L15="Expired",Suppliers!L15="Terminate"),"",Suppliers!D15*-1*IF(Suppliers!E15="Monthly",IF(AND(ISNUMBER(Suppliers!G15),(YEAR(EDATE(DATE(YEAR(TODAY()),MONTH(TODAY()),1),6))*12+MONTH(EDATE(DATE(YEAR(TODAY()),MONTH(TODAY()),1),6)))&gt;(YEAR(Suppliers!G15)*12+MONTH(Suppliers!G15))),"",1),IF(Suppliers!E15="Quarterly",IF(MOD((YEAR(EDATE(DATE(YEAR(TODAY()),MONTH(TODAY()),1),6))-YEAR(IF(ISNUMBER(Suppliers!F15),Suppliers!F15,DATE(YEAR(TODAY()),MONTH(TODAY()),1))))*12+MONTH(EDATE(DATE(YEAR(TODAY()),MONTH(TODAY()),1),6))-MONTH(IF(ISNUMBER(Suppliers!F15),Suppliers!F15,DATE(YEAR(TODAY()),MONTH(TODAY()),1))),3)=0,1,0),IF(Suppliers!E15="Semi-annual",IF(MOD((YEAR(EDATE(DATE(YEAR(TODAY()),MONTH(TODAY()),1),6))-YEAR(IF(ISNUMBER(Suppliers!F15),Suppliers!F15,DATE(YEAR(TODAY()),MONTH(TODAY()),1))))*12+MONTH(EDATE(DATE(YEAR(TODAY()),MONTH(TODAY()),1),6))-MONTH(IF(ISNUMBER(Suppliers!F15),Suppliers!F15,DATE(YEAR(TODAY()),MONTH(TODAY()),1))),6)=0,1,0),IF(Suppliers!E15="Annual",IF(MOD((YEAR(EDATE(DATE(YEAR(TODAY()),MONTH(TODAY()),1),6))-YEAR(IF(ISNUMBER(Suppliers!F15),Suppliers!F15,DATE(YEAR(TODAY()),MONTH(TODAY()),1))))*12+MONTH(EDATE(DATE(YEAR(TODAY()),MONTH(TODAY()),1),6))-MONTH(IF(ISNUMBER(Suppliers!F15),Suppliers!F15,DATE(YEAR(TODAY()),MONTH(TODAY()),1))),12)=0,1,0),IF(Suppliers!E15="One-time",IF(6=0,1,0),1)))))),"")</f>
        <v/>
      </c>
      <c r="M17" s="10" t="str">
        <f ca="1">IFERROR(IF(OR(7&gt;=$B$1,Suppliers!A15="",NOT(ISNUMBER(Suppliers!D15)),Suppliers!L15="Expired",Suppliers!L15="Terminate"),"",Suppliers!D15*-1*IF(Suppliers!E15="Monthly",IF(AND(ISNUMBER(Suppliers!G15),(YEAR(EDATE(DATE(YEAR(TODAY()),MONTH(TODAY()),1),7))*12+MONTH(EDATE(DATE(YEAR(TODAY()),MONTH(TODAY()),1),7)))&gt;(YEAR(Suppliers!G15)*12+MONTH(Suppliers!G15))),"",1),IF(Suppliers!E15="Quarterly",IF(MOD((YEAR(EDATE(DATE(YEAR(TODAY()),MONTH(TODAY()),1),7))-YEAR(IF(ISNUMBER(Suppliers!F15),Suppliers!F15,DATE(YEAR(TODAY()),MONTH(TODAY()),1))))*12+MONTH(EDATE(DATE(YEAR(TODAY()),MONTH(TODAY()),1),7))-MONTH(IF(ISNUMBER(Suppliers!F15),Suppliers!F15,DATE(YEAR(TODAY()),MONTH(TODAY()),1))),3)=0,1,0),IF(Suppliers!E15="Semi-annual",IF(MOD((YEAR(EDATE(DATE(YEAR(TODAY()),MONTH(TODAY()),1),7))-YEAR(IF(ISNUMBER(Suppliers!F15),Suppliers!F15,DATE(YEAR(TODAY()),MONTH(TODAY()),1))))*12+MONTH(EDATE(DATE(YEAR(TODAY()),MONTH(TODAY()),1),7))-MONTH(IF(ISNUMBER(Suppliers!F15),Suppliers!F15,DATE(YEAR(TODAY()),MONTH(TODAY()),1))),6)=0,1,0),IF(Suppliers!E15="Annual",IF(MOD((YEAR(EDATE(DATE(YEAR(TODAY()),MONTH(TODAY()),1),7))-YEAR(IF(ISNUMBER(Suppliers!F15),Suppliers!F15,DATE(YEAR(TODAY()),MONTH(TODAY()),1))))*12+MONTH(EDATE(DATE(YEAR(TODAY()),MONTH(TODAY()),1),7))-MONTH(IF(ISNUMBER(Suppliers!F15),Suppliers!F15,DATE(YEAR(TODAY()),MONTH(TODAY()),1))),12)=0,1,0),IF(Suppliers!E15="One-time",IF(7=0,1,0),1)))))),"")</f>
        <v/>
      </c>
      <c r="N17" s="10" t="str">
        <f ca="1">IFERROR(IF(OR(8&gt;=$B$1,Suppliers!A15="",NOT(ISNUMBER(Suppliers!D15)),Suppliers!L15="Expired",Suppliers!L15="Terminate"),"",Suppliers!D15*-1*IF(Suppliers!E15="Monthly",IF(AND(ISNUMBER(Suppliers!G15),(YEAR(EDATE(DATE(YEAR(TODAY()),MONTH(TODAY()),1),8))*12+MONTH(EDATE(DATE(YEAR(TODAY()),MONTH(TODAY()),1),8)))&gt;(YEAR(Suppliers!G15)*12+MONTH(Suppliers!G15))),"",1),IF(Suppliers!E15="Quarterly",IF(MOD((YEAR(EDATE(DATE(YEAR(TODAY()),MONTH(TODAY()),1),8))-YEAR(IF(ISNUMBER(Suppliers!F15),Suppliers!F15,DATE(YEAR(TODAY()),MONTH(TODAY()),1))))*12+MONTH(EDATE(DATE(YEAR(TODAY()),MONTH(TODAY()),1),8))-MONTH(IF(ISNUMBER(Suppliers!F15),Suppliers!F15,DATE(YEAR(TODAY()),MONTH(TODAY()),1))),3)=0,1,0),IF(Suppliers!E15="Semi-annual",IF(MOD((YEAR(EDATE(DATE(YEAR(TODAY()),MONTH(TODAY()),1),8))-YEAR(IF(ISNUMBER(Suppliers!F15),Suppliers!F15,DATE(YEAR(TODAY()),MONTH(TODAY()),1))))*12+MONTH(EDATE(DATE(YEAR(TODAY()),MONTH(TODAY()),1),8))-MONTH(IF(ISNUMBER(Suppliers!F15),Suppliers!F15,DATE(YEAR(TODAY()),MONTH(TODAY()),1))),6)=0,1,0),IF(Suppliers!E15="Annual",IF(MOD((YEAR(EDATE(DATE(YEAR(TODAY()),MONTH(TODAY()),1),8))-YEAR(IF(ISNUMBER(Suppliers!F15),Suppliers!F15,DATE(YEAR(TODAY()),MONTH(TODAY()),1))))*12+MONTH(EDATE(DATE(YEAR(TODAY()),MONTH(TODAY()),1),8))-MONTH(IF(ISNUMBER(Suppliers!F15),Suppliers!F15,DATE(YEAR(TODAY()),MONTH(TODAY()),1))),12)=0,1,0),IF(Suppliers!E15="One-time",IF(8=0,1,0),1)))))),"")</f>
        <v/>
      </c>
      <c r="O17" s="10" t="str">
        <f ca="1">IFERROR(IF(OR(9&gt;=$B$1,Suppliers!A15="",NOT(ISNUMBER(Suppliers!D15)),Suppliers!L15="Expired",Suppliers!L15="Terminate"),"",Suppliers!D15*-1*IF(Suppliers!E15="Monthly",IF(AND(ISNUMBER(Suppliers!G15),(YEAR(EDATE(DATE(YEAR(TODAY()),MONTH(TODAY()),1),9))*12+MONTH(EDATE(DATE(YEAR(TODAY()),MONTH(TODAY()),1),9)))&gt;(YEAR(Suppliers!G15)*12+MONTH(Suppliers!G15))),"",1),IF(Suppliers!E15="Quarterly",IF(MOD((YEAR(EDATE(DATE(YEAR(TODAY()),MONTH(TODAY()),1),9))-YEAR(IF(ISNUMBER(Suppliers!F15),Suppliers!F15,DATE(YEAR(TODAY()),MONTH(TODAY()),1))))*12+MONTH(EDATE(DATE(YEAR(TODAY()),MONTH(TODAY()),1),9))-MONTH(IF(ISNUMBER(Suppliers!F15),Suppliers!F15,DATE(YEAR(TODAY()),MONTH(TODAY()),1))),3)=0,1,0),IF(Suppliers!E15="Semi-annual",IF(MOD((YEAR(EDATE(DATE(YEAR(TODAY()),MONTH(TODAY()),1),9))-YEAR(IF(ISNUMBER(Suppliers!F15),Suppliers!F15,DATE(YEAR(TODAY()),MONTH(TODAY()),1))))*12+MONTH(EDATE(DATE(YEAR(TODAY()),MONTH(TODAY()),1),9))-MONTH(IF(ISNUMBER(Suppliers!F15),Suppliers!F15,DATE(YEAR(TODAY()),MONTH(TODAY()),1))),6)=0,1,0),IF(Suppliers!E15="Annual",IF(MOD((YEAR(EDATE(DATE(YEAR(TODAY()),MONTH(TODAY()),1),9))-YEAR(IF(ISNUMBER(Suppliers!F15),Suppliers!F15,DATE(YEAR(TODAY()),MONTH(TODAY()),1))))*12+MONTH(EDATE(DATE(YEAR(TODAY()),MONTH(TODAY()),1),9))-MONTH(IF(ISNUMBER(Suppliers!F15),Suppliers!F15,DATE(YEAR(TODAY()),MONTH(TODAY()),1))),12)=0,1,0),IF(Suppliers!E15="One-time",IF(9=0,1,0),1)))))),"")</f>
        <v/>
      </c>
      <c r="P17" s="10" t="str">
        <f ca="1">IFERROR(IF(OR(10&gt;=$B$1,Suppliers!A15="",NOT(ISNUMBER(Suppliers!D15)),Suppliers!L15="Expired",Suppliers!L15="Terminate"),"",Suppliers!D15*-1*IF(Suppliers!E15="Monthly",IF(AND(ISNUMBER(Suppliers!G15),(YEAR(EDATE(DATE(YEAR(TODAY()),MONTH(TODAY()),1),10))*12+MONTH(EDATE(DATE(YEAR(TODAY()),MONTH(TODAY()),1),10)))&gt;(YEAR(Suppliers!G15)*12+MONTH(Suppliers!G15))),"",1),IF(Suppliers!E15="Quarterly",IF(MOD((YEAR(EDATE(DATE(YEAR(TODAY()),MONTH(TODAY()),1),10))-YEAR(IF(ISNUMBER(Suppliers!F15),Suppliers!F15,DATE(YEAR(TODAY()),MONTH(TODAY()),1))))*12+MONTH(EDATE(DATE(YEAR(TODAY()),MONTH(TODAY()),1),10))-MONTH(IF(ISNUMBER(Suppliers!F15),Suppliers!F15,DATE(YEAR(TODAY()),MONTH(TODAY()),1))),3)=0,1,0),IF(Suppliers!E15="Semi-annual",IF(MOD((YEAR(EDATE(DATE(YEAR(TODAY()),MONTH(TODAY()),1),10))-YEAR(IF(ISNUMBER(Suppliers!F15),Suppliers!F15,DATE(YEAR(TODAY()),MONTH(TODAY()),1))))*12+MONTH(EDATE(DATE(YEAR(TODAY()),MONTH(TODAY()),1),10))-MONTH(IF(ISNUMBER(Suppliers!F15),Suppliers!F15,DATE(YEAR(TODAY()),MONTH(TODAY()),1))),6)=0,1,0),IF(Suppliers!E15="Annual",IF(MOD((YEAR(EDATE(DATE(YEAR(TODAY()),MONTH(TODAY()),1),10))-YEAR(IF(ISNUMBER(Suppliers!F15),Suppliers!F15,DATE(YEAR(TODAY()),MONTH(TODAY()),1))))*12+MONTH(EDATE(DATE(YEAR(TODAY()),MONTH(TODAY()),1),10))-MONTH(IF(ISNUMBER(Suppliers!F15),Suppliers!F15,DATE(YEAR(TODAY()),MONTH(TODAY()),1))),12)=0,1,0),IF(Suppliers!E15="One-time",IF(10=0,1,0),1)))))),"")</f>
        <v/>
      </c>
      <c r="Q17" s="10" t="str">
        <f ca="1">IFERROR(IF(OR(11&gt;=$B$1,Suppliers!A15="",NOT(ISNUMBER(Suppliers!D15)),Suppliers!L15="Expired",Suppliers!L15="Terminate"),"",Suppliers!D15*-1*IF(Suppliers!E15="Monthly",IF(AND(ISNUMBER(Suppliers!G15),(YEAR(EDATE(DATE(YEAR(TODAY()),MONTH(TODAY()),1),11))*12+MONTH(EDATE(DATE(YEAR(TODAY()),MONTH(TODAY()),1),11)))&gt;(YEAR(Suppliers!G15)*12+MONTH(Suppliers!G15))),"",1),IF(Suppliers!E15="Quarterly",IF(MOD((YEAR(EDATE(DATE(YEAR(TODAY()),MONTH(TODAY()),1),11))-YEAR(IF(ISNUMBER(Suppliers!F15),Suppliers!F15,DATE(YEAR(TODAY()),MONTH(TODAY()),1))))*12+MONTH(EDATE(DATE(YEAR(TODAY()),MONTH(TODAY()),1),11))-MONTH(IF(ISNUMBER(Suppliers!F15),Suppliers!F15,DATE(YEAR(TODAY()),MONTH(TODAY()),1))),3)=0,1,0),IF(Suppliers!E15="Semi-annual",IF(MOD((YEAR(EDATE(DATE(YEAR(TODAY()),MONTH(TODAY()),1),11))-YEAR(IF(ISNUMBER(Suppliers!F15),Suppliers!F15,DATE(YEAR(TODAY()),MONTH(TODAY()),1))))*12+MONTH(EDATE(DATE(YEAR(TODAY()),MONTH(TODAY()),1),11))-MONTH(IF(ISNUMBER(Suppliers!F15),Suppliers!F15,DATE(YEAR(TODAY()),MONTH(TODAY()),1))),6)=0,1,0),IF(Suppliers!E15="Annual",IF(MOD((YEAR(EDATE(DATE(YEAR(TODAY()),MONTH(TODAY()),1),11))-YEAR(IF(ISNUMBER(Suppliers!F15),Suppliers!F15,DATE(YEAR(TODAY()),MONTH(TODAY()),1))))*12+MONTH(EDATE(DATE(YEAR(TODAY()),MONTH(TODAY()),1),11))-MONTH(IF(ISNUMBER(Suppliers!F15),Suppliers!F15,DATE(YEAR(TODAY()),MONTH(TODAY()),1))),12)=0,1,0),IF(Suppliers!E15="One-time",IF(11=0,1,0),1)))))),"")</f>
        <v/>
      </c>
      <c r="R17" s="10" t="str">
        <f ca="1">IFERROR(IF(OR(12&gt;=$B$1,Suppliers!A15="",NOT(ISNUMBER(Suppliers!D15)),Suppliers!L15="Expired",Suppliers!L15="Terminate"),"",Suppliers!D15*-1*IF(Suppliers!E15="Monthly",IF(AND(ISNUMBER(Suppliers!G15),(YEAR(EDATE(DATE(YEAR(TODAY()),MONTH(TODAY()),1),12))*12+MONTH(EDATE(DATE(YEAR(TODAY()),MONTH(TODAY()),1),12)))&gt;(YEAR(Suppliers!G15)*12+MONTH(Suppliers!G15))),"",1),IF(Suppliers!E15="Quarterly",IF(MOD((YEAR(EDATE(DATE(YEAR(TODAY()),MONTH(TODAY()),1),12))-YEAR(IF(ISNUMBER(Suppliers!F15),Suppliers!F15,DATE(YEAR(TODAY()),MONTH(TODAY()),1))))*12+MONTH(EDATE(DATE(YEAR(TODAY()),MONTH(TODAY()),1),12))-MONTH(IF(ISNUMBER(Suppliers!F15),Suppliers!F15,DATE(YEAR(TODAY()),MONTH(TODAY()),1))),3)=0,1,0),IF(Suppliers!E15="Semi-annual",IF(MOD((YEAR(EDATE(DATE(YEAR(TODAY()),MONTH(TODAY()),1),12))-YEAR(IF(ISNUMBER(Suppliers!F15),Suppliers!F15,DATE(YEAR(TODAY()),MONTH(TODAY()),1))))*12+MONTH(EDATE(DATE(YEAR(TODAY()),MONTH(TODAY()),1),12))-MONTH(IF(ISNUMBER(Suppliers!F15),Suppliers!F15,DATE(YEAR(TODAY()),MONTH(TODAY()),1))),6)=0,1,0),IF(Suppliers!E15="Annual",IF(MOD((YEAR(EDATE(DATE(YEAR(TODAY()),MONTH(TODAY()),1),12))-YEAR(IF(ISNUMBER(Suppliers!F15),Suppliers!F15,DATE(YEAR(TODAY()),MONTH(TODAY()),1))))*12+MONTH(EDATE(DATE(YEAR(TODAY()),MONTH(TODAY()),1),12))-MONTH(IF(ISNUMBER(Suppliers!F15),Suppliers!F15,DATE(YEAR(TODAY()),MONTH(TODAY()),1))),12)=0,1,0),IF(Suppliers!E15="One-time",IF(12=0,1,0),1)))))),"")</f>
        <v/>
      </c>
      <c r="S17" s="10" t="str">
        <f ca="1">IFERROR(IF(OR(13&gt;=$B$1,Suppliers!A15="",NOT(ISNUMBER(Suppliers!D15)),Suppliers!L15="Expired",Suppliers!L15="Terminate"),"",Suppliers!D15*-1*IF(Suppliers!E15="Monthly",IF(AND(ISNUMBER(Suppliers!G15),(YEAR(EDATE(DATE(YEAR(TODAY()),MONTH(TODAY()),1),13))*12+MONTH(EDATE(DATE(YEAR(TODAY()),MONTH(TODAY()),1),13)))&gt;(YEAR(Suppliers!G15)*12+MONTH(Suppliers!G15))),"",1),IF(Suppliers!E15="Quarterly",IF(MOD((YEAR(EDATE(DATE(YEAR(TODAY()),MONTH(TODAY()),1),13))-YEAR(IF(ISNUMBER(Suppliers!F15),Suppliers!F15,DATE(YEAR(TODAY()),MONTH(TODAY()),1))))*12+MONTH(EDATE(DATE(YEAR(TODAY()),MONTH(TODAY()),1),13))-MONTH(IF(ISNUMBER(Suppliers!F15),Suppliers!F15,DATE(YEAR(TODAY()),MONTH(TODAY()),1))),3)=0,1,0),IF(Suppliers!E15="Semi-annual",IF(MOD((YEAR(EDATE(DATE(YEAR(TODAY()),MONTH(TODAY()),1),13))-YEAR(IF(ISNUMBER(Suppliers!F15),Suppliers!F15,DATE(YEAR(TODAY()),MONTH(TODAY()),1))))*12+MONTH(EDATE(DATE(YEAR(TODAY()),MONTH(TODAY()),1),13))-MONTH(IF(ISNUMBER(Suppliers!F15),Suppliers!F15,DATE(YEAR(TODAY()),MONTH(TODAY()),1))),6)=0,1,0),IF(Suppliers!E15="Annual",IF(MOD((YEAR(EDATE(DATE(YEAR(TODAY()),MONTH(TODAY()),1),13))-YEAR(IF(ISNUMBER(Suppliers!F15),Suppliers!F15,DATE(YEAR(TODAY()),MONTH(TODAY()),1))))*12+MONTH(EDATE(DATE(YEAR(TODAY()),MONTH(TODAY()),1),13))-MONTH(IF(ISNUMBER(Suppliers!F15),Suppliers!F15,DATE(YEAR(TODAY()),MONTH(TODAY()),1))),12)=0,1,0),IF(Suppliers!E15="One-time",IF(13=0,1,0),1)))))),"")</f>
        <v/>
      </c>
      <c r="T17" s="10" t="str">
        <f ca="1">IFERROR(IF(OR(14&gt;=$B$1,Suppliers!A15="",NOT(ISNUMBER(Suppliers!D15)),Suppliers!L15="Expired",Suppliers!L15="Terminate"),"",Suppliers!D15*-1*IF(Suppliers!E15="Monthly",IF(AND(ISNUMBER(Suppliers!G15),(YEAR(EDATE(DATE(YEAR(TODAY()),MONTH(TODAY()),1),14))*12+MONTH(EDATE(DATE(YEAR(TODAY()),MONTH(TODAY()),1),14)))&gt;(YEAR(Suppliers!G15)*12+MONTH(Suppliers!G15))),"",1),IF(Suppliers!E15="Quarterly",IF(MOD((YEAR(EDATE(DATE(YEAR(TODAY()),MONTH(TODAY()),1),14))-YEAR(IF(ISNUMBER(Suppliers!F15),Suppliers!F15,DATE(YEAR(TODAY()),MONTH(TODAY()),1))))*12+MONTH(EDATE(DATE(YEAR(TODAY()),MONTH(TODAY()),1),14))-MONTH(IF(ISNUMBER(Suppliers!F15),Suppliers!F15,DATE(YEAR(TODAY()),MONTH(TODAY()),1))),3)=0,1,0),IF(Suppliers!E15="Semi-annual",IF(MOD((YEAR(EDATE(DATE(YEAR(TODAY()),MONTH(TODAY()),1),14))-YEAR(IF(ISNUMBER(Suppliers!F15),Suppliers!F15,DATE(YEAR(TODAY()),MONTH(TODAY()),1))))*12+MONTH(EDATE(DATE(YEAR(TODAY()),MONTH(TODAY()),1),14))-MONTH(IF(ISNUMBER(Suppliers!F15),Suppliers!F15,DATE(YEAR(TODAY()),MONTH(TODAY()),1))),6)=0,1,0),IF(Suppliers!E15="Annual",IF(MOD((YEAR(EDATE(DATE(YEAR(TODAY()),MONTH(TODAY()),1),14))-YEAR(IF(ISNUMBER(Suppliers!F15),Suppliers!F15,DATE(YEAR(TODAY()),MONTH(TODAY()),1))))*12+MONTH(EDATE(DATE(YEAR(TODAY()),MONTH(TODAY()),1),14))-MONTH(IF(ISNUMBER(Suppliers!F15),Suppliers!F15,DATE(YEAR(TODAY()),MONTH(TODAY()),1))),12)=0,1,0),IF(Suppliers!E15="One-time",IF(14=0,1,0),1)))))),"")</f>
        <v/>
      </c>
      <c r="U17" s="10" t="str">
        <f ca="1">IFERROR(IF(OR(15&gt;=$B$1,Suppliers!A15="",NOT(ISNUMBER(Suppliers!D15)),Suppliers!L15="Expired",Suppliers!L15="Terminate"),"",Suppliers!D15*-1*IF(Suppliers!E15="Monthly",IF(AND(ISNUMBER(Suppliers!G15),(YEAR(EDATE(DATE(YEAR(TODAY()),MONTH(TODAY()),1),15))*12+MONTH(EDATE(DATE(YEAR(TODAY()),MONTH(TODAY()),1),15)))&gt;(YEAR(Suppliers!G15)*12+MONTH(Suppliers!G15))),"",1),IF(Suppliers!E15="Quarterly",IF(MOD((YEAR(EDATE(DATE(YEAR(TODAY()),MONTH(TODAY()),1),15))-YEAR(IF(ISNUMBER(Suppliers!F15),Suppliers!F15,DATE(YEAR(TODAY()),MONTH(TODAY()),1))))*12+MONTH(EDATE(DATE(YEAR(TODAY()),MONTH(TODAY()),1),15))-MONTH(IF(ISNUMBER(Suppliers!F15),Suppliers!F15,DATE(YEAR(TODAY()),MONTH(TODAY()),1))),3)=0,1,0),IF(Suppliers!E15="Semi-annual",IF(MOD((YEAR(EDATE(DATE(YEAR(TODAY()),MONTH(TODAY()),1),15))-YEAR(IF(ISNUMBER(Suppliers!F15),Suppliers!F15,DATE(YEAR(TODAY()),MONTH(TODAY()),1))))*12+MONTH(EDATE(DATE(YEAR(TODAY()),MONTH(TODAY()),1),15))-MONTH(IF(ISNUMBER(Suppliers!F15),Suppliers!F15,DATE(YEAR(TODAY()),MONTH(TODAY()),1))),6)=0,1,0),IF(Suppliers!E15="Annual",IF(MOD((YEAR(EDATE(DATE(YEAR(TODAY()),MONTH(TODAY()),1),15))-YEAR(IF(ISNUMBER(Suppliers!F15),Suppliers!F15,DATE(YEAR(TODAY()),MONTH(TODAY()),1))))*12+MONTH(EDATE(DATE(YEAR(TODAY()),MONTH(TODAY()),1),15))-MONTH(IF(ISNUMBER(Suppliers!F15),Suppliers!F15,DATE(YEAR(TODAY()),MONTH(TODAY()),1))),12)=0,1,0),IF(Suppliers!E15="One-time",IF(15=0,1,0),1)))))),"")</f>
        <v/>
      </c>
      <c r="V17" s="10" t="str">
        <f ca="1">IFERROR(IF(OR(16&gt;=$B$1,Suppliers!A15="",NOT(ISNUMBER(Suppliers!D15)),Suppliers!L15="Expired",Suppliers!L15="Terminate"),"",Suppliers!D15*-1*IF(Suppliers!E15="Monthly",IF(AND(ISNUMBER(Suppliers!G15),(YEAR(EDATE(DATE(YEAR(TODAY()),MONTH(TODAY()),1),16))*12+MONTH(EDATE(DATE(YEAR(TODAY()),MONTH(TODAY()),1),16)))&gt;(YEAR(Suppliers!G15)*12+MONTH(Suppliers!G15))),"",1),IF(Suppliers!E15="Quarterly",IF(MOD((YEAR(EDATE(DATE(YEAR(TODAY()),MONTH(TODAY()),1),16))-YEAR(IF(ISNUMBER(Suppliers!F15),Suppliers!F15,DATE(YEAR(TODAY()),MONTH(TODAY()),1))))*12+MONTH(EDATE(DATE(YEAR(TODAY()),MONTH(TODAY()),1),16))-MONTH(IF(ISNUMBER(Suppliers!F15),Suppliers!F15,DATE(YEAR(TODAY()),MONTH(TODAY()),1))),3)=0,1,0),IF(Suppliers!E15="Semi-annual",IF(MOD((YEAR(EDATE(DATE(YEAR(TODAY()),MONTH(TODAY()),1),16))-YEAR(IF(ISNUMBER(Suppliers!F15),Suppliers!F15,DATE(YEAR(TODAY()),MONTH(TODAY()),1))))*12+MONTH(EDATE(DATE(YEAR(TODAY()),MONTH(TODAY()),1),16))-MONTH(IF(ISNUMBER(Suppliers!F15),Suppliers!F15,DATE(YEAR(TODAY()),MONTH(TODAY()),1))),6)=0,1,0),IF(Suppliers!E15="Annual",IF(MOD((YEAR(EDATE(DATE(YEAR(TODAY()),MONTH(TODAY()),1),16))-YEAR(IF(ISNUMBER(Suppliers!F15),Suppliers!F15,DATE(YEAR(TODAY()),MONTH(TODAY()),1))))*12+MONTH(EDATE(DATE(YEAR(TODAY()),MONTH(TODAY()),1),16))-MONTH(IF(ISNUMBER(Suppliers!F15),Suppliers!F15,DATE(YEAR(TODAY()),MONTH(TODAY()),1))),12)=0,1,0),IF(Suppliers!E15="One-time",IF(16=0,1,0),1)))))),"")</f>
        <v/>
      </c>
      <c r="W17" s="10" t="str">
        <f ca="1">IFERROR(IF(OR(17&gt;=$B$1,Suppliers!A15="",NOT(ISNUMBER(Suppliers!D15)),Suppliers!L15="Expired",Suppliers!L15="Terminate"),"",Suppliers!D15*-1*IF(Suppliers!E15="Monthly",IF(AND(ISNUMBER(Suppliers!G15),(YEAR(EDATE(DATE(YEAR(TODAY()),MONTH(TODAY()),1),17))*12+MONTH(EDATE(DATE(YEAR(TODAY()),MONTH(TODAY()),1),17)))&gt;(YEAR(Suppliers!G15)*12+MONTH(Suppliers!G15))),"",1),IF(Suppliers!E15="Quarterly",IF(MOD((YEAR(EDATE(DATE(YEAR(TODAY()),MONTH(TODAY()),1),17))-YEAR(IF(ISNUMBER(Suppliers!F15),Suppliers!F15,DATE(YEAR(TODAY()),MONTH(TODAY()),1))))*12+MONTH(EDATE(DATE(YEAR(TODAY()),MONTH(TODAY()),1),17))-MONTH(IF(ISNUMBER(Suppliers!F15),Suppliers!F15,DATE(YEAR(TODAY()),MONTH(TODAY()),1))),3)=0,1,0),IF(Suppliers!E15="Semi-annual",IF(MOD((YEAR(EDATE(DATE(YEAR(TODAY()),MONTH(TODAY()),1),17))-YEAR(IF(ISNUMBER(Suppliers!F15),Suppliers!F15,DATE(YEAR(TODAY()),MONTH(TODAY()),1))))*12+MONTH(EDATE(DATE(YEAR(TODAY()),MONTH(TODAY()),1),17))-MONTH(IF(ISNUMBER(Suppliers!F15),Suppliers!F15,DATE(YEAR(TODAY()),MONTH(TODAY()),1))),6)=0,1,0),IF(Suppliers!E15="Annual",IF(MOD((YEAR(EDATE(DATE(YEAR(TODAY()),MONTH(TODAY()),1),17))-YEAR(IF(ISNUMBER(Suppliers!F15),Suppliers!F15,DATE(YEAR(TODAY()),MONTH(TODAY()),1))))*12+MONTH(EDATE(DATE(YEAR(TODAY()),MONTH(TODAY()),1),17))-MONTH(IF(ISNUMBER(Suppliers!F15),Suppliers!F15,DATE(YEAR(TODAY()),MONTH(TODAY()),1))),12)=0,1,0),IF(Suppliers!E15="One-time",IF(17=0,1,0),1)))))),"")</f>
        <v/>
      </c>
      <c r="X17" s="10" t="str">
        <f ca="1">IFERROR(IF(OR(18&gt;=$B$1,Suppliers!A15="",NOT(ISNUMBER(Suppliers!D15)),Suppliers!L15="Expired",Suppliers!L15="Terminate"),"",Suppliers!D15*-1*IF(Suppliers!E15="Monthly",IF(AND(ISNUMBER(Suppliers!G15),(YEAR(EDATE(DATE(YEAR(TODAY()),MONTH(TODAY()),1),18))*12+MONTH(EDATE(DATE(YEAR(TODAY()),MONTH(TODAY()),1),18)))&gt;(YEAR(Suppliers!G15)*12+MONTH(Suppliers!G15))),"",1),IF(Suppliers!E15="Quarterly",IF(MOD((YEAR(EDATE(DATE(YEAR(TODAY()),MONTH(TODAY()),1),18))-YEAR(IF(ISNUMBER(Suppliers!F15),Suppliers!F15,DATE(YEAR(TODAY()),MONTH(TODAY()),1))))*12+MONTH(EDATE(DATE(YEAR(TODAY()),MONTH(TODAY()),1),18))-MONTH(IF(ISNUMBER(Suppliers!F15),Suppliers!F15,DATE(YEAR(TODAY()),MONTH(TODAY()),1))),3)=0,1,0),IF(Suppliers!E15="Semi-annual",IF(MOD((YEAR(EDATE(DATE(YEAR(TODAY()),MONTH(TODAY()),1),18))-YEAR(IF(ISNUMBER(Suppliers!F15),Suppliers!F15,DATE(YEAR(TODAY()),MONTH(TODAY()),1))))*12+MONTH(EDATE(DATE(YEAR(TODAY()),MONTH(TODAY()),1),18))-MONTH(IF(ISNUMBER(Suppliers!F15),Suppliers!F15,DATE(YEAR(TODAY()),MONTH(TODAY()),1))),6)=0,1,0),IF(Suppliers!E15="Annual",IF(MOD((YEAR(EDATE(DATE(YEAR(TODAY()),MONTH(TODAY()),1),18))-YEAR(IF(ISNUMBER(Suppliers!F15),Suppliers!F15,DATE(YEAR(TODAY()),MONTH(TODAY()),1))))*12+MONTH(EDATE(DATE(YEAR(TODAY()),MONTH(TODAY()),1),18))-MONTH(IF(ISNUMBER(Suppliers!F15),Suppliers!F15,DATE(YEAR(TODAY()),MONTH(TODAY()),1))),12)=0,1,0),IF(Suppliers!E15="One-time",IF(18=0,1,0),1)))))),"")</f>
        <v/>
      </c>
      <c r="Y17" s="10" t="str">
        <f ca="1">IFERROR(IF(OR(19&gt;=$B$1,Suppliers!A15="",NOT(ISNUMBER(Suppliers!D15)),Suppliers!L15="Expired",Suppliers!L15="Terminate"),"",Suppliers!D15*-1*IF(Suppliers!E15="Monthly",IF(AND(ISNUMBER(Suppliers!G15),(YEAR(EDATE(DATE(YEAR(TODAY()),MONTH(TODAY()),1),19))*12+MONTH(EDATE(DATE(YEAR(TODAY()),MONTH(TODAY()),1),19)))&gt;(YEAR(Suppliers!G15)*12+MONTH(Suppliers!G15))),"",1),IF(Suppliers!E15="Quarterly",IF(MOD((YEAR(EDATE(DATE(YEAR(TODAY()),MONTH(TODAY()),1),19))-YEAR(IF(ISNUMBER(Suppliers!F15),Suppliers!F15,DATE(YEAR(TODAY()),MONTH(TODAY()),1))))*12+MONTH(EDATE(DATE(YEAR(TODAY()),MONTH(TODAY()),1),19))-MONTH(IF(ISNUMBER(Suppliers!F15),Suppliers!F15,DATE(YEAR(TODAY()),MONTH(TODAY()),1))),3)=0,1,0),IF(Suppliers!E15="Semi-annual",IF(MOD((YEAR(EDATE(DATE(YEAR(TODAY()),MONTH(TODAY()),1),19))-YEAR(IF(ISNUMBER(Suppliers!F15),Suppliers!F15,DATE(YEAR(TODAY()),MONTH(TODAY()),1))))*12+MONTH(EDATE(DATE(YEAR(TODAY()),MONTH(TODAY()),1),19))-MONTH(IF(ISNUMBER(Suppliers!F15),Suppliers!F15,DATE(YEAR(TODAY()),MONTH(TODAY()),1))),6)=0,1,0),IF(Suppliers!E15="Annual",IF(MOD((YEAR(EDATE(DATE(YEAR(TODAY()),MONTH(TODAY()),1),19))-YEAR(IF(ISNUMBER(Suppliers!F15),Suppliers!F15,DATE(YEAR(TODAY()),MONTH(TODAY()),1))))*12+MONTH(EDATE(DATE(YEAR(TODAY()),MONTH(TODAY()),1),19))-MONTH(IF(ISNUMBER(Suppliers!F15),Suppliers!F15,DATE(YEAR(TODAY()),MONTH(TODAY()),1))),12)=0,1,0),IF(Suppliers!E15="One-time",IF(19=0,1,0),1)))))),"")</f>
        <v/>
      </c>
      <c r="Z17" s="10" t="str">
        <f ca="1">IFERROR(IF(OR(20&gt;=$B$1,Suppliers!A15="",NOT(ISNUMBER(Suppliers!D15)),Suppliers!L15="Expired",Suppliers!L15="Terminate"),"",Suppliers!D15*-1*IF(Suppliers!E15="Monthly",IF(AND(ISNUMBER(Suppliers!G15),(YEAR(EDATE(DATE(YEAR(TODAY()),MONTH(TODAY()),1),20))*12+MONTH(EDATE(DATE(YEAR(TODAY()),MONTH(TODAY()),1),20)))&gt;(YEAR(Suppliers!G15)*12+MONTH(Suppliers!G15))),"",1),IF(Suppliers!E15="Quarterly",IF(MOD((YEAR(EDATE(DATE(YEAR(TODAY()),MONTH(TODAY()),1),20))-YEAR(IF(ISNUMBER(Suppliers!F15),Suppliers!F15,DATE(YEAR(TODAY()),MONTH(TODAY()),1))))*12+MONTH(EDATE(DATE(YEAR(TODAY()),MONTH(TODAY()),1),20))-MONTH(IF(ISNUMBER(Suppliers!F15),Suppliers!F15,DATE(YEAR(TODAY()),MONTH(TODAY()),1))),3)=0,1,0),IF(Suppliers!E15="Semi-annual",IF(MOD((YEAR(EDATE(DATE(YEAR(TODAY()),MONTH(TODAY()),1),20))-YEAR(IF(ISNUMBER(Suppliers!F15),Suppliers!F15,DATE(YEAR(TODAY()),MONTH(TODAY()),1))))*12+MONTH(EDATE(DATE(YEAR(TODAY()),MONTH(TODAY()),1),20))-MONTH(IF(ISNUMBER(Suppliers!F15),Suppliers!F15,DATE(YEAR(TODAY()),MONTH(TODAY()),1))),6)=0,1,0),IF(Suppliers!E15="Annual",IF(MOD((YEAR(EDATE(DATE(YEAR(TODAY()),MONTH(TODAY()),1),20))-YEAR(IF(ISNUMBER(Suppliers!F15),Suppliers!F15,DATE(YEAR(TODAY()),MONTH(TODAY()),1))))*12+MONTH(EDATE(DATE(YEAR(TODAY()),MONTH(TODAY()),1),20))-MONTH(IF(ISNUMBER(Suppliers!F15),Suppliers!F15,DATE(YEAR(TODAY()),MONTH(TODAY()),1))),12)=0,1,0),IF(Suppliers!E15="One-time",IF(20=0,1,0),1)))))),"")</f>
        <v/>
      </c>
      <c r="AA17" s="10" t="str">
        <f ca="1">IFERROR(IF(OR(21&gt;=$B$1,Suppliers!A15="",NOT(ISNUMBER(Suppliers!D15)),Suppliers!L15="Expired",Suppliers!L15="Terminate"),"",Suppliers!D15*-1*IF(Suppliers!E15="Monthly",IF(AND(ISNUMBER(Suppliers!G15),(YEAR(EDATE(DATE(YEAR(TODAY()),MONTH(TODAY()),1),21))*12+MONTH(EDATE(DATE(YEAR(TODAY()),MONTH(TODAY()),1),21)))&gt;(YEAR(Suppliers!G15)*12+MONTH(Suppliers!G15))),"",1),IF(Suppliers!E15="Quarterly",IF(MOD((YEAR(EDATE(DATE(YEAR(TODAY()),MONTH(TODAY()),1),21))-YEAR(IF(ISNUMBER(Suppliers!F15),Suppliers!F15,DATE(YEAR(TODAY()),MONTH(TODAY()),1))))*12+MONTH(EDATE(DATE(YEAR(TODAY()),MONTH(TODAY()),1),21))-MONTH(IF(ISNUMBER(Suppliers!F15),Suppliers!F15,DATE(YEAR(TODAY()),MONTH(TODAY()),1))),3)=0,1,0),IF(Suppliers!E15="Semi-annual",IF(MOD((YEAR(EDATE(DATE(YEAR(TODAY()),MONTH(TODAY()),1),21))-YEAR(IF(ISNUMBER(Suppliers!F15),Suppliers!F15,DATE(YEAR(TODAY()),MONTH(TODAY()),1))))*12+MONTH(EDATE(DATE(YEAR(TODAY()),MONTH(TODAY()),1),21))-MONTH(IF(ISNUMBER(Suppliers!F15),Suppliers!F15,DATE(YEAR(TODAY()),MONTH(TODAY()),1))),6)=0,1,0),IF(Suppliers!E15="Annual",IF(MOD((YEAR(EDATE(DATE(YEAR(TODAY()),MONTH(TODAY()),1),21))-YEAR(IF(ISNUMBER(Suppliers!F15),Suppliers!F15,DATE(YEAR(TODAY()),MONTH(TODAY()),1))))*12+MONTH(EDATE(DATE(YEAR(TODAY()),MONTH(TODAY()),1),21))-MONTH(IF(ISNUMBER(Suppliers!F15),Suppliers!F15,DATE(YEAR(TODAY()),MONTH(TODAY()),1))),12)=0,1,0),IF(Suppliers!E15="One-time",IF(21=0,1,0),1)))))),"")</f>
        <v/>
      </c>
      <c r="AB17" s="10" t="str">
        <f ca="1">IFERROR(IF(OR(22&gt;=$B$1,Suppliers!A15="",NOT(ISNUMBER(Suppliers!D15)),Suppliers!L15="Expired",Suppliers!L15="Terminate"),"",Suppliers!D15*-1*IF(Suppliers!E15="Monthly",IF(AND(ISNUMBER(Suppliers!G15),(YEAR(EDATE(DATE(YEAR(TODAY()),MONTH(TODAY()),1),22))*12+MONTH(EDATE(DATE(YEAR(TODAY()),MONTH(TODAY()),1),22)))&gt;(YEAR(Suppliers!G15)*12+MONTH(Suppliers!G15))),"",1),IF(Suppliers!E15="Quarterly",IF(MOD((YEAR(EDATE(DATE(YEAR(TODAY()),MONTH(TODAY()),1),22))-YEAR(IF(ISNUMBER(Suppliers!F15),Suppliers!F15,DATE(YEAR(TODAY()),MONTH(TODAY()),1))))*12+MONTH(EDATE(DATE(YEAR(TODAY()),MONTH(TODAY()),1),22))-MONTH(IF(ISNUMBER(Suppliers!F15),Suppliers!F15,DATE(YEAR(TODAY()),MONTH(TODAY()),1))),3)=0,1,0),IF(Suppliers!E15="Semi-annual",IF(MOD((YEAR(EDATE(DATE(YEAR(TODAY()),MONTH(TODAY()),1),22))-YEAR(IF(ISNUMBER(Suppliers!F15),Suppliers!F15,DATE(YEAR(TODAY()),MONTH(TODAY()),1))))*12+MONTH(EDATE(DATE(YEAR(TODAY()),MONTH(TODAY()),1),22))-MONTH(IF(ISNUMBER(Suppliers!F15),Suppliers!F15,DATE(YEAR(TODAY()),MONTH(TODAY()),1))),6)=0,1,0),IF(Suppliers!E15="Annual",IF(MOD((YEAR(EDATE(DATE(YEAR(TODAY()),MONTH(TODAY()),1),22))-YEAR(IF(ISNUMBER(Suppliers!F15),Suppliers!F15,DATE(YEAR(TODAY()),MONTH(TODAY()),1))))*12+MONTH(EDATE(DATE(YEAR(TODAY()),MONTH(TODAY()),1),22))-MONTH(IF(ISNUMBER(Suppliers!F15),Suppliers!F15,DATE(YEAR(TODAY()),MONTH(TODAY()),1))),12)=0,1,0),IF(Suppliers!E15="One-time",IF(22=0,1,0),1)))))),"")</f>
        <v/>
      </c>
      <c r="AC17" s="10" t="str">
        <f ca="1">IFERROR(IF(OR(23&gt;=$B$1,Suppliers!A15="",NOT(ISNUMBER(Suppliers!D15)),Suppliers!L15="Expired",Suppliers!L15="Terminate"),"",Suppliers!D15*-1*IF(Suppliers!E15="Monthly",IF(AND(ISNUMBER(Suppliers!G15),(YEAR(EDATE(DATE(YEAR(TODAY()),MONTH(TODAY()),1),23))*12+MONTH(EDATE(DATE(YEAR(TODAY()),MONTH(TODAY()),1),23)))&gt;(YEAR(Suppliers!G15)*12+MONTH(Suppliers!G15))),"",1),IF(Suppliers!E15="Quarterly",IF(MOD((YEAR(EDATE(DATE(YEAR(TODAY()),MONTH(TODAY()),1),23))-YEAR(IF(ISNUMBER(Suppliers!F15),Suppliers!F15,DATE(YEAR(TODAY()),MONTH(TODAY()),1))))*12+MONTH(EDATE(DATE(YEAR(TODAY()),MONTH(TODAY()),1),23))-MONTH(IF(ISNUMBER(Suppliers!F15),Suppliers!F15,DATE(YEAR(TODAY()),MONTH(TODAY()),1))),3)=0,1,0),IF(Suppliers!E15="Semi-annual",IF(MOD((YEAR(EDATE(DATE(YEAR(TODAY()),MONTH(TODAY()),1),23))-YEAR(IF(ISNUMBER(Suppliers!F15),Suppliers!F15,DATE(YEAR(TODAY()),MONTH(TODAY()),1))))*12+MONTH(EDATE(DATE(YEAR(TODAY()),MONTH(TODAY()),1),23))-MONTH(IF(ISNUMBER(Suppliers!F15),Suppliers!F15,DATE(YEAR(TODAY()),MONTH(TODAY()),1))),6)=0,1,0),IF(Suppliers!E15="Annual",IF(MOD((YEAR(EDATE(DATE(YEAR(TODAY()),MONTH(TODAY()),1),23))-YEAR(IF(ISNUMBER(Suppliers!F15),Suppliers!F15,DATE(YEAR(TODAY()),MONTH(TODAY()),1))))*12+MONTH(EDATE(DATE(YEAR(TODAY()),MONTH(TODAY()),1),23))-MONTH(IF(ISNUMBER(Suppliers!F15),Suppliers!F15,DATE(YEAR(TODAY()),MONTH(TODAY()),1))),12)=0,1,0),IF(Suppliers!E15="One-time",IF(23=0,1,0),1)))))),"")</f>
        <v/>
      </c>
    </row>
    <row r="18" spans="1:29" ht="15" customHeight="1" x14ac:dyDescent="0.35">
      <c r="A18" s="4" t="s">
        <v>80</v>
      </c>
      <c r="B18" s="4" t="str">
        <f>IF(Suppliers!A16="","",Suppliers!A16)</f>
        <v>Omicron Legal GmbH</v>
      </c>
      <c r="C18" s="10">
        <f>IF(Suppliers!C16="","",Suppliers!C16)</f>
        <v>2268.91</v>
      </c>
      <c r="D18" s="10">
        <f>IF(Suppliers!D16="","",Suppliers!D16)</f>
        <v>2700</v>
      </c>
      <c r="E18" s="4" t="str">
        <f>IF(Suppliers!E16="","",Suppliers!E16)</f>
        <v>Quarterly</v>
      </c>
      <c r="F18" s="10">
        <f ca="1">IFERROR(IF(OR(0&gt;=$B$1,Suppliers!A16="",NOT(ISNUMBER(Suppliers!D16)),Suppliers!L16="Expired",Suppliers!L16="Terminate"),"",Suppliers!D16*-1*IF(Suppliers!E16="Monthly",IF(AND(ISNUMBER(Suppliers!G16),(YEAR(EDATE(DATE(YEAR(TODAY()),MONTH(TODAY()),1),0))*12+MONTH(EDATE(DATE(YEAR(TODAY()),MONTH(TODAY()),1),0)))&gt;(YEAR(Suppliers!G16)*12+MONTH(Suppliers!G16))),"",1),IF(Suppliers!E16="Quarterly",IF(MOD((YEAR(EDATE(DATE(YEAR(TODAY()),MONTH(TODAY()),1),0))-YEAR(IF(ISNUMBER(Suppliers!F16),Suppliers!F16,DATE(YEAR(TODAY()),MONTH(TODAY()),1))))*12+MONTH(EDATE(DATE(YEAR(TODAY()),MONTH(TODAY()),1),0))-MONTH(IF(ISNUMBER(Suppliers!F16),Suppliers!F16,DATE(YEAR(TODAY()),MONTH(TODAY()),1))),3)=0,1,0),IF(Suppliers!E16="Semi-annual",IF(MOD((YEAR(EDATE(DATE(YEAR(TODAY()),MONTH(TODAY()),1),0))-YEAR(IF(ISNUMBER(Suppliers!F16),Suppliers!F16,DATE(YEAR(TODAY()),MONTH(TODAY()),1))))*12+MONTH(EDATE(DATE(YEAR(TODAY()),MONTH(TODAY()),1),0))-MONTH(IF(ISNUMBER(Suppliers!F16),Suppliers!F16,DATE(YEAR(TODAY()),MONTH(TODAY()),1))),6)=0,1,0),IF(Suppliers!E16="Annual",IF(MOD((YEAR(EDATE(DATE(YEAR(TODAY()),MONTH(TODAY()),1),0))-YEAR(IF(ISNUMBER(Suppliers!F16),Suppliers!F16,DATE(YEAR(TODAY()),MONTH(TODAY()),1))))*12+MONTH(EDATE(DATE(YEAR(TODAY()),MONTH(TODAY()),1),0))-MONTH(IF(ISNUMBER(Suppliers!F16),Suppliers!F16,DATE(YEAR(TODAY()),MONTH(TODAY()),1))),12)=0,1,0),IF(Suppliers!E16="One-time",IF(0=0,1,0),1)))))),"")</f>
        <v>0</v>
      </c>
      <c r="G18" s="10">
        <f ca="1">IFERROR(IF(OR(1&gt;=$B$1,Suppliers!A16="",NOT(ISNUMBER(Suppliers!D16)),Suppliers!L16="Expired",Suppliers!L16="Terminate"),"",Suppliers!D16*-1*IF(Suppliers!E16="Monthly",IF(AND(ISNUMBER(Suppliers!G16),(YEAR(EDATE(DATE(YEAR(TODAY()),MONTH(TODAY()),1),1))*12+MONTH(EDATE(DATE(YEAR(TODAY()),MONTH(TODAY()),1),1)))&gt;(YEAR(Suppliers!G16)*12+MONTH(Suppliers!G16))),"",1),IF(Suppliers!E16="Quarterly",IF(MOD((YEAR(EDATE(DATE(YEAR(TODAY()),MONTH(TODAY()),1),1))-YEAR(IF(ISNUMBER(Suppliers!F16),Suppliers!F16,DATE(YEAR(TODAY()),MONTH(TODAY()),1))))*12+MONTH(EDATE(DATE(YEAR(TODAY()),MONTH(TODAY()),1),1))-MONTH(IF(ISNUMBER(Suppliers!F16),Suppliers!F16,DATE(YEAR(TODAY()),MONTH(TODAY()),1))),3)=0,1,0),IF(Suppliers!E16="Semi-annual",IF(MOD((YEAR(EDATE(DATE(YEAR(TODAY()),MONTH(TODAY()),1),1))-YEAR(IF(ISNUMBER(Suppliers!F16),Suppliers!F16,DATE(YEAR(TODAY()),MONTH(TODAY()),1))))*12+MONTH(EDATE(DATE(YEAR(TODAY()),MONTH(TODAY()),1),1))-MONTH(IF(ISNUMBER(Suppliers!F16),Suppliers!F16,DATE(YEAR(TODAY()),MONTH(TODAY()),1))),6)=0,1,0),IF(Suppliers!E16="Annual",IF(MOD((YEAR(EDATE(DATE(YEAR(TODAY()),MONTH(TODAY()),1),1))-YEAR(IF(ISNUMBER(Suppliers!F16),Suppliers!F16,DATE(YEAR(TODAY()),MONTH(TODAY()),1))))*12+MONTH(EDATE(DATE(YEAR(TODAY()),MONTH(TODAY()),1),1))-MONTH(IF(ISNUMBER(Suppliers!F16),Suppliers!F16,DATE(YEAR(TODAY()),MONTH(TODAY()),1))),12)=0,1,0),IF(Suppliers!E16="One-time",IF(1=0,1,0),1)))))),"")</f>
        <v>0</v>
      </c>
      <c r="H18" s="10">
        <f ca="1">IFERROR(IF(OR(2&gt;=$B$1,Suppliers!A16="",NOT(ISNUMBER(Suppliers!D16)),Suppliers!L16="Expired",Suppliers!L16="Terminate"),"",Suppliers!D16*-1*IF(Suppliers!E16="Monthly",IF(AND(ISNUMBER(Suppliers!G16),(YEAR(EDATE(DATE(YEAR(TODAY()),MONTH(TODAY()),1),2))*12+MONTH(EDATE(DATE(YEAR(TODAY()),MONTH(TODAY()),1),2)))&gt;(YEAR(Suppliers!G16)*12+MONTH(Suppliers!G16))),"",1),IF(Suppliers!E16="Quarterly",IF(MOD((YEAR(EDATE(DATE(YEAR(TODAY()),MONTH(TODAY()),1),2))-YEAR(IF(ISNUMBER(Suppliers!F16),Suppliers!F16,DATE(YEAR(TODAY()),MONTH(TODAY()),1))))*12+MONTH(EDATE(DATE(YEAR(TODAY()),MONTH(TODAY()),1),2))-MONTH(IF(ISNUMBER(Suppliers!F16),Suppliers!F16,DATE(YEAR(TODAY()),MONTH(TODAY()),1))),3)=0,1,0),IF(Suppliers!E16="Semi-annual",IF(MOD((YEAR(EDATE(DATE(YEAR(TODAY()),MONTH(TODAY()),1),2))-YEAR(IF(ISNUMBER(Suppliers!F16),Suppliers!F16,DATE(YEAR(TODAY()),MONTH(TODAY()),1))))*12+MONTH(EDATE(DATE(YEAR(TODAY()),MONTH(TODAY()),1),2))-MONTH(IF(ISNUMBER(Suppliers!F16),Suppliers!F16,DATE(YEAR(TODAY()),MONTH(TODAY()),1))),6)=0,1,0),IF(Suppliers!E16="Annual",IF(MOD((YEAR(EDATE(DATE(YEAR(TODAY()),MONTH(TODAY()),1),2))-YEAR(IF(ISNUMBER(Suppliers!F16),Suppliers!F16,DATE(YEAR(TODAY()),MONTH(TODAY()),1))))*12+MONTH(EDATE(DATE(YEAR(TODAY()),MONTH(TODAY()),1),2))-MONTH(IF(ISNUMBER(Suppliers!F16),Suppliers!F16,DATE(YEAR(TODAY()),MONTH(TODAY()),1))),12)=0,1,0),IF(Suppliers!E16="One-time",IF(2=0,1,0),1)))))),"")</f>
        <v>-2700</v>
      </c>
      <c r="I18" s="10" t="str">
        <f ca="1">IFERROR(IF(OR(3&gt;=$B$1,Suppliers!A16="",NOT(ISNUMBER(Suppliers!D16)),Suppliers!L16="Expired",Suppliers!L16="Terminate"),"",Suppliers!D16*-1*IF(Suppliers!E16="Monthly",IF(AND(ISNUMBER(Suppliers!G16),(YEAR(EDATE(DATE(YEAR(TODAY()),MONTH(TODAY()),1),3))*12+MONTH(EDATE(DATE(YEAR(TODAY()),MONTH(TODAY()),1),3)))&gt;(YEAR(Suppliers!G16)*12+MONTH(Suppliers!G16))),"",1),IF(Suppliers!E16="Quarterly",IF(MOD((YEAR(EDATE(DATE(YEAR(TODAY()),MONTH(TODAY()),1),3))-YEAR(IF(ISNUMBER(Suppliers!F16),Suppliers!F16,DATE(YEAR(TODAY()),MONTH(TODAY()),1))))*12+MONTH(EDATE(DATE(YEAR(TODAY()),MONTH(TODAY()),1),3))-MONTH(IF(ISNUMBER(Suppliers!F16),Suppliers!F16,DATE(YEAR(TODAY()),MONTH(TODAY()),1))),3)=0,1,0),IF(Suppliers!E16="Semi-annual",IF(MOD((YEAR(EDATE(DATE(YEAR(TODAY()),MONTH(TODAY()),1),3))-YEAR(IF(ISNUMBER(Suppliers!F16),Suppliers!F16,DATE(YEAR(TODAY()),MONTH(TODAY()),1))))*12+MONTH(EDATE(DATE(YEAR(TODAY()),MONTH(TODAY()),1),3))-MONTH(IF(ISNUMBER(Suppliers!F16),Suppliers!F16,DATE(YEAR(TODAY()),MONTH(TODAY()),1))),6)=0,1,0),IF(Suppliers!E16="Annual",IF(MOD((YEAR(EDATE(DATE(YEAR(TODAY()),MONTH(TODAY()),1),3))-YEAR(IF(ISNUMBER(Suppliers!F16),Suppliers!F16,DATE(YEAR(TODAY()),MONTH(TODAY()),1))))*12+MONTH(EDATE(DATE(YEAR(TODAY()),MONTH(TODAY()),1),3))-MONTH(IF(ISNUMBER(Suppliers!F16),Suppliers!F16,DATE(YEAR(TODAY()),MONTH(TODAY()),1))),12)=0,1,0),IF(Suppliers!E16="One-time",IF(3=0,1,0),1)))))),"")</f>
        <v/>
      </c>
      <c r="J18" s="10" t="str">
        <f ca="1">IFERROR(IF(OR(4&gt;=$B$1,Suppliers!A16="",NOT(ISNUMBER(Suppliers!D16)),Suppliers!L16="Expired",Suppliers!L16="Terminate"),"",Suppliers!D16*-1*IF(Suppliers!E16="Monthly",IF(AND(ISNUMBER(Suppliers!G16),(YEAR(EDATE(DATE(YEAR(TODAY()),MONTH(TODAY()),1),4))*12+MONTH(EDATE(DATE(YEAR(TODAY()),MONTH(TODAY()),1),4)))&gt;(YEAR(Suppliers!G16)*12+MONTH(Suppliers!G16))),"",1),IF(Suppliers!E16="Quarterly",IF(MOD((YEAR(EDATE(DATE(YEAR(TODAY()),MONTH(TODAY()),1),4))-YEAR(IF(ISNUMBER(Suppliers!F16),Suppliers!F16,DATE(YEAR(TODAY()),MONTH(TODAY()),1))))*12+MONTH(EDATE(DATE(YEAR(TODAY()),MONTH(TODAY()),1),4))-MONTH(IF(ISNUMBER(Suppliers!F16),Suppliers!F16,DATE(YEAR(TODAY()),MONTH(TODAY()),1))),3)=0,1,0),IF(Suppliers!E16="Semi-annual",IF(MOD((YEAR(EDATE(DATE(YEAR(TODAY()),MONTH(TODAY()),1),4))-YEAR(IF(ISNUMBER(Suppliers!F16),Suppliers!F16,DATE(YEAR(TODAY()),MONTH(TODAY()),1))))*12+MONTH(EDATE(DATE(YEAR(TODAY()),MONTH(TODAY()),1),4))-MONTH(IF(ISNUMBER(Suppliers!F16),Suppliers!F16,DATE(YEAR(TODAY()),MONTH(TODAY()),1))),6)=0,1,0),IF(Suppliers!E16="Annual",IF(MOD((YEAR(EDATE(DATE(YEAR(TODAY()),MONTH(TODAY()),1),4))-YEAR(IF(ISNUMBER(Suppliers!F16),Suppliers!F16,DATE(YEAR(TODAY()),MONTH(TODAY()),1))))*12+MONTH(EDATE(DATE(YEAR(TODAY()),MONTH(TODAY()),1),4))-MONTH(IF(ISNUMBER(Suppliers!F16),Suppliers!F16,DATE(YEAR(TODAY()),MONTH(TODAY()),1))),12)=0,1,0),IF(Suppliers!E16="One-time",IF(4=0,1,0),1)))))),"")</f>
        <v/>
      </c>
      <c r="K18" s="10" t="str">
        <f ca="1">IFERROR(IF(OR(5&gt;=$B$1,Suppliers!A16="",NOT(ISNUMBER(Suppliers!D16)),Suppliers!L16="Expired",Suppliers!L16="Terminate"),"",Suppliers!D16*-1*IF(Suppliers!E16="Monthly",IF(AND(ISNUMBER(Suppliers!G16),(YEAR(EDATE(DATE(YEAR(TODAY()),MONTH(TODAY()),1),5))*12+MONTH(EDATE(DATE(YEAR(TODAY()),MONTH(TODAY()),1),5)))&gt;(YEAR(Suppliers!G16)*12+MONTH(Suppliers!G16))),"",1),IF(Suppliers!E16="Quarterly",IF(MOD((YEAR(EDATE(DATE(YEAR(TODAY()),MONTH(TODAY()),1),5))-YEAR(IF(ISNUMBER(Suppliers!F16),Suppliers!F16,DATE(YEAR(TODAY()),MONTH(TODAY()),1))))*12+MONTH(EDATE(DATE(YEAR(TODAY()),MONTH(TODAY()),1),5))-MONTH(IF(ISNUMBER(Suppliers!F16),Suppliers!F16,DATE(YEAR(TODAY()),MONTH(TODAY()),1))),3)=0,1,0),IF(Suppliers!E16="Semi-annual",IF(MOD((YEAR(EDATE(DATE(YEAR(TODAY()),MONTH(TODAY()),1),5))-YEAR(IF(ISNUMBER(Suppliers!F16),Suppliers!F16,DATE(YEAR(TODAY()),MONTH(TODAY()),1))))*12+MONTH(EDATE(DATE(YEAR(TODAY()),MONTH(TODAY()),1),5))-MONTH(IF(ISNUMBER(Suppliers!F16),Suppliers!F16,DATE(YEAR(TODAY()),MONTH(TODAY()),1))),6)=0,1,0),IF(Suppliers!E16="Annual",IF(MOD((YEAR(EDATE(DATE(YEAR(TODAY()),MONTH(TODAY()),1),5))-YEAR(IF(ISNUMBER(Suppliers!F16),Suppliers!F16,DATE(YEAR(TODAY()),MONTH(TODAY()),1))))*12+MONTH(EDATE(DATE(YEAR(TODAY()),MONTH(TODAY()),1),5))-MONTH(IF(ISNUMBER(Suppliers!F16),Suppliers!F16,DATE(YEAR(TODAY()),MONTH(TODAY()),1))),12)=0,1,0),IF(Suppliers!E16="One-time",IF(5=0,1,0),1)))))),"")</f>
        <v/>
      </c>
      <c r="L18" s="10" t="str">
        <f ca="1">IFERROR(IF(OR(6&gt;=$B$1,Suppliers!A16="",NOT(ISNUMBER(Suppliers!D16)),Suppliers!L16="Expired",Suppliers!L16="Terminate"),"",Suppliers!D16*-1*IF(Suppliers!E16="Monthly",IF(AND(ISNUMBER(Suppliers!G16),(YEAR(EDATE(DATE(YEAR(TODAY()),MONTH(TODAY()),1),6))*12+MONTH(EDATE(DATE(YEAR(TODAY()),MONTH(TODAY()),1),6)))&gt;(YEAR(Suppliers!G16)*12+MONTH(Suppliers!G16))),"",1),IF(Suppliers!E16="Quarterly",IF(MOD((YEAR(EDATE(DATE(YEAR(TODAY()),MONTH(TODAY()),1),6))-YEAR(IF(ISNUMBER(Suppliers!F16),Suppliers!F16,DATE(YEAR(TODAY()),MONTH(TODAY()),1))))*12+MONTH(EDATE(DATE(YEAR(TODAY()),MONTH(TODAY()),1),6))-MONTH(IF(ISNUMBER(Suppliers!F16),Suppliers!F16,DATE(YEAR(TODAY()),MONTH(TODAY()),1))),3)=0,1,0),IF(Suppliers!E16="Semi-annual",IF(MOD((YEAR(EDATE(DATE(YEAR(TODAY()),MONTH(TODAY()),1),6))-YEAR(IF(ISNUMBER(Suppliers!F16),Suppliers!F16,DATE(YEAR(TODAY()),MONTH(TODAY()),1))))*12+MONTH(EDATE(DATE(YEAR(TODAY()),MONTH(TODAY()),1),6))-MONTH(IF(ISNUMBER(Suppliers!F16),Suppliers!F16,DATE(YEAR(TODAY()),MONTH(TODAY()),1))),6)=0,1,0),IF(Suppliers!E16="Annual",IF(MOD((YEAR(EDATE(DATE(YEAR(TODAY()),MONTH(TODAY()),1),6))-YEAR(IF(ISNUMBER(Suppliers!F16),Suppliers!F16,DATE(YEAR(TODAY()),MONTH(TODAY()),1))))*12+MONTH(EDATE(DATE(YEAR(TODAY()),MONTH(TODAY()),1),6))-MONTH(IF(ISNUMBER(Suppliers!F16),Suppliers!F16,DATE(YEAR(TODAY()),MONTH(TODAY()),1))),12)=0,1,0),IF(Suppliers!E16="One-time",IF(6=0,1,0),1)))))),"")</f>
        <v/>
      </c>
      <c r="M18" s="10" t="str">
        <f ca="1">IFERROR(IF(OR(7&gt;=$B$1,Suppliers!A16="",NOT(ISNUMBER(Suppliers!D16)),Suppliers!L16="Expired",Suppliers!L16="Terminate"),"",Suppliers!D16*-1*IF(Suppliers!E16="Monthly",IF(AND(ISNUMBER(Suppliers!G16),(YEAR(EDATE(DATE(YEAR(TODAY()),MONTH(TODAY()),1),7))*12+MONTH(EDATE(DATE(YEAR(TODAY()),MONTH(TODAY()),1),7)))&gt;(YEAR(Suppliers!G16)*12+MONTH(Suppliers!G16))),"",1),IF(Suppliers!E16="Quarterly",IF(MOD((YEAR(EDATE(DATE(YEAR(TODAY()),MONTH(TODAY()),1),7))-YEAR(IF(ISNUMBER(Suppliers!F16),Suppliers!F16,DATE(YEAR(TODAY()),MONTH(TODAY()),1))))*12+MONTH(EDATE(DATE(YEAR(TODAY()),MONTH(TODAY()),1),7))-MONTH(IF(ISNUMBER(Suppliers!F16),Suppliers!F16,DATE(YEAR(TODAY()),MONTH(TODAY()),1))),3)=0,1,0),IF(Suppliers!E16="Semi-annual",IF(MOD((YEAR(EDATE(DATE(YEAR(TODAY()),MONTH(TODAY()),1),7))-YEAR(IF(ISNUMBER(Suppliers!F16),Suppliers!F16,DATE(YEAR(TODAY()),MONTH(TODAY()),1))))*12+MONTH(EDATE(DATE(YEAR(TODAY()),MONTH(TODAY()),1),7))-MONTH(IF(ISNUMBER(Suppliers!F16),Suppliers!F16,DATE(YEAR(TODAY()),MONTH(TODAY()),1))),6)=0,1,0),IF(Suppliers!E16="Annual",IF(MOD((YEAR(EDATE(DATE(YEAR(TODAY()),MONTH(TODAY()),1),7))-YEAR(IF(ISNUMBER(Suppliers!F16),Suppliers!F16,DATE(YEAR(TODAY()),MONTH(TODAY()),1))))*12+MONTH(EDATE(DATE(YEAR(TODAY()),MONTH(TODAY()),1),7))-MONTH(IF(ISNUMBER(Suppliers!F16),Suppliers!F16,DATE(YEAR(TODAY()),MONTH(TODAY()),1))),12)=0,1,0),IF(Suppliers!E16="One-time",IF(7=0,1,0),1)))))),"")</f>
        <v/>
      </c>
      <c r="N18" s="10" t="str">
        <f ca="1">IFERROR(IF(OR(8&gt;=$B$1,Suppliers!A16="",NOT(ISNUMBER(Suppliers!D16)),Suppliers!L16="Expired",Suppliers!L16="Terminate"),"",Suppliers!D16*-1*IF(Suppliers!E16="Monthly",IF(AND(ISNUMBER(Suppliers!G16),(YEAR(EDATE(DATE(YEAR(TODAY()),MONTH(TODAY()),1),8))*12+MONTH(EDATE(DATE(YEAR(TODAY()),MONTH(TODAY()),1),8)))&gt;(YEAR(Suppliers!G16)*12+MONTH(Suppliers!G16))),"",1),IF(Suppliers!E16="Quarterly",IF(MOD((YEAR(EDATE(DATE(YEAR(TODAY()),MONTH(TODAY()),1),8))-YEAR(IF(ISNUMBER(Suppliers!F16),Suppliers!F16,DATE(YEAR(TODAY()),MONTH(TODAY()),1))))*12+MONTH(EDATE(DATE(YEAR(TODAY()),MONTH(TODAY()),1),8))-MONTH(IF(ISNUMBER(Suppliers!F16),Suppliers!F16,DATE(YEAR(TODAY()),MONTH(TODAY()),1))),3)=0,1,0),IF(Suppliers!E16="Semi-annual",IF(MOD((YEAR(EDATE(DATE(YEAR(TODAY()),MONTH(TODAY()),1),8))-YEAR(IF(ISNUMBER(Suppliers!F16),Suppliers!F16,DATE(YEAR(TODAY()),MONTH(TODAY()),1))))*12+MONTH(EDATE(DATE(YEAR(TODAY()),MONTH(TODAY()),1),8))-MONTH(IF(ISNUMBER(Suppliers!F16),Suppliers!F16,DATE(YEAR(TODAY()),MONTH(TODAY()),1))),6)=0,1,0),IF(Suppliers!E16="Annual",IF(MOD((YEAR(EDATE(DATE(YEAR(TODAY()),MONTH(TODAY()),1),8))-YEAR(IF(ISNUMBER(Suppliers!F16),Suppliers!F16,DATE(YEAR(TODAY()),MONTH(TODAY()),1))))*12+MONTH(EDATE(DATE(YEAR(TODAY()),MONTH(TODAY()),1),8))-MONTH(IF(ISNUMBER(Suppliers!F16),Suppliers!F16,DATE(YEAR(TODAY()),MONTH(TODAY()),1))),12)=0,1,0),IF(Suppliers!E16="One-time",IF(8=0,1,0),1)))))),"")</f>
        <v/>
      </c>
      <c r="O18" s="10" t="str">
        <f ca="1">IFERROR(IF(OR(9&gt;=$B$1,Suppliers!A16="",NOT(ISNUMBER(Suppliers!D16)),Suppliers!L16="Expired",Suppliers!L16="Terminate"),"",Suppliers!D16*-1*IF(Suppliers!E16="Monthly",IF(AND(ISNUMBER(Suppliers!G16),(YEAR(EDATE(DATE(YEAR(TODAY()),MONTH(TODAY()),1),9))*12+MONTH(EDATE(DATE(YEAR(TODAY()),MONTH(TODAY()),1),9)))&gt;(YEAR(Suppliers!G16)*12+MONTH(Suppliers!G16))),"",1),IF(Suppliers!E16="Quarterly",IF(MOD((YEAR(EDATE(DATE(YEAR(TODAY()),MONTH(TODAY()),1),9))-YEAR(IF(ISNUMBER(Suppliers!F16),Suppliers!F16,DATE(YEAR(TODAY()),MONTH(TODAY()),1))))*12+MONTH(EDATE(DATE(YEAR(TODAY()),MONTH(TODAY()),1),9))-MONTH(IF(ISNUMBER(Suppliers!F16),Suppliers!F16,DATE(YEAR(TODAY()),MONTH(TODAY()),1))),3)=0,1,0),IF(Suppliers!E16="Semi-annual",IF(MOD((YEAR(EDATE(DATE(YEAR(TODAY()),MONTH(TODAY()),1),9))-YEAR(IF(ISNUMBER(Suppliers!F16),Suppliers!F16,DATE(YEAR(TODAY()),MONTH(TODAY()),1))))*12+MONTH(EDATE(DATE(YEAR(TODAY()),MONTH(TODAY()),1),9))-MONTH(IF(ISNUMBER(Suppliers!F16),Suppliers!F16,DATE(YEAR(TODAY()),MONTH(TODAY()),1))),6)=0,1,0),IF(Suppliers!E16="Annual",IF(MOD((YEAR(EDATE(DATE(YEAR(TODAY()),MONTH(TODAY()),1),9))-YEAR(IF(ISNUMBER(Suppliers!F16),Suppliers!F16,DATE(YEAR(TODAY()),MONTH(TODAY()),1))))*12+MONTH(EDATE(DATE(YEAR(TODAY()),MONTH(TODAY()),1),9))-MONTH(IF(ISNUMBER(Suppliers!F16),Suppliers!F16,DATE(YEAR(TODAY()),MONTH(TODAY()),1))),12)=0,1,0),IF(Suppliers!E16="One-time",IF(9=0,1,0),1)))))),"")</f>
        <v/>
      </c>
      <c r="P18" s="10" t="str">
        <f ca="1">IFERROR(IF(OR(10&gt;=$B$1,Suppliers!A16="",NOT(ISNUMBER(Suppliers!D16)),Suppliers!L16="Expired",Suppliers!L16="Terminate"),"",Suppliers!D16*-1*IF(Suppliers!E16="Monthly",IF(AND(ISNUMBER(Suppliers!G16),(YEAR(EDATE(DATE(YEAR(TODAY()),MONTH(TODAY()),1),10))*12+MONTH(EDATE(DATE(YEAR(TODAY()),MONTH(TODAY()),1),10)))&gt;(YEAR(Suppliers!G16)*12+MONTH(Suppliers!G16))),"",1),IF(Suppliers!E16="Quarterly",IF(MOD((YEAR(EDATE(DATE(YEAR(TODAY()),MONTH(TODAY()),1),10))-YEAR(IF(ISNUMBER(Suppliers!F16),Suppliers!F16,DATE(YEAR(TODAY()),MONTH(TODAY()),1))))*12+MONTH(EDATE(DATE(YEAR(TODAY()),MONTH(TODAY()),1),10))-MONTH(IF(ISNUMBER(Suppliers!F16),Suppliers!F16,DATE(YEAR(TODAY()),MONTH(TODAY()),1))),3)=0,1,0),IF(Suppliers!E16="Semi-annual",IF(MOD((YEAR(EDATE(DATE(YEAR(TODAY()),MONTH(TODAY()),1),10))-YEAR(IF(ISNUMBER(Suppliers!F16),Suppliers!F16,DATE(YEAR(TODAY()),MONTH(TODAY()),1))))*12+MONTH(EDATE(DATE(YEAR(TODAY()),MONTH(TODAY()),1),10))-MONTH(IF(ISNUMBER(Suppliers!F16),Suppliers!F16,DATE(YEAR(TODAY()),MONTH(TODAY()),1))),6)=0,1,0),IF(Suppliers!E16="Annual",IF(MOD((YEAR(EDATE(DATE(YEAR(TODAY()),MONTH(TODAY()),1),10))-YEAR(IF(ISNUMBER(Suppliers!F16),Suppliers!F16,DATE(YEAR(TODAY()),MONTH(TODAY()),1))))*12+MONTH(EDATE(DATE(YEAR(TODAY()),MONTH(TODAY()),1),10))-MONTH(IF(ISNUMBER(Suppliers!F16),Suppliers!F16,DATE(YEAR(TODAY()),MONTH(TODAY()),1))),12)=0,1,0),IF(Suppliers!E16="One-time",IF(10=0,1,0),1)))))),"")</f>
        <v/>
      </c>
      <c r="Q18" s="10" t="str">
        <f ca="1">IFERROR(IF(OR(11&gt;=$B$1,Suppliers!A16="",NOT(ISNUMBER(Suppliers!D16)),Suppliers!L16="Expired",Suppliers!L16="Terminate"),"",Suppliers!D16*-1*IF(Suppliers!E16="Monthly",IF(AND(ISNUMBER(Suppliers!G16),(YEAR(EDATE(DATE(YEAR(TODAY()),MONTH(TODAY()),1),11))*12+MONTH(EDATE(DATE(YEAR(TODAY()),MONTH(TODAY()),1),11)))&gt;(YEAR(Suppliers!G16)*12+MONTH(Suppliers!G16))),"",1),IF(Suppliers!E16="Quarterly",IF(MOD((YEAR(EDATE(DATE(YEAR(TODAY()),MONTH(TODAY()),1),11))-YEAR(IF(ISNUMBER(Suppliers!F16),Suppliers!F16,DATE(YEAR(TODAY()),MONTH(TODAY()),1))))*12+MONTH(EDATE(DATE(YEAR(TODAY()),MONTH(TODAY()),1),11))-MONTH(IF(ISNUMBER(Suppliers!F16),Suppliers!F16,DATE(YEAR(TODAY()),MONTH(TODAY()),1))),3)=0,1,0),IF(Suppliers!E16="Semi-annual",IF(MOD((YEAR(EDATE(DATE(YEAR(TODAY()),MONTH(TODAY()),1),11))-YEAR(IF(ISNUMBER(Suppliers!F16),Suppliers!F16,DATE(YEAR(TODAY()),MONTH(TODAY()),1))))*12+MONTH(EDATE(DATE(YEAR(TODAY()),MONTH(TODAY()),1),11))-MONTH(IF(ISNUMBER(Suppliers!F16),Suppliers!F16,DATE(YEAR(TODAY()),MONTH(TODAY()),1))),6)=0,1,0),IF(Suppliers!E16="Annual",IF(MOD((YEAR(EDATE(DATE(YEAR(TODAY()),MONTH(TODAY()),1),11))-YEAR(IF(ISNUMBER(Suppliers!F16),Suppliers!F16,DATE(YEAR(TODAY()),MONTH(TODAY()),1))))*12+MONTH(EDATE(DATE(YEAR(TODAY()),MONTH(TODAY()),1),11))-MONTH(IF(ISNUMBER(Suppliers!F16),Suppliers!F16,DATE(YEAR(TODAY()),MONTH(TODAY()),1))),12)=0,1,0),IF(Suppliers!E16="One-time",IF(11=0,1,0),1)))))),"")</f>
        <v/>
      </c>
      <c r="R18" s="10" t="str">
        <f ca="1">IFERROR(IF(OR(12&gt;=$B$1,Suppliers!A16="",NOT(ISNUMBER(Suppliers!D16)),Suppliers!L16="Expired",Suppliers!L16="Terminate"),"",Suppliers!D16*-1*IF(Suppliers!E16="Monthly",IF(AND(ISNUMBER(Suppliers!G16),(YEAR(EDATE(DATE(YEAR(TODAY()),MONTH(TODAY()),1),12))*12+MONTH(EDATE(DATE(YEAR(TODAY()),MONTH(TODAY()),1),12)))&gt;(YEAR(Suppliers!G16)*12+MONTH(Suppliers!G16))),"",1),IF(Suppliers!E16="Quarterly",IF(MOD((YEAR(EDATE(DATE(YEAR(TODAY()),MONTH(TODAY()),1),12))-YEAR(IF(ISNUMBER(Suppliers!F16),Suppliers!F16,DATE(YEAR(TODAY()),MONTH(TODAY()),1))))*12+MONTH(EDATE(DATE(YEAR(TODAY()),MONTH(TODAY()),1),12))-MONTH(IF(ISNUMBER(Suppliers!F16),Suppliers!F16,DATE(YEAR(TODAY()),MONTH(TODAY()),1))),3)=0,1,0),IF(Suppliers!E16="Semi-annual",IF(MOD((YEAR(EDATE(DATE(YEAR(TODAY()),MONTH(TODAY()),1),12))-YEAR(IF(ISNUMBER(Suppliers!F16),Suppliers!F16,DATE(YEAR(TODAY()),MONTH(TODAY()),1))))*12+MONTH(EDATE(DATE(YEAR(TODAY()),MONTH(TODAY()),1),12))-MONTH(IF(ISNUMBER(Suppliers!F16),Suppliers!F16,DATE(YEAR(TODAY()),MONTH(TODAY()),1))),6)=0,1,0),IF(Suppliers!E16="Annual",IF(MOD((YEAR(EDATE(DATE(YEAR(TODAY()),MONTH(TODAY()),1),12))-YEAR(IF(ISNUMBER(Suppliers!F16),Suppliers!F16,DATE(YEAR(TODAY()),MONTH(TODAY()),1))))*12+MONTH(EDATE(DATE(YEAR(TODAY()),MONTH(TODAY()),1),12))-MONTH(IF(ISNUMBER(Suppliers!F16),Suppliers!F16,DATE(YEAR(TODAY()),MONTH(TODAY()),1))),12)=0,1,0),IF(Suppliers!E16="One-time",IF(12=0,1,0),1)))))),"")</f>
        <v/>
      </c>
      <c r="S18" s="10" t="str">
        <f ca="1">IFERROR(IF(OR(13&gt;=$B$1,Suppliers!A16="",NOT(ISNUMBER(Suppliers!D16)),Suppliers!L16="Expired",Suppliers!L16="Terminate"),"",Suppliers!D16*-1*IF(Suppliers!E16="Monthly",IF(AND(ISNUMBER(Suppliers!G16),(YEAR(EDATE(DATE(YEAR(TODAY()),MONTH(TODAY()),1),13))*12+MONTH(EDATE(DATE(YEAR(TODAY()),MONTH(TODAY()),1),13)))&gt;(YEAR(Suppliers!G16)*12+MONTH(Suppliers!G16))),"",1),IF(Suppliers!E16="Quarterly",IF(MOD((YEAR(EDATE(DATE(YEAR(TODAY()),MONTH(TODAY()),1),13))-YEAR(IF(ISNUMBER(Suppliers!F16),Suppliers!F16,DATE(YEAR(TODAY()),MONTH(TODAY()),1))))*12+MONTH(EDATE(DATE(YEAR(TODAY()),MONTH(TODAY()),1),13))-MONTH(IF(ISNUMBER(Suppliers!F16),Suppliers!F16,DATE(YEAR(TODAY()),MONTH(TODAY()),1))),3)=0,1,0),IF(Suppliers!E16="Semi-annual",IF(MOD((YEAR(EDATE(DATE(YEAR(TODAY()),MONTH(TODAY()),1),13))-YEAR(IF(ISNUMBER(Suppliers!F16),Suppliers!F16,DATE(YEAR(TODAY()),MONTH(TODAY()),1))))*12+MONTH(EDATE(DATE(YEAR(TODAY()),MONTH(TODAY()),1),13))-MONTH(IF(ISNUMBER(Suppliers!F16),Suppliers!F16,DATE(YEAR(TODAY()),MONTH(TODAY()),1))),6)=0,1,0),IF(Suppliers!E16="Annual",IF(MOD((YEAR(EDATE(DATE(YEAR(TODAY()),MONTH(TODAY()),1),13))-YEAR(IF(ISNUMBER(Suppliers!F16),Suppliers!F16,DATE(YEAR(TODAY()),MONTH(TODAY()),1))))*12+MONTH(EDATE(DATE(YEAR(TODAY()),MONTH(TODAY()),1),13))-MONTH(IF(ISNUMBER(Suppliers!F16),Suppliers!F16,DATE(YEAR(TODAY()),MONTH(TODAY()),1))),12)=0,1,0),IF(Suppliers!E16="One-time",IF(13=0,1,0),1)))))),"")</f>
        <v/>
      </c>
      <c r="T18" s="10" t="str">
        <f ca="1">IFERROR(IF(OR(14&gt;=$B$1,Suppliers!A16="",NOT(ISNUMBER(Suppliers!D16)),Suppliers!L16="Expired",Suppliers!L16="Terminate"),"",Suppliers!D16*-1*IF(Suppliers!E16="Monthly",IF(AND(ISNUMBER(Suppliers!G16),(YEAR(EDATE(DATE(YEAR(TODAY()),MONTH(TODAY()),1),14))*12+MONTH(EDATE(DATE(YEAR(TODAY()),MONTH(TODAY()),1),14)))&gt;(YEAR(Suppliers!G16)*12+MONTH(Suppliers!G16))),"",1),IF(Suppliers!E16="Quarterly",IF(MOD((YEAR(EDATE(DATE(YEAR(TODAY()),MONTH(TODAY()),1),14))-YEAR(IF(ISNUMBER(Suppliers!F16),Suppliers!F16,DATE(YEAR(TODAY()),MONTH(TODAY()),1))))*12+MONTH(EDATE(DATE(YEAR(TODAY()),MONTH(TODAY()),1),14))-MONTH(IF(ISNUMBER(Suppliers!F16),Suppliers!F16,DATE(YEAR(TODAY()),MONTH(TODAY()),1))),3)=0,1,0),IF(Suppliers!E16="Semi-annual",IF(MOD((YEAR(EDATE(DATE(YEAR(TODAY()),MONTH(TODAY()),1),14))-YEAR(IF(ISNUMBER(Suppliers!F16),Suppliers!F16,DATE(YEAR(TODAY()),MONTH(TODAY()),1))))*12+MONTH(EDATE(DATE(YEAR(TODAY()),MONTH(TODAY()),1),14))-MONTH(IF(ISNUMBER(Suppliers!F16),Suppliers!F16,DATE(YEAR(TODAY()),MONTH(TODAY()),1))),6)=0,1,0),IF(Suppliers!E16="Annual",IF(MOD((YEAR(EDATE(DATE(YEAR(TODAY()),MONTH(TODAY()),1),14))-YEAR(IF(ISNUMBER(Suppliers!F16),Suppliers!F16,DATE(YEAR(TODAY()),MONTH(TODAY()),1))))*12+MONTH(EDATE(DATE(YEAR(TODAY()),MONTH(TODAY()),1),14))-MONTH(IF(ISNUMBER(Suppliers!F16),Suppliers!F16,DATE(YEAR(TODAY()),MONTH(TODAY()),1))),12)=0,1,0),IF(Suppliers!E16="One-time",IF(14=0,1,0),1)))))),"")</f>
        <v/>
      </c>
      <c r="U18" s="10" t="str">
        <f ca="1">IFERROR(IF(OR(15&gt;=$B$1,Suppliers!A16="",NOT(ISNUMBER(Suppliers!D16)),Suppliers!L16="Expired",Suppliers!L16="Terminate"),"",Suppliers!D16*-1*IF(Suppliers!E16="Monthly",IF(AND(ISNUMBER(Suppliers!G16),(YEAR(EDATE(DATE(YEAR(TODAY()),MONTH(TODAY()),1),15))*12+MONTH(EDATE(DATE(YEAR(TODAY()),MONTH(TODAY()),1),15)))&gt;(YEAR(Suppliers!G16)*12+MONTH(Suppliers!G16))),"",1),IF(Suppliers!E16="Quarterly",IF(MOD((YEAR(EDATE(DATE(YEAR(TODAY()),MONTH(TODAY()),1),15))-YEAR(IF(ISNUMBER(Suppliers!F16),Suppliers!F16,DATE(YEAR(TODAY()),MONTH(TODAY()),1))))*12+MONTH(EDATE(DATE(YEAR(TODAY()),MONTH(TODAY()),1),15))-MONTH(IF(ISNUMBER(Suppliers!F16),Suppliers!F16,DATE(YEAR(TODAY()),MONTH(TODAY()),1))),3)=0,1,0),IF(Suppliers!E16="Semi-annual",IF(MOD((YEAR(EDATE(DATE(YEAR(TODAY()),MONTH(TODAY()),1),15))-YEAR(IF(ISNUMBER(Suppliers!F16),Suppliers!F16,DATE(YEAR(TODAY()),MONTH(TODAY()),1))))*12+MONTH(EDATE(DATE(YEAR(TODAY()),MONTH(TODAY()),1),15))-MONTH(IF(ISNUMBER(Suppliers!F16),Suppliers!F16,DATE(YEAR(TODAY()),MONTH(TODAY()),1))),6)=0,1,0),IF(Suppliers!E16="Annual",IF(MOD((YEAR(EDATE(DATE(YEAR(TODAY()),MONTH(TODAY()),1),15))-YEAR(IF(ISNUMBER(Suppliers!F16),Suppliers!F16,DATE(YEAR(TODAY()),MONTH(TODAY()),1))))*12+MONTH(EDATE(DATE(YEAR(TODAY()),MONTH(TODAY()),1),15))-MONTH(IF(ISNUMBER(Suppliers!F16),Suppliers!F16,DATE(YEAR(TODAY()),MONTH(TODAY()),1))),12)=0,1,0),IF(Suppliers!E16="One-time",IF(15=0,1,0),1)))))),"")</f>
        <v/>
      </c>
      <c r="V18" s="10" t="str">
        <f ca="1">IFERROR(IF(OR(16&gt;=$B$1,Suppliers!A16="",NOT(ISNUMBER(Suppliers!D16)),Suppliers!L16="Expired",Suppliers!L16="Terminate"),"",Suppliers!D16*-1*IF(Suppliers!E16="Monthly",IF(AND(ISNUMBER(Suppliers!G16),(YEAR(EDATE(DATE(YEAR(TODAY()),MONTH(TODAY()),1),16))*12+MONTH(EDATE(DATE(YEAR(TODAY()),MONTH(TODAY()),1),16)))&gt;(YEAR(Suppliers!G16)*12+MONTH(Suppliers!G16))),"",1),IF(Suppliers!E16="Quarterly",IF(MOD((YEAR(EDATE(DATE(YEAR(TODAY()),MONTH(TODAY()),1),16))-YEAR(IF(ISNUMBER(Suppliers!F16),Suppliers!F16,DATE(YEAR(TODAY()),MONTH(TODAY()),1))))*12+MONTH(EDATE(DATE(YEAR(TODAY()),MONTH(TODAY()),1),16))-MONTH(IF(ISNUMBER(Suppliers!F16),Suppliers!F16,DATE(YEAR(TODAY()),MONTH(TODAY()),1))),3)=0,1,0),IF(Suppliers!E16="Semi-annual",IF(MOD((YEAR(EDATE(DATE(YEAR(TODAY()),MONTH(TODAY()),1),16))-YEAR(IF(ISNUMBER(Suppliers!F16),Suppliers!F16,DATE(YEAR(TODAY()),MONTH(TODAY()),1))))*12+MONTH(EDATE(DATE(YEAR(TODAY()),MONTH(TODAY()),1),16))-MONTH(IF(ISNUMBER(Suppliers!F16),Suppliers!F16,DATE(YEAR(TODAY()),MONTH(TODAY()),1))),6)=0,1,0),IF(Suppliers!E16="Annual",IF(MOD((YEAR(EDATE(DATE(YEAR(TODAY()),MONTH(TODAY()),1),16))-YEAR(IF(ISNUMBER(Suppliers!F16),Suppliers!F16,DATE(YEAR(TODAY()),MONTH(TODAY()),1))))*12+MONTH(EDATE(DATE(YEAR(TODAY()),MONTH(TODAY()),1),16))-MONTH(IF(ISNUMBER(Suppliers!F16),Suppliers!F16,DATE(YEAR(TODAY()),MONTH(TODAY()),1))),12)=0,1,0),IF(Suppliers!E16="One-time",IF(16=0,1,0),1)))))),"")</f>
        <v/>
      </c>
      <c r="W18" s="10" t="str">
        <f ca="1">IFERROR(IF(OR(17&gt;=$B$1,Suppliers!A16="",NOT(ISNUMBER(Suppliers!D16)),Suppliers!L16="Expired",Suppliers!L16="Terminate"),"",Suppliers!D16*-1*IF(Suppliers!E16="Monthly",IF(AND(ISNUMBER(Suppliers!G16),(YEAR(EDATE(DATE(YEAR(TODAY()),MONTH(TODAY()),1),17))*12+MONTH(EDATE(DATE(YEAR(TODAY()),MONTH(TODAY()),1),17)))&gt;(YEAR(Suppliers!G16)*12+MONTH(Suppliers!G16))),"",1),IF(Suppliers!E16="Quarterly",IF(MOD((YEAR(EDATE(DATE(YEAR(TODAY()),MONTH(TODAY()),1),17))-YEAR(IF(ISNUMBER(Suppliers!F16),Suppliers!F16,DATE(YEAR(TODAY()),MONTH(TODAY()),1))))*12+MONTH(EDATE(DATE(YEAR(TODAY()),MONTH(TODAY()),1),17))-MONTH(IF(ISNUMBER(Suppliers!F16),Suppliers!F16,DATE(YEAR(TODAY()),MONTH(TODAY()),1))),3)=0,1,0),IF(Suppliers!E16="Semi-annual",IF(MOD((YEAR(EDATE(DATE(YEAR(TODAY()),MONTH(TODAY()),1),17))-YEAR(IF(ISNUMBER(Suppliers!F16),Suppliers!F16,DATE(YEAR(TODAY()),MONTH(TODAY()),1))))*12+MONTH(EDATE(DATE(YEAR(TODAY()),MONTH(TODAY()),1),17))-MONTH(IF(ISNUMBER(Suppliers!F16),Suppliers!F16,DATE(YEAR(TODAY()),MONTH(TODAY()),1))),6)=0,1,0),IF(Suppliers!E16="Annual",IF(MOD((YEAR(EDATE(DATE(YEAR(TODAY()),MONTH(TODAY()),1),17))-YEAR(IF(ISNUMBER(Suppliers!F16),Suppliers!F16,DATE(YEAR(TODAY()),MONTH(TODAY()),1))))*12+MONTH(EDATE(DATE(YEAR(TODAY()),MONTH(TODAY()),1),17))-MONTH(IF(ISNUMBER(Suppliers!F16),Suppliers!F16,DATE(YEAR(TODAY()),MONTH(TODAY()),1))),12)=0,1,0),IF(Suppliers!E16="One-time",IF(17=0,1,0),1)))))),"")</f>
        <v/>
      </c>
      <c r="X18" s="10" t="str">
        <f ca="1">IFERROR(IF(OR(18&gt;=$B$1,Suppliers!A16="",NOT(ISNUMBER(Suppliers!D16)),Suppliers!L16="Expired",Suppliers!L16="Terminate"),"",Suppliers!D16*-1*IF(Suppliers!E16="Monthly",IF(AND(ISNUMBER(Suppliers!G16),(YEAR(EDATE(DATE(YEAR(TODAY()),MONTH(TODAY()),1),18))*12+MONTH(EDATE(DATE(YEAR(TODAY()),MONTH(TODAY()),1),18)))&gt;(YEAR(Suppliers!G16)*12+MONTH(Suppliers!G16))),"",1),IF(Suppliers!E16="Quarterly",IF(MOD((YEAR(EDATE(DATE(YEAR(TODAY()),MONTH(TODAY()),1),18))-YEAR(IF(ISNUMBER(Suppliers!F16),Suppliers!F16,DATE(YEAR(TODAY()),MONTH(TODAY()),1))))*12+MONTH(EDATE(DATE(YEAR(TODAY()),MONTH(TODAY()),1),18))-MONTH(IF(ISNUMBER(Suppliers!F16),Suppliers!F16,DATE(YEAR(TODAY()),MONTH(TODAY()),1))),3)=0,1,0),IF(Suppliers!E16="Semi-annual",IF(MOD((YEAR(EDATE(DATE(YEAR(TODAY()),MONTH(TODAY()),1),18))-YEAR(IF(ISNUMBER(Suppliers!F16),Suppliers!F16,DATE(YEAR(TODAY()),MONTH(TODAY()),1))))*12+MONTH(EDATE(DATE(YEAR(TODAY()),MONTH(TODAY()),1),18))-MONTH(IF(ISNUMBER(Suppliers!F16),Suppliers!F16,DATE(YEAR(TODAY()),MONTH(TODAY()),1))),6)=0,1,0),IF(Suppliers!E16="Annual",IF(MOD((YEAR(EDATE(DATE(YEAR(TODAY()),MONTH(TODAY()),1),18))-YEAR(IF(ISNUMBER(Suppliers!F16),Suppliers!F16,DATE(YEAR(TODAY()),MONTH(TODAY()),1))))*12+MONTH(EDATE(DATE(YEAR(TODAY()),MONTH(TODAY()),1),18))-MONTH(IF(ISNUMBER(Suppliers!F16),Suppliers!F16,DATE(YEAR(TODAY()),MONTH(TODAY()),1))),12)=0,1,0),IF(Suppliers!E16="One-time",IF(18=0,1,0),1)))))),"")</f>
        <v/>
      </c>
      <c r="Y18" s="10" t="str">
        <f ca="1">IFERROR(IF(OR(19&gt;=$B$1,Suppliers!A16="",NOT(ISNUMBER(Suppliers!D16)),Suppliers!L16="Expired",Suppliers!L16="Terminate"),"",Suppliers!D16*-1*IF(Suppliers!E16="Monthly",IF(AND(ISNUMBER(Suppliers!G16),(YEAR(EDATE(DATE(YEAR(TODAY()),MONTH(TODAY()),1),19))*12+MONTH(EDATE(DATE(YEAR(TODAY()),MONTH(TODAY()),1),19)))&gt;(YEAR(Suppliers!G16)*12+MONTH(Suppliers!G16))),"",1),IF(Suppliers!E16="Quarterly",IF(MOD((YEAR(EDATE(DATE(YEAR(TODAY()),MONTH(TODAY()),1),19))-YEAR(IF(ISNUMBER(Suppliers!F16),Suppliers!F16,DATE(YEAR(TODAY()),MONTH(TODAY()),1))))*12+MONTH(EDATE(DATE(YEAR(TODAY()),MONTH(TODAY()),1),19))-MONTH(IF(ISNUMBER(Suppliers!F16),Suppliers!F16,DATE(YEAR(TODAY()),MONTH(TODAY()),1))),3)=0,1,0),IF(Suppliers!E16="Semi-annual",IF(MOD((YEAR(EDATE(DATE(YEAR(TODAY()),MONTH(TODAY()),1),19))-YEAR(IF(ISNUMBER(Suppliers!F16),Suppliers!F16,DATE(YEAR(TODAY()),MONTH(TODAY()),1))))*12+MONTH(EDATE(DATE(YEAR(TODAY()),MONTH(TODAY()),1),19))-MONTH(IF(ISNUMBER(Suppliers!F16),Suppliers!F16,DATE(YEAR(TODAY()),MONTH(TODAY()),1))),6)=0,1,0),IF(Suppliers!E16="Annual",IF(MOD((YEAR(EDATE(DATE(YEAR(TODAY()),MONTH(TODAY()),1),19))-YEAR(IF(ISNUMBER(Suppliers!F16),Suppliers!F16,DATE(YEAR(TODAY()),MONTH(TODAY()),1))))*12+MONTH(EDATE(DATE(YEAR(TODAY()),MONTH(TODAY()),1),19))-MONTH(IF(ISNUMBER(Suppliers!F16),Suppliers!F16,DATE(YEAR(TODAY()),MONTH(TODAY()),1))),12)=0,1,0),IF(Suppliers!E16="One-time",IF(19=0,1,0),1)))))),"")</f>
        <v/>
      </c>
      <c r="Z18" s="10" t="str">
        <f ca="1">IFERROR(IF(OR(20&gt;=$B$1,Suppliers!A16="",NOT(ISNUMBER(Suppliers!D16)),Suppliers!L16="Expired",Suppliers!L16="Terminate"),"",Suppliers!D16*-1*IF(Suppliers!E16="Monthly",IF(AND(ISNUMBER(Suppliers!G16),(YEAR(EDATE(DATE(YEAR(TODAY()),MONTH(TODAY()),1),20))*12+MONTH(EDATE(DATE(YEAR(TODAY()),MONTH(TODAY()),1),20)))&gt;(YEAR(Suppliers!G16)*12+MONTH(Suppliers!G16))),"",1),IF(Suppliers!E16="Quarterly",IF(MOD((YEAR(EDATE(DATE(YEAR(TODAY()),MONTH(TODAY()),1),20))-YEAR(IF(ISNUMBER(Suppliers!F16),Suppliers!F16,DATE(YEAR(TODAY()),MONTH(TODAY()),1))))*12+MONTH(EDATE(DATE(YEAR(TODAY()),MONTH(TODAY()),1),20))-MONTH(IF(ISNUMBER(Suppliers!F16),Suppliers!F16,DATE(YEAR(TODAY()),MONTH(TODAY()),1))),3)=0,1,0),IF(Suppliers!E16="Semi-annual",IF(MOD((YEAR(EDATE(DATE(YEAR(TODAY()),MONTH(TODAY()),1),20))-YEAR(IF(ISNUMBER(Suppliers!F16),Suppliers!F16,DATE(YEAR(TODAY()),MONTH(TODAY()),1))))*12+MONTH(EDATE(DATE(YEAR(TODAY()),MONTH(TODAY()),1),20))-MONTH(IF(ISNUMBER(Suppliers!F16),Suppliers!F16,DATE(YEAR(TODAY()),MONTH(TODAY()),1))),6)=0,1,0),IF(Suppliers!E16="Annual",IF(MOD((YEAR(EDATE(DATE(YEAR(TODAY()),MONTH(TODAY()),1),20))-YEAR(IF(ISNUMBER(Suppliers!F16),Suppliers!F16,DATE(YEAR(TODAY()),MONTH(TODAY()),1))))*12+MONTH(EDATE(DATE(YEAR(TODAY()),MONTH(TODAY()),1),20))-MONTH(IF(ISNUMBER(Suppliers!F16),Suppliers!F16,DATE(YEAR(TODAY()),MONTH(TODAY()),1))),12)=0,1,0),IF(Suppliers!E16="One-time",IF(20=0,1,0),1)))))),"")</f>
        <v/>
      </c>
      <c r="AA18" s="10" t="str">
        <f ca="1">IFERROR(IF(OR(21&gt;=$B$1,Suppliers!A16="",NOT(ISNUMBER(Suppliers!D16)),Suppliers!L16="Expired",Suppliers!L16="Terminate"),"",Suppliers!D16*-1*IF(Suppliers!E16="Monthly",IF(AND(ISNUMBER(Suppliers!G16),(YEAR(EDATE(DATE(YEAR(TODAY()),MONTH(TODAY()),1),21))*12+MONTH(EDATE(DATE(YEAR(TODAY()),MONTH(TODAY()),1),21)))&gt;(YEAR(Suppliers!G16)*12+MONTH(Suppliers!G16))),"",1),IF(Suppliers!E16="Quarterly",IF(MOD((YEAR(EDATE(DATE(YEAR(TODAY()),MONTH(TODAY()),1),21))-YEAR(IF(ISNUMBER(Suppliers!F16),Suppliers!F16,DATE(YEAR(TODAY()),MONTH(TODAY()),1))))*12+MONTH(EDATE(DATE(YEAR(TODAY()),MONTH(TODAY()),1),21))-MONTH(IF(ISNUMBER(Suppliers!F16),Suppliers!F16,DATE(YEAR(TODAY()),MONTH(TODAY()),1))),3)=0,1,0),IF(Suppliers!E16="Semi-annual",IF(MOD((YEAR(EDATE(DATE(YEAR(TODAY()),MONTH(TODAY()),1),21))-YEAR(IF(ISNUMBER(Suppliers!F16),Suppliers!F16,DATE(YEAR(TODAY()),MONTH(TODAY()),1))))*12+MONTH(EDATE(DATE(YEAR(TODAY()),MONTH(TODAY()),1),21))-MONTH(IF(ISNUMBER(Suppliers!F16),Suppliers!F16,DATE(YEAR(TODAY()),MONTH(TODAY()),1))),6)=0,1,0),IF(Suppliers!E16="Annual",IF(MOD((YEAR(EDATE(DATE(YEAR(TODAY()),MONTH(TODAY()),1),21))-YEAR(IF(ISNUMBER(Suppliers!F16),Suppliers!F16,DATE(YEAR(TODAY()),MONTH(TODAY()),1))))*12+MONTH(EDATE(DATE(YEAR(TODAY()),MONTH(TODAY()),1),21))-MONTH(IF(ISNUMBER(Suppliers!F16),Suppliers!F16,DATE(YEAR(TODAY()),MONTH(TODAY()),1))),12)=0,1,0),IF(Suppliers!E16="One-time",IF(21=0,1,0),1)))))),"")</f>
        <v/>
      </c>
      <c r="AB18" s="10" t="str">
        <f ca="1">IFERROR(IF(OR(22&gt;=$B$1,Suppliers!A16="",NOT(ISNUMBER(Suppliers!D16)),Suppliers!L16="Expired",Suppliers!L16="Terminate"),"",Suppliers!D16*-1*IF(Suppliers!E16="Monthly",IF(AND(ISNUMBER(Suppliers!G16),(YEAR(EDATE(DATE(YEAR(TODAY()),MONTH(TODAY()),1),22))*12+MONTH(EDATE(DATE(YEAR(TODAY()),MONTH(TODAY()),1),22)))&gt;(YEAR(Suppliers!G16)*12+MONTH(Suppliers!G16))),"",1),IF(Suppliers!E16="Quarterly",IF(MOD((YEAR(EDATE(DATE(YEAR(TODAY()),MONTH(TODAY()),1),22))-YEAR(IF(ISNUMBER(Suppliers!F16),Suppliers!F16,DATE(YEAR(TODAY()),MONTH(TODAY()),1))))*12+MONTH(EDATE(DATE(YEAR(TODAY()),MONTH(TODAY()),1),22))-MONTH(IF(ISNUMBER(Suppliers!F16),Suppliers!F16,DATE(YEAR(TODAY()),MONTH(TODAY()),1))),3)=0,1,0),IF(Suppliers!E16="Semi-annual",IF(MOD((YEAR(EDATE(DATE(YEAR(TODAY()),MONTH(TODAY()),1),22))-YEAR(IF(ISNUMBER(Suppliers!F16),Suppliers!F16,DATE(YEAR(TODAY()),MONTH(TODAY()),1))))*12+MONTH(EDATE(DATE(YEAR(TODAY()),MONTH(TODAY()),1),22))-MONTH(IF(ISNUMBER(Suppliers!F16),Suppliers!F16,DATE(YEAR(TODAY()),MONTH(TODAY()),1))),6)=0,1,0),IF(Suppliers!E16="Annual",IF(MOD((YEAR(EDATE(DATE(YEAR(TODAY()),MONTH(TODAY()),1),22))-YEAR(IF(ISNUMBER(Suppliers!F16),Suppliers!F16,DATE(YEAR(TODAY()),MONTH(TODAY()),1))))*12+MONTH(EDATE(DATE(YEAR(TODAY()),MONTH(TODAY()),1),22))-MONTH(IF(ISNUMBER(Suppliers!F16),Suppliers!F16,DATE(YEAR(TODAY()),MONTH(TODAY()),1))),12)=0,1,0),IF(Suppliers!E16="One-time",IF(22=0,1,0),1)))))),"")</f>
        <v/>
      </c>
      <c r="AC18" s="10" t="str">
        <f ca="1">IFERROR(IF(OR(23&gt;=$B$1,Suppliers!A16="",NOT(ISNUMBER(Suppliers!D16)),Suppliers!L16="Expired",Suppliers!L16="Terminate"),"",Suppliers!D16*-1*IF(Suppliers!E16="Monthly",IF(AND(ISNUMBER(Suppliers!G16),(YEAR(EDATE(DATE(YEAR(TODAY()),MONTH(TODAY()),1),23))*12+MONTH(EDATE(DATE(YEAR(TODAY()),MONTH(TODAY()),1),23)))&gt;(YEAR(Suppliers!G16)*12+MONTH(Suppliers!G16))),"",1),IF(Suppliers!E16="Quarterly",IF(MOD((YEAR(EDATE(DATE(YEAR(TODAY()),MONTH(TODAY()),1),23))-YEAR(IF(ISNUMBER(Suppliers!F16),Suppliers!F16,DATE(YEAR(TODAY()),MONTH(TODAY()),1))))*12+MONTH(EDATE(DATE(YEAR(TODAY()),MONTH(TODAY()),1),23))-MONTH(IF(ISNUMBER(Suppliers!F16),Suppliers!F16,DATE(YEAR(TODAY()),MONTH(TODAY()),1))),3)=0,1,0),IF(Suppliers!E16="Semi-annual",IF(MOD((YEAR(EDATE(DATE(YEAR(TODAY()),MONTH(TODAY()),1),23))-YEAR(IF(ISNUMBER(Suppliers!F16),Suppliers!F16,DATE(YEAR(TODAY()),MONTH(TODAY()),1))))*12+MONTH(EDATE(DATE(YEAR(TODAY()),MONTH(TODAY()),1),23))-MONTH(IF(ISNUMBER(Suppliers!F16),Suppliers!F16,DATE(YEAR(TODAY()),MONTH(TODAY()),1))),6)=0,1,0),IF(Suppliers!E16="Annual",IF(MOD((YEAR(EDATE(DATE(YEAR(TODAY()),MONTH(TODAY()),1),23))-YEAR(IF(ISNUMBER(Suppliers!F16),Suppliers!F16,DATE(YEAR(TODAY()),MONTH(TODAY()),1))))*12+MONTH(EDATE(DATE(YEAR(TODAY()),MONTH(TODAY()),1),23))-MONTH(IF(ISNUMBER(Suppliers!F16),Suppliers!F16,DATE(YEAR(TODAY()),MONTH(TODAY()),1))),12)=0,1,0),IF(Suppliers!E16="One-time",IF(23=0,1,0),1)))))),"")</f>
        <v/>
      </c>
    </row>
    <row r="19" spans="1:29" ht="15" customHeight="1" x14ac:dyDescent="0.35">
      <c r="A19" s="4" t="s">
        <v>80</v>
      </c>
      <c r="B19" s="4" t="str">
        <f>IF(Suppliers!A17="","",Suppliers!A17)</f>
        <v>Pi Logistics AG</v>
      </c>
      <c r="C19" s="10">
        <f>IF(Suppliers!C17="","",Suppliers!C17)</f>
        <v>336.13</v>
      </c>
      <c r="D19" s="10">
        <f>IF(Suppliers!D17="","",Suppliers!D17)</f>
        <v>400</v>
      </c>
      <c r="E19" s="4" t="str">
        <f>IF(Suppliers!E17="","",Suppliers!E17)</f>
        <v>Monthly</v>
      </c>
      <c r="F19" s="10">
        <f ca="1">IFERROR(IF(OR(0&gt;=$B$1,Suppliers!A17="",NOT(ISNUMBER(Suppliers!D17)),Suppliers!L17="Expired",Suppliers!L17="Terminate"),"",Suppliers!D17*-1*IF(Suppliers!E17="Monthly",IF(AND(ISNUMBER(Suppliers!G17),(YEAR(EDATE(DATE(YEAR(TODAY()),MONTH(TODAY()),1),0))*12+MONTH(EDATE(DATE(YEAR(TODAY()),MONTH(TODAY()),1),0)))&gt;(YEAR(Suppliers!G17)*12+MONTH(Suppliers!G17))),"",1),IF(Suppliers!E17="Quarterly",IF(MOD((YEAR(EDATE(DATE(YEAR(TODAY()),MONTH(TODAY()),1),0))-YEAR(IF(ISNUMBER(Suppliers!F17),Suppliers!F17,DATE(YEAR(TODAY()),MONTH(TODAY()),1))))*12+MONTH(EDATE(DATE(YEAR(TODAY()),MONTH(TODAY()),1),0))-MONTH(IF(ISNUMBER(Suppliers!F17),Suppliers!F17,DATE(YEAR(TODAY()),MONTH(TODAY()),1))),3)=0,1,0),IF(Suppliers!E17="Semi-annual",IF(MOD((YEAR(EDATE(DATE(YEAR(TODAY()),MONTH(TODAY()),1),0))-YEAR(IF(ISNUMBER(Suppliers!F17),Suppliers!F17,DATE(YEAR(TODAY()),MONTH(TODAY()),1))))*12+MONTH(EDATE(DATE(YEAR(TODAY()),MONTH(TODAY()),1),0))-MONTH(IF(ISNUMBER(Suppliers!F17),Suppliers!F17,DATE(YEAR(TODAY()),MONTH(TODAY()),1))),6)=0,1,0),IF(Suppliers!E17="Annual",IF(MOD((YEAR(EDATE(DATE(YEAR(TODAY()),MONTH(TODAY()),1),0))-YEAR(IF(ISNUMBER(Suppliers!F17),Suppliers!F17,DATE(YEAR(TODAY()),MONTH(TODAY()),1))))*12+MONTH(EDATE(DATE(YEAR(TODAY()),MONTH(TODAY()),1),0))-MONTH(IF(ISNUMBER(Suppliers!F17),Suppliers!F17,DATE(YEAR(TODAY()),MONTH(TODAY()),1))),12)=0,1,0),IF(Suppliers!E17="One-time",IF(0=0,1,0),1)))))),"")</f>
        <v>-400</v>
      </c>
      <c r="G19" s="10">
        <f ca="1">IFERROR(IF(OR(1&gt;=$B$1,Suppliers!A17="",NOT(ISNUMBER(Suppliers!D17)),Suppliers!L17="Expired",Suppliers!L17="Terminate"),"",Suppliers!D17*-1*IF(Suppliers!E17="Monthly",IF(AND(ISNUMBER(Suppliers!G17),(YEAR(EDATE(DATE(YEAR(TODAY()),MONTH(TODAY()),1),1))*12+MONTH(EDATE(DATE(YEAR(TODAY()),MONTH(TODAY()),1),1)))&gt;(YEAR(Suppliers!G17)*12+MONTH(Suppliers!G17))),"",1),IF(Suppliers!E17="Quarterly",IF(MOD((YEAR(EDATE(DATE(YEAR(TODAY()),MONTH(TODAY()),1),1))-YEAR(IF(ISNUMBER(Suppliers!F17),Suppliers!F17,DATE(YEAR(TODAY()),MONTH(TODAY()),1))))*12+MONTH(EDATE(DATE(YEAR(TODAY()),MONTH(TODAY()),1),1))-MONTH(IF(ISNUMBER(Suppliers!F17),Suppliers!F17,DATE(YEAR(TODAY()),MONTH(TODAY()),1))),3)=0,1,0),IF(Suppliers!E17="Semi-annual",IF(MOD((YEAR(EDATE(DATE(YEAR(TODAY()),MONTH(TODAY()),1),1))-YEAR(IF(ISNUMBER(Suppliers!F17),Suppliers!F17,DATE(YEAR(TODAY()),MONTH(TODAY()),1))))*12+MONTH(EDATE(DATE(YEAR(TODAY()),MONTH(TODAY()),1),1))-MONTH(IF(ISNUMBER(Suppliers!F17),Suppliers!F17,DATE(YEAR(TODAY()),MONTH(TODAY()),1))),6)=0,1,0),IF(Suppliers!E17="Annual",IF(MOD((YEAR(EDATE(DATE(YEAR(TODAY()),MONTH(TODAY()),1),1))-YEAR(IF(ISNUMBER(Suppliers!F17),Suppliers!F17,DATE(YEAR(TODAY()),MONTH(TODAY()),1))))*12+MONTH(EDATE(DATE(YEAR(TODAY()),MONTH(TODAY()),1),1))-MONTH(IF(ISNUMBER(Suppliers!F17),Suppliers!F17,DATE(YEAR(TODAY()),MONTH(TODAY()),1))),12)=0,1,0),IF(Suppliers!E17="One-time",IF(1=0,1,0),1)))))),"")</f>
        <v>-400</v>
      </c>
      <c r="H19" s="10">
        <f ca="1">IFERROR(IF(OR(2&gt;=$B$1,Suppliers!A17="",NOT(ISNUMBER(Suppliers!D17)),Suppliers!L17="Expired",Suppliers!L17="Terminate"),"",Suppliers!D17*-1*IF(Suppliers!E17="Monthly",IF(AND(ISNUMBER(Suppliers!G17),(YEAR(EDATE(DATE(YEAR(TODAY()),MONTH(TODAY()),1),2))*12+MONTH(EDATE(DATE(YEAR(TODAY()),MONTH(TODAY()),1),2)))&gt;(YEAR(Suppliers!G17)*12+MONTH(Suppliers!G17))),"",1),IF(Suppliers!E17="Quarterly",IF(MOD((YEAR(EDATE(DATE(YEAR(TODAY()),MONTH(TODAY()),1),2))-YEAR(IF(ISNUMBER(Suppliers!F17),Suppliers!F17,DATE(YEAR(TODAY()),MONTH(TODAY()),1))))*12+MONTH(EDATE(DATE(YEAR(TODAY()),MONTH(TODAY()),1),2))-MONTH(IF(ISNUMBER(Suppliers!F17),Suppliers!F17,DATE(YEAR(TODAY()),MONTH(TODAY()),1))),3)=0,1,0),IF(Suppliers!E17="Semi-annual",IF(MOD((YEAR(EDATE(DATE(YEAR(TODAY()),MONTH(TODAY()),1),2))-YEAR(IF(ISNUMBER(Suppliers!F17),Suppliers!F17,DATE(YEAR(TODAY()),MONTH(TODAY()),1))))*12+MONTH(EDATE(DATE(YEAR(TODAY()),MONTH(TODAY()),1),2))-MONTH(IF(ISNUMBER(Suppliers!F17),Suppliers!F17,DATE(YEAR(TODAY()),MONTH(TODAY()),1))),6)=0,1,0),IF(Suppliers!E17="Annual",IF(MOD((YEAR(EDATE(DATE(YEAR(TODAY()),MONTH(TODAY()),1),2))-YEAR(IF(ISNUMBER(Suppliers!F17),Suppliers!F17,DATE(YEAR(TODAY()),MONTH(TODAY()),1))))*12+MONTH(EDATE(DATE(YEAR(TODAY()),MONTH(TODAY()),1),2))-MONTH(IF(ISNUMBER(Suppliers!F17),Suppliers!F17,DATE(YEAR(TODAY()),MONTH(TODAY()),1))),12)=0,1,0),IF(Suppliers!E17="One-time",IF(2=0,1,0),1)))))),"")</f>
        <v>-400</v>
      </c>
      <c r="I19" s="10" t="str">
        <f ca="1">IFERROR(IF(OR(3&gt;=$B$1,Suppliers!A17="",NOT(ISNUMBER(Suppliers!D17)),Suppliers!L17="Expired",Suppliers!L17="Terminate"),"",Suppliers!D17*-1*IF(Suppliers!E17="Monthly",IF(AND(ISNUMBER(Suppliers!G17),(YEAR(EDATE(DATE(YEAR(TODAY()),MONTH(TODAY()),1),3))*12+MONTH(EDATE(DATE(YEAR(TODAY()),MONTH(TODAY()),1),3)))&gt;(YEAR(Suppliers!G17)*12+MONTH(Suppliers!G17))),"",1),IF(Suppliers!E17="Quarterly",IF(MOD((YEAR(EDATE(DATE(YEAR(TODAY()),MONTH(TODAY()),1),3))-YEAR(IF(ISNUMBER(Suppliers!F17),Suppliers!F17,DATE(YEAR(TODAY()),MONTH(TODAY()),1))))*12+MONTH(EDATE(DATE(YEAR(TODAY()),MONTH(TODAY()),1),3))-MONTH(IF(ISNUMBER(Suppliers!F17),Suppliers!F17,DATE(YEAR(TODAY()),MONTH(TODAY()),1))),3)=0,1,0),IF(Suppliers!E17="Semi-annual",IF(MOD((YEAR(EDATE(DATE(YEAR(TODAY()),MONTH(TODAY()),1),3))-YEAR(IF(ISNUMBER(Suppliers!F17),Suppliers!F17,DATE(YEAR(TODAY()),MONTH(TODAY()),1))))*12+MONTH(EDATE(DATE(YEAR(TODAY()),MONTH(TODAY()),1),3))-MONTH(IF(ISNUMBER(Suppliers!F17),Suppliers!F17,DATE(YEAR(TODAY()),MONTH(TODAY()),1))),6)=0,1,0),IF(Suppliers!E17="Annual",IF(MOD((YEAR(EDATE(DATE(YEAR(TODAY()),MONTH(TODAY()),1),3))-YEAR(IF(ISNUMBER(Suppliers!F17),Suppliers!F17,DATE(YEAR(TODAY()),MONTH(TODAY()),1))))*12+MONTH(EDATE(DATE(YEAR(TODAY()),MONTH(TODAY()),1),3))-MONTH(IF(ISNUMBER(Suppliers!F17),Suppliers!F17,DATE(YEAR(TODAY()),MONTH(TODAY()),1))),12)=0,1,0),IF(Suppliers!E17="One-time",IF(3=0,1,0),1)))))),"")</f>
        <v/>
      </c>
      <c r="J19" s="10" t="str">
        <f ca="1">IFERROR(IF(OR(4&gt;=$B$1,Suppliers!A17="",NOT(ISNUMBER(Suppliers!D17)),Suppliers!L17="Expired",Suppliers!L17="Terminate"),"",Suppliers!D17*-1*IF(Suppliers!E17="Monthly",IF(AND(ISNUMBER(Suppliers!G17),(YEAR(EDATE(DATE(YEAR(TODAY()),MONTH(TODAY()),1),4))*12+MONTH(EDATE(DATE(YEAR(TODAY()),MONTH(TODAY()),1),4)))&gt;(YEAR(Suppliers!G17)*12+MONTH(Suppliers!G17))),"",1),IF(Suppliers!E17="Quarterly",IF(MOD((YEAR(EDATE(DATE(YEAR(TODAY()),MONTH(TODAY()),1),4))-YEAR(IF(ISNUMBER(Suppliers!F17),Suppliers!F17,DATE(YEAR(TODAY()),MONTH(TODAY()),1))))*12+MONTH(EDATE(DATE(YEAR(TODAY()),MONTH(TODAY()),1),4))-MONTH(IF(ISNUMBER(Suppliers!F17),Suppliers!F17,DATE(YEAR(TODAY()),MONTH(TODAY()),1))),3)=0,1,0),IF(Suppliers!E17="Semi-annual",IF(MOD((YEAR(EDATE(DATE(YEAR(TODAY()),MONTH(TODAY()),1),4))-YEAR(IF(ISNUMBER(Suppliers!F17),Suppliers!F17,DATE(YEAR(TODAY()),MONTH(TODAY()),1))))*12+MONTH(EDATE(DATE(YEAR(TODAY()),MONTH(TODAY()),1),4))-MONTH(IF(ISNUMBER(Suppliers!F17),Suppliers!F17,DATE(YEAR(TODAY()),MONTH(TODAY()),1))),6)=0,1,0),IF(Suppliers!E17="Annual",IF(MOD((YEAR(EDATE(DATE(YEAR(TODAY()),MONTH(TODAY()),1),4))-YEAR(IF(ISNUMBER(Suppliers!F17),Suppliers!F17,DATE(YEAR(TODAY()),MONTH(TODAY()),1))))*12+MONTH(EDATE(DATE(YEAR(TODAY()),MONTH(TODAY()),1),4))-MONTH(IF(ISNUMBER(Suppliers!F17),Suppliers!F17,DATE(YEAR(TODAY()),MONTH(TODAY()),1))),12)=0,1,0),IF(Suppliers!E17="One-time",IF(4=0,1,0),1)))))),"")</f>
        <v/>
      </c>
      <c r="K19" s="10" t="str">
        <f ca="1">IFERROR(IF(OR(5&gt;=$B$1,Suppliers!A17="",NOT(ISNUMBER(Suppliers!D17)),Suppliers!L17="Expired",Suppliers!L17="Terminate"),"",Suppliers!D17*-1*IF(Suppliers!E17="Monthly",IF(AND(ISNUMBER(Suppliers!G17),(YEAR(EDATE(DATE(YEAR(TODAY()),MONTH(TODAY()),1),5))*12+MONTH(EDATE(DATE(YEAR(TODAY()),MONTH(TODAY()),1),5)))&gt;(YEAR(Suppliers!G17)*12+MONTH(Suppliers!G17))),"",1),IF(Suppliers!E17="Quarterly",IF(MOD((YEAR(EDATE(DATE(YEAR(TODAY()),MONTH(TODAY()),1),5))-YEAR(IF(ISNUMBER(Suppliers!F17),Suppliers!F17,DATE(YEAR(TODAY()),MONTH(TODAY()),1))))*12+MONTH(EDATE(DATE(YEAR(TODAY()),MONTH(TODAY()),1),5))-MONTH(IF(ISNUMBER(Suppliers!F17),Suppliers!F17,DATE(YEAR(TODAY()),MONTH(TODAY()),1))),3)=0,1,0),IF(Suppliers!E17="Semi-annual",IF(MOD((YEAR(EDATE(DATE(YEAR(TODAY()),MONTH(TODAY()),1),5))-YEAR(IF(ISNUMBER(Suppliers!F17),Suppliers!F17,DATE(YEAR(TODAY()),MONTH(TODAY()),1))))*12+MONTH(EDATE(DATE(YEAR(TODAY()),MONTH(TODAY()),1),5))-MONTH(IF(ISNUMBER(Suppliers!F17),Suppliers!F17,DATE(YEAR(TODAY()),MONTH(TODAY()),1))),6)=0,1,0),IF(Suppliers!E17="Annual",IF(MOD((YEAR(EDATE(DATE(YEAR(TODAY()),MONTH(TODAY()),1),5))-YEAR(IF(ISNUMBER(Suppliers!F17),Suppliers!F17,DATE(YEAR(TODAY()),MONTH(TODAY()),1))))*12+MONTH(EDATE(DATE(YEAR(TODAY()),MONTH(TODAY()),1),5))-MONTH(IF(ISNUMBER(Suppliers!F17),Suppliers!F17,DATE(YEAR(TODAY()),MONTH(TODAY()),1))),12)=0,1,0),IF(Suppliers!E17="One-time",IF(5=0,1,0),1)))))),"")</f>
        <v/>
      </c>
      <c r="L19" s="10" t="str">
        <f ca="1">IFERROR(IF(OR(6&gt;=$B$1,Suppliers!A17="",NOT(ISNUMBER(Suppliers!D17)),Suppliers!L17="Expired",Suppliers!L17="Terminate"),"",Suppliers!D17*-1*IF(Suppliers!E17="Monthly",IF(AND(ISNUMBER(Suppliers!G17),(YEAR(EDATE(DATE(YEAR(TODAY()),MONTH(TODAY()),1),6))*12+MONTH(EDATE(DATE(YEAR(TODAY()),MONTH(TODAY()),1),6)))&gt;(YEAR(Suppliers!G17)*12+MONTH(Suppliers!G17))),"",1),IF(Suppliers!E17="Quarterly",IF(MOD((YEAR(EDATE(DATE(YEAR(TODAY()),MONTH(TODAY()),1),6))-YEAR(IF(ISNUMBER(Suppliers!F17),Suppliers!F17,DATE(YEAR(TODAY()),MONTH(TODAY()),1))))*12+MONTH(EDATE(DATE(YEAR(TODAY()),MONTH(TODAY()),1),6))-MONTH(IF(ISNUMBER(Suppliers!F17),Suppliers!F17,DATE(YEAR(TODAY()),MONTH(TODAY()),1))),3)=0,1,0),IF(Suppliers!E17="Semi-annual",IF(MOD((YEAR(EDATE(DATE(YEAR(TODAY()),MONTH(TODAY()),1),6))-YEAR(IF(ISNUMBER(Suppliers!F17),Suppliers!F17,DATE(YEAR(TODAY()),MONTH(TODAY()),1))))*12+MONTH(EDATE(DATE(YEAR(TODAY()),MONTH(TODAY()),1),6))-MONTH(IF(ISNUMBER(Suppliers!F17),Suppliers!F17,DATE(YEAR(TODAY()),MONTH(TODAY()),1))),6)=0,1,0),IF(Suppliers!E17="Annual",IF(MOD((YEAR(EDATE(DATE(YEAR(TODAY()),MONTH(TODAY()),1),6))-YEAR(IF(ISNUMBER(Suppliers!F17),Suppliers!F17,DATE(YEAR(TODAY()),MONTH(TODAY()),1))))*12+MONTH(EDATE(DATE(YEAR(TODAY()),MONTH(TODAY()),1),6))-MONTH(IF(ISNUMBER(Suppliers!F17),Suppliers!F17,DATE(YEAR(TODAY()),MONTH(TODAY()),1))),12)=0,1,0),IF(Suppliers!E17="One-time",IF(6=0,1,0),1)))))),"")</f>
        <v/>
      </c>
      <c r="M19" s="10" t="str">
        <f ca="1">IFERROR(IF(OR(7&gt;=$B$1,Suppliers!A17="",NOT(ISNUMBER(Suppliers!D17)),Suppliers!L17="Expired",Suppliers!L17="Terminate"),"",Suppliers!D17*-1*IF(Suppliers!E17="Monthly",IF(AND(ISNUMBER(Suppliers!G17),(YEAR(EDATE(DATE(YEAR(TODAY()),MONTH(TODAY()),1),7))*12+MONTH(EDATE(DATE(YEAR(TODAY()),MONTH(TODAY()),1),7)))&gt;(YEAR(Suppliers!G17)*12+MONTH(Suppliers!G17))),"",1),IF(Suppliers!E17="Quarterly",IF(MOD((YEAR(EDATE(DATE(YEAR(TODAY()),MONTH(TODAY()),1),7))-YEAR(IF(ISNUMBER(Suppliers!F17),Suppliers!F17,DATE(YEAR(TODAY()),MONTH(TODAY()),1))))*12+MONTH(EDATE(DATE(YEAR(TODAY()),MONTH(TODAY()),1),7))-MONTH(IF(ISNUMBER(Suppliers!F17),Suppliers!F17,DATE(YEAR(TODAY()),MONTH(TODAY()),1))),3)=0,1,0),IF(Suppliers!E17="Semi-annual",IF(MOD((YEAR(EDATE(DATE(YEAR(TODAY()),MONTH(TODAY()),1),7))-YEAR(IF(ISNUMBER(Suppliers!F17),Suppliers!F17,DATE(YEAR(TODAY()),MONTH(TODAY()),1))))*12+MONTH(EDATE(DATE(YEAR(TODAY()),MONTH(TODAY()),1),7))-MONTH(IF(ISNUMBER(Suppliers!F17),Suppliers!F17,DATE(YEAR(TODAY()),MONTH(TODAY()),1))),6)=0,1,0),IF(Suppliers!E17="Annual",IF(MOD((YEAR(EDATE(DATE(YEAR(TODAY()),MONTH(TODAY()),1),7))-YEAR(IF(ISNUMBER(Suppliers!F17),Suppliers!F17,DATE(YEAR(TODAY()),MONTH(TODAY()),1))))*12+MONTH(EDATE(DATE(YEAR(TODAY()),MONTH(TODAY()),1),7))-MONTH(IF(ISNUMBER(Suppliers!F17),Suppliers!F17,DATE(YEAR(TODAY()),MONTH(TODAY()),1))),12)=0,1,0),IF(Suppliers!E17="One-time",IF(7=0,1,0),1)))))),"")</f>
        <v/>
      </c>
      <c r="N19" s="10" t="str">
        <f ca="1">IFERROR(IF(OR(8&gt;=$B$1,Suppliers!A17="",NOT(ISNUMBER(Suppliers!D17)),Suppliers!L17="Expired",Suppliers!L17="Terminate"),"",Suppliers!D17*-1*IF(Suppliers!E17="Monthly",IF(AND(ISNUMBER(Suppliers!G17),(YEAR(EDATE(DATE(YEAR(TODAY()),MONTH(TODAY()),1),8))*12+MONTH(EDATE(DATE(YEAR(TODAY()),MONTH(TODAY()),1),8)))&gt;(YEAR(Suppliers!G17)*12+MONTH(Suppliers!G17))),"",1),IF(Suppliers!E17="Quarterly",IF(MOD((YEAR(EDATE(DATE(YEAR(TODAY()),MONTH(TODAY()),1),8))-YEAR(IF(ISNUMBER(Suppliers!F17),Suppliers!F17,DATE(YEAR(TODAY()),MONTH(TODAY()),1))))*12+MONTH(EDATE(DATE(YEAR(TODAY()),MONTH(TODAY()),1),8))-MONTH(IF(ISNUMBER(Suppliers!F17),Suppliers!F17,DATE(YEAR(TODAY()),MONTH(TODAY()),1))),3)=0,1,0),IF(Suppliers!E17="Semi-annual",IF(MOD((YEAR(EDATE(DATE(YEAR(TODAY()),MONTH(TODAY()),1),8))-YEAR(IF(ISNUMBER(Suppliers!F17),Suppliers!F17,DATE(YEAR(TODAY()),MONTH(TODAY()),1))))*12+MONTH(EDATE(DATE(YEAR(TODAY()),MONTH(TODAY()),1),8))-MONTH(IF(ISNUMBER(Suppliers!F17),Suppliers!F17,DATE(YEAR(TODAY()),MONTH(TODAY()),1))),6)=0,1,0),IF(Suppliers!E17="Annual",IF(MOD((YEAR(EDATE(DATE(YEAR(TODAY()),MONTH(TODAY()),1),8))-YEAR(IF(ISNUMBER(Suppliers!F17),Suppliers!F17,DATE(YEAR(TODAY()),MONTH(TODAY()),1))))*12+MONTH(EDATE(DATE(YEAR(TODAY()),MONTH(TODAY()),1),8))-MONTH(IF(ISNUMBER(Suppliers!F17),Suppliers!F17,DATE(YEAR(TODAY()),MONTH(TODAY()),1))),12)=0,1,0),IF(Suppliers!E17="One-time",IF(8=0,1,0),1)))))),"")</f>
        <v/>
      </c>
      <c r="O19" s="10" t="str">
        <f ca="1">IFERROR(IF(OR(9&gt;=$B$1,Suppliers!A17="",NOT(ISNUMBER(Suppliers!D17)),Suppliers!L17="Expired",Suppliers!L17="Terminate"),"",Suppliers!D17*-1*IF(Suppliers!E17="Monthly",IF(AND(ISNUMBER(Suppliers!G17),(YEAR(EDATE(DATE(YEAR(TODAY()),MONTH(TODAY()),1),9))*12+MONTH(EDATE(DATE(YEAR(TODAY()),MONTH(TODAY()),1),9)))&gt;(YEAR(Suppliers!G17)*12+MONTH(Suppliers!G17))),"",1),IF(Suppliers!E17="Quarterly",IF(MOD((YEAR(EDATE(DATE(YEAR(TODAY()),MONTH(TODAY()),1),9))-YEAR(IF(ISNUMBER(Suppliers!F17),Suppliers!F17,DATE(YEAR(TODAY()),MONTH(TODAY()),1))))*12+MONTH(EDATE(DATE(YEAR(TODAY()),MONTH(TODAY()),1),9))-MONTH(IF(ISNUMBER(Suppliers!F17),Suppliers!F17,DATE(YEAR(TODAY()),MONTH(TODAY()),1))),3)=0,1,0),IF(Suppliers!E17="Semi-annual",IF(MOD((YEAR(EDATE(DATE(YEAR(TODAY()),MONTH(TODAY()),1),9))-YEAR(IF(ISNUMBER(Suppliers!F17),Suppliers!F17,DATE(YEAR(TODAY()),MONTH(TODAY()),1))))*12+MONTH(EDATE(DATE(YEAR(TODAY()),MONTH(TODAY()),1),9))-MONTH(IF(ISNUMBER(Suppliers!F17),Suppliers!F17,DATE(YEAR(TODAY()),MONTH(TODAY()),1))),6)=0,1,0),IF(Suppliers!E17="Annual",IF(MOD((YEAR(EDATE(DATE(YEAR(TODAY()),MONTH(TODAY()),1),9))-YEAR(IF(ISNUMBER(Suppliers!F17),Suppliers!F17,DATE(YEAR(TODAY()),MONTH(TODAY()),1))))*12+MONTH(EDATE(DATE(YEAR(TODAY()),MONTH(TODAY()),1),9))-MONTH(IF(ISNUMBER(Suppliers!F17),Suppliers!F17,DATE(YEAR(TODAY()),MONTH(TODAY()),1))),12)=0,1,0),IF(Suppliers!E17="One-time",IF(9=0,1,0),1)))))),"")</f>
        <v/>
      </c>
      <c r="P19" s="10" t="str">
        <f ca="1">IFERROR(IF(OR(10&gt;=$B$1,Suppliers!A17="",NOT(ISNUMBER(Suppliers!D17)),Suppliers!L17="Expired",Suppliers!L17="Terminate"),"",Suppliers!D17*-1*IF(Suppliers!E17="Monthly",IF(AND(ISNUMBER(Suppliers!G17),(YEAR(EDATE(DATE(YEAR(TODAY()),MONTH(TODAY()),1),10))*12+MONTH(EDATE(DATE(YEAR(TODAY()),MONTH(TODAY()),1),10)))&gt;(YEAR(Suppliers!G17)*12+MONTH(Suppliers!G17))),"",1),IF(Suppliers!E17="Quarterly",IF(MOD((YEAR(EDATE(DATE(YEAR(TODAY()),MONTH(TODAY()),1),10))-YEAR(IF(ISNUMBER(Suppliers!F17),Suppliers!F17,DATE(YEAR(TODAY()),MONTH(TODAY()),1))))*12+MONTH(EDATE(DATE(YEAR(TODAY()),MONTH(TODAY()),1),10))-MONTH(IF(ISNUMBER(Suppliers!F17),Suppliers!F17,DATE(YEAR(TODAY()),MONTH(TODAY()),1))),3)=0,1,0),IF(Suppliers!E17="Semi-annual",IF(MOD((YEAR(EDATE(DATE(YEAR(TODAY()),MONTH(TODAY()),1),10))-YEAR(IF(ISNUMBER(Suppliers!F17),Suppliers!F17,DATE(YEAR(TODAY()),MONTH(TODAY()),1))))*12+MONTH(EDATE(DATE(YEAR(TODAY()),MONTH(TODAY()),1),10))-MONTH(IF(ISNUMBER(Suppliers!F17),Suppliers!F17,DATE(YEAR(TODAY()),MONTH(TODAY()),1))),6)=0,1,0),IF(Suppliers!E17="Annual",IF(MOD((YEAR(EDATE(DATE(YEAR(TODAY()),MONTH(TODAY()),1),10))-YEAR(IF(ISNUMBER(Suppliers!F17),Suppliers!F17,DATE(YEAR(TODAY()),MONTH(TODAY()),1))))*12+MONTH(EDATE(DATE(YEAR(TODAY()),MONTH(TODAY()),1),10))-MONTH(IF(ISNUMBER(Suppliers!F17),Suppliers!F17,DATE(YEAR(TODAY()),MONTH(TODAY()),1))),12)=0,1,0),IF(Suppliers!E17="One-time",IF(10=0,1,0),1)))))),"")</f>
        <v/>
      </c>
      <c r="Q19" s="10" t="str">
        <f ca="1">IFERROR(IF(OR(11&gt;=$B$1,Suppliers!A17="",NOT(ISNUMBER(Suppliers!D17)),Suppliers!L17="Expired",Suppliers!L17="Terminate"),"",Suppliers!D17*-1*IF(Suppliers!E17="Monthly",IF(AND(ISNUMBER(Suppliers!G17),(YEAR(EDATE(DATE(YEAR(TODAY()),MONTH(TODAY()),1),11))*12+MONTH(EDATE(DATE(YEAR(TODAY()),MONTH(TODAY()),1),11)))&gt;(YEAR(Suppliers!G17)*12+MONTH(Suppliers!G17))),"",1),IF(Suppliers!E17="Quarterly",IF(MOD((YEAR(EDATE(DATE(YEAR(TODAY()),MONTH(TODAY()),1),11))-YEAR(IF(ISNUMBER(Suppliers!F17),Suppliers!F17,DATE(YEAR(TODAY()),MONTH(TODAY()),1))))*12+MONTH(EDATE(DATE(YEAR(TODAY()),MONTH(TODAY()),1),11))-MONTH(IF(ISNUMBER(Suppliers!F17),Suppliers!F17,DATE(YEAR(TODAY()),MONTH(TODAY()),1))),3)=0,1,0),IF(Suppliers!E17="Semi-annual",IF(MOD((YEAR(EDATE(DATE(YEAR(TODAY()),MONTH(TODAY()),1),11))-YEAR(IF(ISNUMBER(Suppliers!F17),Suppliers!F17,DATE(YEAR(TODAY()),MONTH(TODAY()),1))))*12+MONTH(EDATE(DATE(YEAR(TODAY()),MONTH(TODAY()),1),11))-MONTH(IF(ISNUMBER(Suppliers!F17),Suppliers!F17,DATE(YEAR(TODAY()),MONTH(TODAY()),1))),6)=0,1,0),IF(Suppliers!E17="Annual",IF(MOD((YEAR(EDATE(DATE(YEAR(TODAY()),MONTH(TODAY()),1),11))-YEAR(IF(ISNUMBER(Suppliers!F17),Suppliers!F17,DATE(YEAR(TODAY()),MONTH(TODAY()),1))))*12+MONTH(EDATE(DATE(YEAR(TODAY()),MONTH(TODAY()),1),11))-MONTH(IF(ISNUMBER(Suppliers!F17),Suppliers!F17,DATE(YEAR(TODAY()),MONTH(TODAY()),1))),12)=0,1,0),IF(Suppliers!E17="One-time",IF(11=0,1,0),1)))))),"")</f>
        <v/>
      </c>
      <c r="R19" s="10" t="str">
        <f ca="1">IFERROR(IF(OR(12&gt;=$B$1,Suppliers!A17="",NOT(ISNUMBER(Suppliers!D17)),Suppliers!L17="Expired",Suppliers!L17="Terminate"),"",Suppliers!D17*-1*IF(Suppliers!E17="Monthly",IF(AND(ISNUMBER(Suppliers!G17),(YEAR(EDATE(DATE(YEAR(TODAY()),MONTH(TODAY()),1),12))*12+MONTH(EDATE(DATE(YEAR(TODAY()),MONTH(TODAY()),1),12)))&gt;(YEAR(Suppliers!G17)*12+MONTH(Suppliers!G17))),"",1),IF(Suppliers!E17="Quarterly",IF(MOD((YEAR(EDATE(DATE(YEAR(TODAY()),MONTH(TODAY()),1),12))-YEAR(IF(ISNUMBER(Suppliers!F17),Suppliers!F17,DATE(YEAR(TODAY()),MONTH(TODAY()),1))))*12+MONTH(EDATE(DATE(YEAR(TODAY()),MONTH(TODAY()),1),12))-MONTH(IF(ISNUMBER(Suppliers!F17),Suppliers!F17,DATE(YEAR(TODAY()),MONTH(TODAY()),1))),3)=0,1,0),IF(Suppliers!E17="Semi-annual",IF(MOD((YEAR(EDATE(DATE(YEAR(TODAY()),MONTH(TODAY()),1),12))-YEAR(IF(ISNUMBER(Suppliers!F17),Suppliers!F17,DATE(YEAR(TODAY()),MONTH(TODAY()),1))))*12+MONTH(EDATE(DATE(YEAR(TODAY()),MONTH(TODAY()),1),12))-MONTH(IF(ISNUMBER(Suppliers!F17),Suppliers!F17,DATE(YEAR(TODAY()),MONTH(TODAY()),1))),6)=0,1,0),IF(Suppliers!E17="Annual",IF(MOD((YEAR(EDATE(DATE(YEAR(TODAY()),MONTH(TODAY()),1),12))-YEAR(IF(ISNUMBER(Suppliers!F17),Suppliers!F17,DATE(YEAR(TODAY()),MONTH(TODAY()),1))))*12+MONTH(EDATE(DATE(YEAR(TODAY()),MONTH(TODAY()),1),12))-MONTH(IF(ISNUMBER(Suppliers!F17),Suppliers!F17,DATE(YEAR(TODAY()),MONTH(TODAY()),1))),12)=0,1,0),IF(Suppliers!E17="One-time",IF(12=0,1,0),1)))))),"")</f>
        <v/>
      </c>
      <c r="S19" s="10" t="str">
        <f ca="1">IFERROR(IF(OR(13&gt;=$B$1,Suppliers!A17="",NOT(ISNUMBER(Suppliers!D17)),Suppliers!L17="Expired",Suppliers!L17="Terminate"),"",Suppliers!D17*-1*IF(Suppliers!E17="Monthly",IF(AND(ISNUMBER(Suppliers!G17),(YEAR(EDATE(DATE(YEAR(TODAY()),MONTH(TODAY()),1),13))*12+MONTH(EDATE(DATE(YEAR(TODAY()),MONTH(TODAY()),1),13)))&gt;(YEAR(Suppliers!G17)*12+MONTH(Suppliers!G17))),"",1),IF(Suppliers!E17="Quarterly",IF(MOD((YEAR(EDATE(DATE(YEAR(TODAY()),MONTH(TODAY()),1),13))-YEAR(IF(ISNUMBER(Suppliers!F17),Suppliers!F17,DATE(YEAR(TODAY()),MONTH(TODAY()),1))))*12+MONTH(EDATE(DATE(YEAR(TODAY()),MONTH(TODAY()),1),13))-MONTH(IF(ISNUMBER(Suppliers!F17),Suppliers!F17,DATE(YEAR(TODAY()),MONTH(TODAY()),1))),3)=0,1,0),IF(Suppliers!E17="Semi-annual",IF(MOD((YEAR(EDATE(DATE(YEAR(TODAY()),MONTH(TODAY()),1),13))-YEAR(IF(ISNUMBER(Suppliers!F17),Suppliers!F17,DATE(YEAR(TODAY()),MONTH(TODAY()),1))))*12+MONTH(EDATE(DATE(YEAR(TODAY()),MONTH(TODAY()),1),13))-MONTH(IF(ISNUMBER(Suppliers!F17),Suppliers!F17,DATE(YEAR(TODAY()),MONTH(TODAY()),1))),6)=0,1,0),IF(Suppliers!E17="Annual",IF(MOD((YEAR(EDATE(DATE(YEAR(TODAY()),MONTH(TODAY()),1),13))-YEAR(IF(ISNUMBER(Suppliers!F17),Suppliers!F17,DATE(YEAR(TODAY()),MONTH(TODAY()),1))))*12+MONTH(EDATE(DATE(YEAR(TODAY()),MONTH(TODAY()),1),13))-MONTH(IF(ISNUMBER(Suppliers!F17),Suppliers!F17,DATE(YEAR(TODAY()),MONTH(TODAY()),1))),12)=0,1,0),IF(Suppliers!E17="One-time",IF(13=0,1,0),1)))))),"")</f>
        <v/>
      </c>
      <c r="T19" s="10" t="str">
        <f ca="1">IFERROR(IF(OR(14&gt;=$B$1,Suppliers!A17="",NOT(ISNUMBER(Suppliers!D17)),Suppliers!L17="Expired",Suppliers!L17="Terminate"),"",Suppliers!D17*-1*IF(Suppliers!E17="Monthly",IF(AND(ISNUMBER(Suppliers!G17),(YEAR(EDATE(DATE(YEAR(TODAY()),MONTH(TODAY()),1),14))*12+MONTH(EDATE(DATE(YEAR(TODAY()),MONTH(TODAY()),1),14)))&gt;(YEAR(Suppliers!G17)*12+MONTH(Suppliers!G17))),"",1),IF(Suppliers!E17="Quarterly",IF(MOD((YEAR(EDATE(DATE(YEAR(TODAY()),MONTH(TODAY()),1),14))-YEAR(IF(ISNUMBER(Suppliers!F17),Suppliers!F17,DATE(YEAR(TODAY()),MONTH(TODAY()),1))))*12+MONTH(EDATE(DATE(YEAR(TODAY()),MONTH(TODAY()),1),14))-MONTH(IF(ISNUMBER(Suppliers!F17),Suppliers!F17,DATE(YEAR(TODAY()),MONTH(TODAY()),1))),3)=0,1,0),IF(Suppliers!E17="Semi-annual",IF(MOD((YEAR(EDATE(DATE(YEAR(TODAY()),MONTH(TODAY()),1),14))-YEAR(IF(ISNUMBER(Suppliers!F17),Suppliers!F17,DATE(YEAR(TODAY()),MONTH(TODAY()),1))))*12+MONTH(EDATE(DATE(YEAR(TODAY()),MONTH(TODAY()),1),14))-MONTH(IF(ISNUMBER(Suppliers!F17),Suppliers!F17,DATE(YEAR(TODAY()),MONTH(TODAY()),1))),6)=0,1,0),IF(Suppliers!E17="Annual",IF(MOD((YEAR(EDATE(DATE(YEAR(TODAY()),MONTH(TODAY()),1),14))-YEAR(IF(ISNUMBER(Suppliers!F17),Suppliers!F17,DATE(YEAR(TODAY()),MONTH(TODAY()),1))))*12+MONTH(EDATE(DATE(YEAR(TODAY()),MONTH(TODAY()),1),14))-MONTH(IF(ISNUMBER(Suppliers!F17),Suppliers!F17,DATE(YEAR(TODAY()),MONTH(TODAY()),1))),12)=0,1,0),IF(Suppliers!E17="One-time",IF(14=0,1,0),1)))))),"")</f>
        <v/>
      </c>
      <c r="U19" s="10" t="str">
        <f ca="1">IFERROR(IF(OR(15&gt;=$B$1,Suppliers!A17="",NOT(ISNUMBER(Suppliers!D17)),Suppliers!L17="Expired",Suppliers!L17="Terminate"),"",Suppliers!D17*-1*IF(Suppliers!E17="Monthly",IF(AND(ISNUMBER(Suppliers!G17),(YEAR(EDATE(DATE(YEAR(TODAY()),MONTH(TODAY()),1),15))*12+MONTH(EDATE(DATE(YEAR(TODAY()),MONTH(TODAY()),1),15)))&gt;(YEAR(Suppliers!G17)*12+MONTH(Suppliers!G17))),"",1),IF(Suppliers!E17="Quarterly",IF(MOD((YEAR(EDATE(DATE(YEAR(TODAY()),MONTH(TODAY()),1),15))-YEAR(IF(ISNUMBER(Suppliers!F17),Suppliers!F17,DATE(YEAR(TODAY()),MONTH(TODAY()),1))))*12+MONTH(EDATE(DATE(YEAR(TODAY()),MONTH(TODAY()),1),15))-MONTH(IF(ISNUMBER(Suppliers!F17),Suppliers!F17,DATE(YEAR(TODAY()),MONTH(TODAY()),1))),3)=0,1,0),IF(Suppliers!E17="Semi-annual",IF(MOD((YEAR(EDATE(DATE(YEAR(TODAY()),MONTH(TODAY()),1),15))-YEAR(IF(ISNUMBER(Suppliers!F17),Suppliers!F17,DATE(YEAR(TODAY()),MONTH(TODAY()),1))))*12+MONTH(EDATE(DATE(YEAR(TODAY()),MONTH(TODAY()),1),15))-MONTH(IF(ISNUMBER(Suppliers!F17),Suppliers!F17,DATE(YEAR(TODAY()),MONTH(TODAY()),1))),6)=0,1,0),IF(Suppliers!E17="Annual",IF(MOD((YEAR(EDATE(DATE(YEAR(TODAY()),MONTH(TODAY()),1),15))-YEAR(IF(ISNUMBER(Suppliers!F17),Suppliers!F17,DATE(YEAR(TODAY()),MONTH(TODAY()),1))))*12+MONTH(EDATE(DATE(YEAR(TODAY()),MONTH(TODAY()),1),15))-MONTH(IF(ISNUMBER(Suppliers!F17),Suppliers!F17,DATE(YEAR(TODAY()),MONTH(TODAY()),1))),12)=0,1,0),IF(Suppliers!E17="One-time",IF(15=0,1,0),1)))))),"")</f>
        <v/>
      </c>
      <c r="V19" s="10" t="str">
        <f ca="1">IFERROR(IF(OR(16&gt;=$B$1,Suppliers!A17="",NOT(ISNUMBER(Suppliers!D17)),Suppliers!L17="Expired",Suppliers!L17="Terminate"),"",Suppliers!D17*-1*IF(Suppliers!E17="Monthly",IF(AND(ISNUMBER(Suppliers!G17),(YEAR(EDATE(DATE(YEAR(TODAY()),MONTH(TODAY()),1),16))*12+MONTH(EDATE(DATE(YEAR(TODAY()),MONTH(TODAY()),1),16)))&gt;(YEAR(Suppliers!G17)*12+MONTH(Suppliers!G17))),"",1),IF(Suppliers!E17="Quarterly",IF(MOD((YEAR(EDATE(DATE(YEAR(TODAY()),MONTH(TODAY()),1),16))-YEAR(IF(ISNUMBER(Suppliers!F17),Suppliers!F17,DATE(YEAR(TODAY()),MONTH(TODAY()),1))))*12+MONTH(EDATE(DATE(YEAR(TODAY()),MONTH(TODAY()),1),16))-MONTH(IF(ISNUMBER(Suppliers!F17),Suppliers!F17,DATE(YEAR(TODAY()),MONTH(TODAY()),1))),3)=0,1,0),IF(Suppliers!E17="Semi-annual",IF(MOD((YEAR(EDATE(DATE(YEAR(TODAY()),MONTH(TODAY()),1),16))-YEAR(IF(ISNUMBER(Suppliers!F17),Suppliers!F17,DATE(YEAR(TODAY()),MONTH(TODAY()),1))))*12+MONTH(EDATE(DATE(YEAR(TODAY()),MONTH(TODAY()),1),16))-MONTH(IF(ISNUMBER(Suppliers!F17),Suppliers!F17,DATE(YEAR(TODAY()),MONTH(TODAY()),1))),6)=0,1,0),IF(Suppliers!E17="Annual",IF(MOD((YEAR(EDATE(DATE(YEAR(TODAY()),MONTH(TODAY()),1),16))-YEAR(IF(ISNUMBER(Suppliers!F17),Suppliers!F17,DATE(YEAR(TODAY()),MONTH(TODAY()),1))))*12+MONTH(EDATE(DATE(YEAR(TODAY()),MONTH(TODAY()),1),16))-MONTH(IF(ISNUMBER(Suppliers!F17),Suppliers!F17,DATE(YEAR(TODAY()),MONTH(TODAY()),1))),12)=0,1,0),IF(Suppliers!E17="One-time",IF(16=0,1,0),1)))))),"")</f>
        <v/>
      </c>
      <c r="W19" s="10" t="str">
        <f ca="1">IFERROR(IF(OR(17&gt;=$B$1,Suppliers!A17="",NOT(ISNUMBER(Suppliers!D17)),Suppliers!L17="Expired",Suppliers!L17="Terminate"),"",Suppliers!D17*-1*IF(Suppliers!E17="Monthly",IF(AND(ISNUMBER(Suppliers!G17),(YEAR(EDATE(DATE(YEAR(TODAY()),MONTH(TODAY()),1),17))*12+MONTH(EDATE(DATE(YEAR(TODAY()),MONTH(TODAY()),1),17)))&gt;(YEAR(Suppliers!G17)*12+MONTH(Suppliers!G17))),"",1),IF(Suppliers!E17="Quarterly",IF(MOD((YEAR(EDATE(DATE(YEAR(TODAY()),MONTH(TODAY()),1),17))-YEAR(IF(ISNUMBER(Suppliers!F17),Suppliers!F17,DATE(YEAR(TODAY()),MONTH(TODAY()),1))))*12+MONTH(EDATE(DATE(YEAR(TODAY()),MONTH(TODAY()),1),17))-MONTH(IF(ISNUMBER(Suppliers!F17),Suppliers!F17,DATE(YEAR(TODAY()),MONTH(TODAY()),1))),3)=0,1,0),IF(Suppliers!E17="Semi-annual",IF(MOD((YEAR(EDATE(DATE(YEAR(TODAY()),MONTH(TODAY()),1),17))-YEAR(IF(ISNUMBER(Suppliers!F17),Suppliers!F17,DATE(YEAR(TODAY()),MONTH(TODAY()),1))))*12+MONTH(EDATE(DATE(YEAR(TODAY()),MONTH(TODAY()),1),17))-MONTH(IF(ISNUMBER(Suppliers!F17),Suppliers!F17,DATE(YEAR(TODAY()),MONTH(TODAY()),1))),6)=0,1,0),IF(Suppliers!E17="Annual",IF(MOD((YEAR(EDATE(DATE(YEAR(TODAY()),MONTH(TODAY()),1),17))-YEAR(IF(ISNUMBER(Suppliers!F17),Suppliers!F17,DATE(YEAR(TODAY()),MONTH(TODAY()),1))))*12+MONTH(EDATE(DATE(YEAR(TODAY()),MONTH(TODAY()),1),17))-MONTH(IF(ISNUMBER(Suppliers!F17),Suppliers!F17,DATE(YEAR(TODAY()),MONTH(TODAY()),1))),12)=0,1,0),IF(Suppliers!E17="One-time",IF(17=0,1,0),1)))))),"")</f>
        <v/>
      </c>
      <c r="X19" s="10" t="str">
        <f ca="1">IFERROR(IF(OR(18&gt;=$B$1,Suppliers!A17="",NOT(ISNUMBER(Suppliers!D17)),Suppliers!L17="Expired",Suppliers!L17="Terminate"),"",Suppliers!D17*-1*IF(Suppliers!E17="Monthly",IF(AND(ISNUMBER(Suppliers!G17),(YEAR(EDATE(DATE(YEAR(TODAY()),MONTH(TODAY()),1),18))*12+MONTH(EDATE(DATE(YEAR(TODAY()),MONTH(TODAY()),1),18)))&gt;(YEAR(Suppliers!G17)*12+MONTH(Suppliers!G17))),"",1),IF(Suppliers!E17="Quarterly",IF(MOD((YEAR(EDATE(DATE(YEAR(TODAY()),MONTH(TODAY()),1),18))-YEAR(IF(ISNUMBER(Suppliers!F17),Suppliers!F17,DATE(YEAR(TODAY()),MONTH(TODAY()),1))))*12+MONTH(EDATE(DATE(YEAR(TODAY()),MONTH(TODAY()),1),18))-MONTH(IF(ISNUMBER(Suppliers!F17),Suppliers!F17,DATE(YEAR(TODAY()),MONTH(TODAY()),1))),3)=0,1,0),IF(Suppliers!E17="Semi-annual",IF(MOD((YEAR(EDATE(DATE(YEAR(TODAY()),MONTH(TODAY()),1),18))-YEAR(IF(ISNUMBER(Suppliers!F17),Suppliers!F17,DATE(YEAR(TODAY()),MONTH(TODAY()),1))))*12+MONTH(EDATE(DATE(YEAR(TODAY()),MONTH(TODAY()),1),18))-MONTH(IF(ISNUMBER(Suppliers!F17),Suppliers!F17,DATE(YEAR(TODAY()),MONTH(TODAY()),1))),6)=0,1,0),IF(Suppliers!E17="Annual",IF(MOD((YEAR(EDATE(DATE(YEAR(TODAY()),MONTH(TODAY()),1),18))-YEAR(IF(ISNUMBER(Suppliers!F17),Suppliers!F17,DATE(YEAR(TODAY()),MONTH(TODAY()),1))))*12+MONTH(EDATE(DATE(YEAR(TODAY()),MONTH(TODAY()),1),18))-MONTH(IF(ISNUMBER(Suppliers!F17),Suppliers!F17,DATE(YEAR(TODAY()),MONTH(TODAY()),1))),12)=0,1,0),IF(Suppliers!E17="One-time",IF(18=0,1,0),1)))))),"")</f>
        <v/>
      </c>
      <c r="Y19" s="10" t="str">
        <f ca="1">IFERROR(IF(OR(19&gt;=$B$1,Suppliers!A17="",NOT(ISNUMBER(Suppliers!D17)),Suppliers!L17="Expired",Suppliers!L17="Terminate"),"",Suppliers!D17*-1*IF(Suppliers!E17="Monthly",IF(AND(ISNUMBER(Suppliers!G17),(YEAR(EDATE(DATE(YEAR(TODAY()),MONTH(TODAY()),1),19))*12+MONTH(EDATE(DATE(YEAR(TODAY()),MONTH(TODAY()),1),19)))&gt;(YEAR(Suppliers!G17)*12+MONTH(Suppliers!G17))),"",1),IF(Suppliers!E17="Quarterly",IF(MOD((YEAR(EDATE(DATE(YEAR(TODAY()),MONTH(TODAY()),1),19))-YEAR(IF(ISNUMBER(Suppliers!F17),Suppliers!F17,DATE(YEAR(TODAY()),MONTH(TODAY()),1))))*12+MONTH(EDATE(DATE(YEAR(TODAY()),MONTH(TODAY()),1),19))-MONTH(IF(ISNUMBER(Suppliers!F17),Suppliers!F17,DATE(YEAR(TODAY()),MONTH(TODAY()),1))),3)=0,1,0),IF(Suppliers!E17="Semi-annual",IF(MOD((YEAR(EDATE(DATE(YEAR(TODAY()),MONTH(TODAY()),1),19))-YEAR(IF(ISNUMBER(Suppliers!F17),Suppliers!F17,DATE(YEAR(TODAY()),MONTH(TODAY()),1))))*12+MONTH(EDATE(DATE(YEAR(TODAY()),MONTH(TODAY()),1),19))-MONTH(IF(ISNUMBER(Suppliers!F17),Suppliers!F17,DATE(YEAR(TODAY()),MONTH(TODAY()),1))),6)=0,1,0),IF(Suppliers!E17="Annual",IF(MOD((YEAR(EDATE(DATE(YEAR(TODAY()),MONTH(TODAY()),1),19))-YEAR(IF(ISNUMBER(Suppliers!F17),Suppliers!F17,DATE(YEAR(TODAY()),MONTH(TODAY()),1))))*12+MONTH(EDATE(DATE(YEAR(TODAY()),MONTH(TODAY()),1),19))-MONTH(IF(ISNUMBER(Suppliers!F17),Suppliers!F17,DATE(YEAR(TODAY()),MONTH(TODAY()),1))),12)=0,1,0),IF(Suppliers!E17="One-time",IF(19=0,1,0),1)))))),"")</f>
        <v/>
      </c>
      <c r="Z19" s="10" t="str">
        <f ca="1">IFERROR(IF(OR(20&gt;=$B$1,Suppliers!A17="",NOT(ISNUMBER(Suppliers!D17)),Suppliers!L17="Expired",Suppliers!L17="Terminate"),"",Suppliers!D17*-1*IF(Suppliers!E17="Monthly",IF(AND(ISNUMBER(Suppliers!G17),(YEAR(EDATE(DATE(YEAR(TODAY()),MONTH(TODAY()),1),20))*12+MONTH(EDATE(DATE(YEAR(TODAY()),MONTH(TODAY()),1),20)))&gt;(YEAR(Suppliers!G17)*12+MONTH(Suppliers!G17))),"",1),IF(Suppliers!E17="Quarterly",IF(MOD((YEAR(EDATE(DATE(YEAR(TODAY()),MONTH(TODAY()),1),20))-YEAR(IF(ISNUMBER(Suppliers!F17),Suppliers!F17,DATE(YEAR(TODAY()),MONTH(TODAY()),1))))*12+MONTH(EDATE(DATE(YEAR(TODAY()),MONTH(TODAY()),1),20))-MONTH(IF(ISNUMBER(Suppliers!F17),Suppliers!F17,DATE(YEAR(TODAY()),MONTH(TODAY()),1))),3)=0,1,0),IF(Suppliers!E17="Semi-annual",IF(MOD((YEAR(EDATE(DATE(YEAR(TODAY()),MONTH(TODAY()),1),20))-YEAR(IF(ISNUMBER(Suppliers!F17),Suppliers!F17,DATE(YEAR(TODAY()),MONTH(TODAY()),1))))*12+MONTH(EDATE(DATE(YEAR(TODAY()),MONTH(TODAY()),1),20))-MONTH(IF(ISNUMBER(Suppliers!F17),Suppliers!F17,DATE(YEAR(TODAY()),MONTH(TODAY()),1))),6)=0,1,0),IF(Suppliers!E17="Annual",IF(MOD((YEAR(EDATE(DATE(YEAR(TODAY()),MONTH(TODAY()),1),20))-YEAR(IF(ISNUMBER(Suppliers!F17),Suppliers!F17,DATE(YEAR(TODAY()),MONTH(TODAY()),1))))*12+MONTH(EDATE(DATE(YEAR(TODAY()),MONTH(TODAY()),1),20))-MONTH(IF(ISNUMBER(Suppliers!F17),Suppliers!F17,DATE(YEAR(TODAY()),MONTH(TODAY()),1))),12)=0,1,0),IF(Suppliers!E17="One-time",IF(20=0,1,0),1)))))),"")</f>
        <v/>
      </c>
      <c r="AA19" s="10" t="str">
        <f ca="1">IFERROR(IF(OR(21&gt;=$B$1,Suppliers!A17="",NOT(ISNUMBER(Suppliers!D17)),Suppliers!L17="Expired",Suppliers!L17="Terminate"),"",Suppliers!D17*-1*IF(Suppliers!E17="Monthly",IF(AND(ISNUMBER(Suppliers!G17),(YEAR(EDATE(DATE(YEAR(TODAY()),MONTH(TODAY()),1),21))*12+MONTH(EDATE(DATE(YEAR(TODAY()),MONTH(TODAY()),1),21)))&gt;(YEAR(Suppliers!G17)*12+MONTH(Suppliers!G17))),"",1),IF(Suppliers!E17="Quarterly",IF(MOD((YEAR(EDATE(DATE(YEAR(TODAY()),MONTH(TODAY()),1),21))-YEAR(IF(ISNUMBER(Suppliers!F17),Suppliers!F17,DATE(YEAR(TODAY()),MONTH(TODAY()),1))))*12+MONTH(EDATE(DATE(YEAR(TODAY()),MONTH(TODAY()),1),21))-MONTH(IF(ISNUMBER(Suppliers!F17),Suppliers!F17,DATE(YEAR(TODAY()),MONTH(TODAY()),1))),3)=0,1,0),IF(Suppliers!E17="Semi-annual",IF(MOD((YEAR(EDATE(DATE(YEAR(TODAY()),MONTH(TODAY()),1),21))-YEAR(IF(ISNUMBER(Suppliers!F17),Suppliers!F17,DATE(YEAR(TODAY()),MONTH(TODAY()),1))))*12+MONTH(EDATE(DATE(YEAR(TODAY()),MONTH(TODAY()),1),21))-MONTH(IF(ISNUMBER(Suppliers!F17),Suppliers!F17,DATE(YEAR(TODAY()),MONTH(TODAY()),1))),6)=0,1,0),IF(Suppliers!E17="Annual",IF(MOD((YEAR(EDATE(DATE(YEAR(TODAY()),MONTH(TODAY()),1),21))-YEAR(IF(ISNUMBER(Suppliers!F17),Suppliers!F17,DATE(YEAR(TODAY()),MONTH(TODAY()),1))))*12+MONTH(EDATE(DATE(YEAR(TODAY()),MONTH(TODAY()),1),21))-MONTH(IF(ISNUMBER(Suppliers!F17),Suppliers!F17,DATE(YEAR(TODAY()),MONTH(TODAY()),1))),12)=0,1,0),IF(Suppliers!E17="One-time",IF(21=0,1,0),1)))))),"")</f>
        <v/>
      </c>
      <c r="AB19" s="10" t="str">
        <f ca="1">IFERROR(IF(OR(22&gt;=$B$1,Suppliers!A17="",NOT(ISNUMBER(Suppliers!D17)),Suppliers!L17="Expired",Suppliers!L17="Terminate"),"",Suppliers!D17*-1*IF(Suppliers!E17="Monthly",IF(AND(ISNUMBER(Suppliers!G17),(YEAR(EDATE(DATE(YEAR(TODAY()),MONTH(TODAY()),1),22))*12+MONTH(EDATE(DATE(YEAR(TODAY()),MONTH(TODAY()),1),22)))&gt;(YEAR(Suppliers!G17)*12+MONTH(Suppliers!G17))),"",1),IF(Suppliers!E17="Quarterly",IF(MOD((YEAR(EDATE(DATE(YEAR(TODAY()),MONTH(TODAY()),1),22))-YEAR(IF(ISNUMBER(Suppliers!F17),Suppliers!F17,DATE(YEAR(TODAY()),MONTH(TODAY()),1))))*12+MONTH(EDATE(DATE(YEAR(TODAY()),MONTH(TODAY()),1),22))-MONTH(IF(ISNUMBER(Suppliers!F17),Suppliers!F17,DATE(YEAR(TODAY()),MONTH(TODAY()),1))),3)=0,1,0),IF(Suppliers!E17="Semi-annual",IF(MOD((YEAR(EDATE(DATE(YEAR(TODAY()),MONTH(TODAY()),1),22))-YEAR(IF(ISNUMBER(Suppliers!F17),Suppliers!F17,DATE(YEAR(TODAY()),MONTH(TODAY()),1))))*12+MONTH(EDATE(DATE(YEAR(TODAY()),MONTH(TODAY()),1),22))-MONTH(IF(ISNUMBER(Suppliers!F17),Suppliers!F17,DATE(YEAR(TODAY()),MONTH(TODAY()),1))),6)=0,1,0),IF(Suppliers!E17="Annual",IF(MOD((YEAR(EDATE(DATE(YEAR(TODAY()),MONTH(TODAY()),1),22))-YEAR(IF(ISNUMBER(Suppliers!F17),Suppliers!F17,DATE(YEAR(TODAY()),MONTH(TODAY()),1))))*12+MONTH(EDATE(DATE(YEAR(TODAY()),MONTH(TODAY()),1),22))-MONTH(IF(ISNUMBER(Suppliers!F17),Suppliers!F17,DATE(YEAR(TODAY()),MONTH(TODAY()),1))),12)=0,1,0),IF(Suppliers!E17="One-time",IF(22=0,1,0),1)))))),"")</f>
        <v/>
      </c>
      <c r="AC19" s="10" t="str">
        <f ca="1">IFERROR(IF(OR(23&gt;=$B$1,Suppliers!A17="",NOT(ISNUMBER(Suppliers!D17)),Suppliers!L17="Expired",Suppliers!L17="Terminate"),"",Suppliers!D17*-1*IF(Suppliers!E17="Monthly",IF(AND(ISNUMBER(Suppliers!G17),(YEAR(EDATE(DATE(YEAR(TODAY()),MONTH(TODAY()),1),23))*12+MONTH(EDATE(DATE(YEAR(TODAY()),MONTH(TODAY()),1),23)))&gt;(YEAR(Suppliers!G17)*12+MONTH(Suppliers!G17))),"",1),IF(Suppliers!E17="Quarterly",IF(MOD((YEAR(EDATE(DATE(YEAR(TODAY()),MONTH(TODAY()),1),23))-YEAR(IF(ISNUMBER(Suppliers!F17),Suppliers!F17,DATE(YEAR(TODAY()),MONTH(TODAY()),1))))*12+MONTH(EDATE(DATE(YEAR(TODAY()),MONTH(TODAY()),1),23))-MONTH(IF(ISNUMBER(Suppliers!F17),Suppliers!F17,DATE(YEAR(TODAY()),MONTH(TODAY()),1))),3)=0,1,0),IF(Suppliers!E17="Semi-annual",IF(MOD((YEAR(EDATE(DATE(YEAR(TODAY()),MONTH(TODAY()),1),23))-YEAR(IF(ISNUMBER(Suppliers!F17),Suppliers!F17,DATE(YEAR(TODAY()),MONTH(TODAY()),1))))*12+MONTH(EDATE(DATE(YEAR(TODAY()),MONTH(TODAY()),1),23))-MONTH(IF(ISNUMBER(Suppliers!F17),Suppliers!F17,DATE(YEAR(TODAY()),MONTH(TODAY()),1))),6)=0,1,0),IF(Suppliers!E17="Annual",IF(MOD((YEAR(EDATE(DATE(YEAR(TODAY()),MONTH(TODAY()),1),23))-YEAR(IF(ISNUMBER(Suppliers!F17),Suppliers!F17,DATE(YEAR(TODAY()),MONTH(TODAY()),1))))*12+MONTH(EDATE(DATE(YEAR(TODAY()),MONTH(TODAY()),1),23))-MONTH(IF(ISNUMBER(Suppliers!F17),Suppliers!F17,DATE(YEAR(TODAY()),MONTH(TODAY()),1))),12)=0,1,0),IF(Suppliers!E17="One-time",IF(23=0,1,0),1)))))),"")</f>
        <v/>
      </c>
    </row>
    <row r="20" spans="1:29" ht="15" customHeight="1" x14ac:dyDescent="0.35">
      <c r="A20" s="4" t="s">
        <v>80</v>
      </c>
      <c r="B20" s="4" t="str">
        <f>IF(Suppliers!A18="","",Suppliers!A18)</f>
        <v>Rho Pension Fund</v>
      </c>
      <c r="C20" s="10" t="str">
        <f>IF(Suppliers!C18="","",Suppliers!C18)</f>
        <v/>
      </c>
      <c r="D20" s="10" t="str">
        <f>IF(Suppliers!D18="","",Suppliers!D18)</f>
        <v/>
      </c>
      <c r="E20" s="4" t="str">
        <f>IF(Suppliers!E18="","",Suppliers!E18)</f>
        <v>Monthly</v>
      </c>
      <c r="F20" s="10" t="str">
        <f ca="1">IFERROR(IF(OR(0&gt;=$B$1,Suppliers!A18="",NOT(ISNUMBER(Suppliers!D18)),Suppliers!L18="Expired",Suppliers!L18="Terminate"),"",Suppliers!D18*-1*IF(Suppliers!E18="Monthly",IF(AND(ISNUMBER(Suppliers!G18),(YEAR(EDATE(DATE(YEAR(TODAY()),MONTH(TODAY()),1),0))*12+MONTH(EDATE(DATE(YEAR(TODAY()),MONTH(TODAY()),1),0)))&gt;(YEAR(Suppliers!G18)*12+MONTH(Suppliers!G18))),"",1),IF(Suppliers!E18="Quarterly",IF(MOD((YEAR(EDATE(DATE(YEAR(TODAY()),MONTH(TODAY()),1),0))-YEAR(IF(ISNUMBER(Suppliers!F18),Suppliers!F18,DATE(YEAR(TODAY()),MONTH(TODAY()),1))))*12+MONTH(EDATE(DATE(YEAR(TODAY()),MONTH(TODAY()),1),0))-MONTH(IF(ISNUMBER(Suppliers!F18),Suppliers!F18,DATE(YEAR(TODAY()),MONTH(TODAY()),1))),3)=0,1,0),IF(Suppliers!E18="Semi-annual",IF(MOD((YEAR(EDATE(DATE(YEAR(TODAY()),MONTH(TODAY()),1),0))-YEAR(IF(ISNUMBER(Suppliers!F18),Suppliers!F18,DATE(YEAR(TODAY()),MONTH(TODAY()),1))))*12+MONTH(EDATE(DATE(YEAR(TODAY()),MONTH(TODAY()),1),0))-MONTH(IF(ISNUMBER(Suppliers!F18),Suppliers!F18,DATE(YEAR(TODAY()),MONTH(TODAY()),1))),6)=0,1,0),IF(Suppliers!E18="Annual",IF(MOD((YEAR(EDATE(DATE(YEAR(TODAY()),MONTH(TODAY()),1),0))-YEAR(IF(ISNUMBER(Suppliers!F18),Suppliers!F18,DATE(YEAR(TODAY()),MONTH(TODAY()),1))))*12+MONTH(EDATE(DATE(YEAR(TODAY()),MONTH(TODAY()),1),0))-MONTH(IF(ISNUMBER(Suppliers!F18),Suppliers!F18,DATE(YEAR(TODAY()),MONTH(TODAY()),1))),12)=0,1,0),IF(Suppliers!E18="One-time",IF(0=0,1,0),1)))))),"")</f>
        <v/>
      </c>
      <c r="G20" s="10" t="str">
        <f ca="1">IFERROR(IF(OR(1&gt;=$B$1,Suppliers!A18="",NOT(ISNUMBER(Suppliers!D18)),Suppliers!L18="Expired",Suppliers!L18="Terminate"),"",Suppliers!D18*-1*IF(Suppliers!E18="Monthly",IF(AND(ISNUMBER(Suppliers!G18),(YEAR(EDATE(DATE(YEAR(TODAY()),MONTH(TODAY()),1),1))*12+MONTH(EDATE(DATE(YEAR(TODAY()),MONTH(TODAY()),1),1)))&gt;(YEAR(Suppliers!G18)*12+MONTH(Suppliers!G18))),"",1),IF(Suppliers!E18="Quarterly",IF(MOD((YEAR(EDATE(DATE(YEAR(TODAY()),MONTH(TODAY()),1),1))-YEAR(IF(ISNUMBER(Suppliers!F18),Suppliers!F18,DATE(YEAR(TODAY()),MONTH(TODAY()),1))))*12+MONTH(EDATE(DATE(YEAR(TODAY()),MONTH(TODAY()),1),1))-MONTH(IF(ISNUMBER(Suppliers!F18),Suppliers!F18,DATE(YEAR(TODAY()),MONTH(TODAY()),1))),3)=0,1,0),IF(Suppliers!E18="Semi-annual",IF(MOD((YEAR(EDATE(DATE(YEAR(TODAY()),MONTH(TODAY()),1),1))-YEAR(IF(ISNUMBER(Suppliers!F18),Suppliers!F18,DATE(YEAR(TODAY()),MONTH(TODAY()),1))))*12+MONTH(EDATE(DATE(YEAR(TODAY()),MONTH(TODAY()),1),1))-MONTH(IF(ISNUMBER(Suppliers!F18),Suppliers!F18,DATE(YEAR(TODAY()),MONTH(TODAY()),1))),6)=0,1,0),IF(Suppliers!E18="Annual",IF(MOD((YEAR(EDATE(DATE(YEAR(TODAY()),MONTH(TODAY()),1),1))-YEAR(IF(ISNUMBER(Suppliers!F18),Suppliers!F18,DATE(YEAR(TODAY()),MONTH(TODAY()),1))))*12+MONTH(EDATE(DATE(YEAR(TODAY()),MONTH(TODAY()),1),1))-MONTH(IF(ISNUMBER(Suppliers!F18),Suppliers!F18,DATE(YEAR(TODAY()),MONTH(TODAY()),1))),12)=0,1,0),IF(Suppliers!E18="One-time",IF(1=0,1,0),1)))))),"")</f>
        <v/>
      </c>
      <c r="H20" s="10" t="str">
        <f ca="1">IFERROR(IF(OR(2&gt;=$B$1,Suppliers!A18="",NOT(ISNUMBER(Suppliers!D18)),Suppliers!L18="Expired",Suppliers!L18="Terminate"),"",Suppliers!D18*-1*IF(Suppliers!E18="Monthly",IF(AND(ISNUMBER(Suppliers!G18),(YEAR(EDATE(DATE(YEAR(TODAY()),MONTH(TODAY()),1),2))*12+MONTH(EDATE(DATE(YEAR(TODAY()),MONTH(TODAY()),1),2)))&gt;(YEAR(Suppliers!G18)*12+MONTH(Suppliers!G18))),"",1),IF(Suppliers!E18="Quarterly",IF(MOD((YEAR(EDATE(DATE(YEAR(TODAY()),MONTH(TODAY()),1),2))-YEAR(IF(ISNUMBER(Suppliers!F18),Suppliers!F18,DATE(YEAR(TODAY()),MONTH(TODAY()),1))))*12+MONTH(EDATE(DATE(YEAR(TODAY()),MONTH(TODAY()),1),2))-MONTH(IF(ISNUMBER(Suppliers!F18),Suppliers!F18,DATE(YEAR(TODAY()),MONTH(TODAY()),1))),3)=0,1,0),IF(Suppliers!E18="Semi-annual",IF(MOD((YEAR(EDATE(DATE(YEAR(TODAY()),MONTH(TODAY()),1),2))-YEAR(IF(ISNUMBER(Suppliers!F18),Suppliers!F18,DATE(YEAR(TODAY()),MONTH(TODAY()),1))))*12+MONTH(EDATE(DATE(YEAR(TODAY()),MONTH(TODAY()),1),2))-MONTH(IF(ISNUMBER(Suppliers!F18),Suppliers!F18,DATE(YEAR(TODAY()),MONTH(TODAY()),1))),6)=0,1,0),IF(Suppliers!E18="Annual",IF(MOD((YEAR(EDATE(DATE(YEAR(TODAY()),MONTH(TODAY()),1),2))-YEAR(IF(ISNUMBER(Suppliers!F18),Suppliers!F18,DATE(YEAR(TODAY()),MONTH(TODAY()),1))))*12+MONTH(EDATE(DATE(YEAR(TODAY()),MONTH(TODAY()),1),2))-MONTH(IF(ISNUMBER(Suppliers!F18),Suppliers!F18,DATE(YEAR(TODAY()),MONTH(TODAY()),1))),12)=0,1,0),IF(Suppliers!E18="One-time",IF(2=0,1,0),1)))))),"")</f>
        <v/>
      </c>
      <c r="I20" s="10" t="str">
        <f ca="1">IFERROR(IF(OR(3&gt;=$B$1,Suppliers!A18="",NOT(ISNUMBER(Suppliers!D18)),Suppliers!L18="Expired",Suppliers!L18="Terminate"),"",Suppliers!D18*-1*IF(Suppliers!E18="Monthly",IF(AND(ISNUMBER(Suppliers!G18),(YEAR(EDATE(DATE(YEAR(TODAY()),MONTH(TODAY()),1),3))*12+MONTH(EDATE(DATE(YEAR(TODAY()),MONTH(TODAY()),1),3)))&gt;(YEAR(Suppliers!G18)*12+MONTH(Suppliers!G18))),"",1),IF(Suppliers!E18="Quarterly",IF(MOD((YEAR(EDATE(DATE(YEAR(TODAY()),MONTH(TODAY()),1),3))-YEAR(IF(ISNUMBER(Suppliers!F18),Suppliers!F18,DATE(YEAR(TODAY()),MONTH(TODAY()),1))))*12+MONTH(EDATE(DATE(YEAR(TODAY()),MONTH(TODAY()),1),3))-MONTH(IF(ISNUMBER(Suppliers!F18),Suppliers!F18,DATE(YEAR(TODAY()),MONTH(TODAY()),1))),3)=0,1,0),IF(Suppliers!E18="Semi-annual",IF(MOD((YEAR(EDATE(DATE(YEAR(TODAY()),MONTH(TODAY()),1),3))-YEAR(IF(ISNUMBER(Suppliers!F18),Suppliers!F18,DATE(YEAR(TODAY()),MONTH(TODAY()),1))))*12+MONTH(EDATE(DATE(YEAR(TODAY()),MONTH(TODAY()),1),3))-MONTH(IF(ISNUMBER(Suppliers!F18),Suppliers!F18,DATE(YEAR(TODAY()),MONTH(TODAY()),1))),6)=0,1,0),IF(Suppliers!E18="Annual",IF(MOD((YEAR(EDATE(DATE(YEAR(TODAY()),MONTH(TODAY()),1),3))-YEAR(IF(ISNUMBER(Suppliers!F18),Suppliers!F18,DATE(YEAR(TODAY()),MONTH(TODAY()),1))))*12+MONTH(EDATE(DATE(YEAR(TODAY()),MONTH(TODAY()),1),3))-MONTH(IF(ISNUMBER(Suppliers!F18),Suppliers!F18,DATE(YEAR(TODAY()),MONTH(TODAY()),1))),12)=0,1,0),IF(Suppliers!E18="One-time",IF(3=0,1,0),1)))))),"")</f>
        <v/>
      </c>
      <c r="J20" s="10" t="str">
        <f ca="1">IFERROR(IF(OR(4&gt;=$B$1,Suppliers!A18="",NOT(ISNUMBER(Suppliers!D18)),Suppliers!L18="Expired",Suppliers!L18="Terminate"),"",Suppliers!D18*-1*IF(Suppliers!E18="Monthly",IF(AND(ISNUMBER(Suppliers!G18),(YEAR(EDATE(DATE(YEAR(TODAY()),MONTH(TODAY()),1),4))*12+MONTH(EDATE(DATE(YEAR(TODAY()),MONTH(TODAY()),1),4)))&gt;(YEAR(Suppliers!G18)*12+MONTH(Suppliers!G18))),"",1),IF(Suppliers!E18="Quarterly",IF(MOD((YEAR(EDATE(DATE(YEAR(TODAY()),MONTH(TODAY()),1),4))-YEAR(IF(ISNUMBER(Suppliers!F18),Suppliers!F18,DATE(YEAR(TODAY()),MONTH(TODAY()),1))))*12+MONTH(EDATE(DATE(YEAR(TODAY()),MONTH(TODAY()),1),4))-MONTH(IF(ISNUMBER(Suppliers!F18),Suppliers!F18,DATE(YEAR(TODAY()),MONTH(TODAY()),1))),3)=0,1,0),IF(Suppliers!E18="Semi-annual",IF(MOD((YEAR(EDATE(DATE(YEAR(TODAY()),MONTH(TODAY()),1),4))-YEAR(IF(ISNUMBER(Suppliers!F18),Suppliers!F18,DATE(YEAR(TODAY()),MONTH(TODAY()),1))))*12+MONTH(EDATE(DATE(YEAR(TODAY()),MONTH(TODAY()),1),4))-MONTH(IF(ISNUMBER(Suppliers!F18),Suppliers!F18,DATE(YEAR(TODAY()),MONTH(TODAY()),1))),6)=0,1,0),IF(Suppliers!E18="Annual",IF(MOD((YEAR(EDATE(DATE(YEAR(TODAY()),MONTH(TODAY()),1),4))-YEAR(IF(ISNUMBER(Suppliers!F18),Suppliers!F18,DATE(YEAR(TODAY()),MONTH(TODAY()),1))))*12+MONTH(EDATE(DATE(YEAR(TODAY()),MONTH(TODAY()),1),4))-MONTH(IF(ISNUMBER(Suppliers!F18),Suppliers!F18,DATE(YEAR(TODAY()),MONTH(TODAY()),1))),12)=0,1,0),IF(Suppliers!E18="One-time",IF(4=0,1,0),1)))))),"")</f>
        <v/>
      </c>
      <c r="K20" s="10" t="str">
        <f ca="1">IFERROR(IF(OR(5&gt;=$B$1,Suppliers!A18="",NOT(ISNUMBER(Suppliers!D18)),Suppliers!L18="Expired",Suppliers!L18="Terminate"),"",Suppliers!D18*-1*IF(Suppliers!E18="Monthly",IF(AND(ISNUMBER(Suppliers!G18),(YEAR(EDATE(DATE(YEAR(TODAY()),MONTH(TODAY()),1),5))*12+MONTH(EDATE(DATE(YEAR(TODAY()),MONTH(TODAY()),1),5)))&gt;(YEAR(Suppliers!G18)*12+MONTH(Suppliers!G18))),"",1),IF(Suppliers!E18="Quarterly",IF(MOD((YEAR(EDATE(DATE(YEAR(TODAY()),MONTH(TODAY()),1),5))-YEAR(IF(ISNUMBER(Suppliers!F18),Suppliers!F18,DATE(YEAR(TODAY()),MONTH(TODAY()),1))))*12+MONTH(EDATE(DATE(YEAR(TODAY()),MONTH(TODAY()),1),5))-MONTH(IF(ISNUMBER(Suppliers!F18),Suppliers!F18,DATE(YEAR(TODAY()),MONTH(TODAY()),1))),3)=0,1,0),IF(Suppliers!E18="Semi-annual",IF(MOD((YEAR(EDATE(DATE(YEAR(TODAY()),MONTH(TODAY()),1),5))-YEAR(IF(ISNUMBER(Suppliers!F18),Suppliers!F18,DATE(YEAR(TODAY()),MONTH(TODAY()),1))))*12+MONTH(EDATE(DATE(YEAR(TODAY()),MONTH(TODAY()),1),5))-MONTH(IF(ISNUMBER(Suppliers!F18),Suppliers!F18,DATE(YEAR(TODAY()),MONTH(TODAY()),1))),6)=0,1,0),IF(Suppliers!E18="Annual",IF(MOD((YEAR(EDATE(DATE(YEAR(TODAY()),MONTH(TODAY()),1),5))-YEAR(IF(ISNUMBER(Suppliers!F18),Suppliers!F18,DATE(YEAR(TODAY()),MONTH(TODAY()),1))))*12+MONTH(EDATE(DATE(YEAR(TODAY()),MONTH(TODAY()),1),5))-MONTH(IF(ISNUMBER(Suppliers!F18),Suppliers!F18,DATE(YEAR(TODAY()),MONTH(TODAY()),1))),12)=0,1,0),IF(Suppliers!E18="One-time",IF(5=0,1,0),1)))))),"")</f>
        <v/>
      </c>
      <c r="L20" s="10" t="str">
        <f ca="1">IFERROR(IF(OR(6&gt;=$B$1,Suppliers!A18="",NOT(ISNUMBER(Suppliers!D18)),Suppliers!L18="Expired",Suppliers!L18="Terminate"),"",Suppliers!D18*-1*IF(Suppliers!E18="Monthly",IF(AND(ISNUMBER(Suppliers!G18),(YEAR(EDATE(DATE(YEAR(TODAY()),MONTH(TODAY()),1),6))*12+MONTH(EDATE(DATE(YEAR(TODAY()),MONTH(TODAY()),1),6)))&gt;(YEAR(Suppliers!G18)*12+MONTH(Suppliers!G18))),"",1),IF(Suppliers!E18="Quarterly",IF(MOD((YEAR(EDATE(DATE(YEAR(TODAY()),MONTH(TODAY()),1),6))-YEAR(IF(ISNUMBER(Suppliers!F18),Suppliers!F18,DATE(YEAR(TODAY()),MONTH(TODAY()),1))))*12+MONTH(EDATE(DATE(YEAR(TODAY()),MONTH(TODAY()),1),6))-MONTH(IF(ISNUMBER(Suppliers!F18),Suppliers!F18,DATE(YEAR(TODAY()),MONTH(TODAY()),1))),3)=0,1,0),IF(Suppliers!E18="Semi-annual",IF(MOD((YEAR(EDATE(DATE(YEAR(TODAY()),MONTH(TODAY()),1),6))-YEAR(IF(ISNUMBER(Suppliers!F18),Suppliers!F18,DATE(YEAR(TODAY()),MONTH(TODAY()),1))))*12+MONTH(EDATE(DATE(YEAR(TODAY()),MONTH(TODAY()),1),6))-MONTH(IF(ISNUMBER(Suppliers!F18),Suppliers!F18,DATE(YEAR(TODAY()),MONTH(TODAY()),1))),6)=0,1,0),IF(Suppliers!E18="Annual",IF(MOD((YEAR(EDATE(DATE(YEAR(TODAY()),MONTH(TODAY()),1),6))-YEAR(IF(ISNUMBER(Suppliers!F18),Suppliers!F18,DATE(YEAR(TODAY()),MONTH(TODAY()),1))))*12+MONTH(EDATE(DATE(YEAR(TODAY()),MONTH(TODAY()),1),6))-MONTH(IF(ISNUMBER(Suppliers!F18),Suppliers!F18,DATE(YEAR(TODAY()),MONTH(TODAY()),1))),12)=0,1,0),IF(Suppliers!E18="One-time",IF(6=0,1,0),1)))))),"")</f>
        <v/>
      </c>
      <c r="M20" s="10" t="str">
        <f ca="1">IFERROR(IF(OR(7&gt;=$B$1,Suppliers!A18="",NOT(ISNUMBER(Suppliers!D18)),Suppliers!L18="Expired",Suppliers!L18="Terminate"),"",Suppliers!D18*-1*IF(Suppliers!E18="Monthly",IF(AND(ISNUMBER(Suppliers!G18),(YEAR(EDATE(DATE(YEAR(TODAY()),MONTH(TODAY()),1),7))*12+MONTH(EDATE(DATE(YEAR(TODAY()),MONTH(TODAY()),1),7)))&gt;(YEAR(Suppliers!G18)*12+MONTH(Suppliers!G18))),"",1),IF(Suppliers!E18="Quarterly",IF(MOD((YEAR(EDATE(DATE(YEAR(TODAY()),MONTH(TODAY()),1),7))-YEAR(IF(ISNUMBER(Suppliers!F18),Suppliers!F18,DATE(YEAR(TODAY()),MONTH(TODAY()),1))))*12+MONTH(EDATE(DATE(YEAR(TODAY()),MONTH(TODAY()),1),7))-MONTH(IF(ISNUMBER(Suppliers!F18),Suppliers!F18,DATE(YEAR(TODAY()),MONTH(TODAY()),1))),3)=0,1,0),IF(Suppliers!E18="Semi-annual",IF(MOD((YEAR(EDATE(DATE(YEAR(TODAY()),MONTH(TODAY()),1),7))-YEAR(IF(ISNUMBER(Suppliers!F18),Suppliers!F18,DATE(YEAR(TODAY()),MONTH(TODAY()),1))))*12+MONTH(EDATE(DATE(YEAR(TODAY()),MONTH(TODAY()),1),7))-MONTH(IF(ISNUMBER(Suppliers!F18),Suppliers!F18,DATE(YEAR(TODAY()),MONTH(TODAY()),1))),6)=0,1,0),IF(Suppliers!E18="Annual",IF(MOD((YEAR(EDATE(DATE(YEAR(TODAY()),MONTH(TODAY()),1),7))-YEAR(IF(ISNUMBER(Suppliers!F18),Suppliers!F18,DATE(YEAR(TODAY()),MONTH(TODAY()),1))))*12+MONTH(EDATE(DATE(YEAR(TODAY()),MONTH(TODAY()),1),7))-MONTH(IF(ISNUMBER(Suppliers!F18),Suppliers!F18,DATE(YEAR(TODAY()),MONTH(TODAY()),1))),12)=0,1,0),IF(Suppliers!E18="One-time",IF(7=0,1,0),1)))))),"")</f>
        <v/>
      </c>
      <c r="N20" s="10" t="str">
        <f ca="1">IFERROR(IF(OR(8&gt;=$B$1,Suppliers!A18="",NOT(ISNUMBER(Suppliers!D18)),Suppliers!L18="Expired",Suppliers!L18="Terminate"),"",Suppliers!D18*-1*IF(Suppliers!E18="Monthly",IF(AND(ISNUMBER(Suppliers!G18),(YEAR(EDATE(DATE(YEAR(TODAY()),MONTH(TODAY()),1),8))*12+MONTH(EDATE(DATE(YEAR(TODAY()),MONTH(TODAY()),1),8)))&gt;(YEAR(Suppliers!G18)*12+MONTH(Suppliers!G18))),"",1),IF(Suppliers!E18="Quarterly",IF(MOD((YEAR(EDATE(DATE(YEAR(TODAY()),MONTH(TODAY()),1),8))-YEAR(IF(ISNUMBER(Suppliers!F18),Suppliers!F18,DATE(YEAR(TODAY()),MONTH(TODAY()),1))))*12+MONTH(EDATE(DATE(YEAR(TODAY()),MONTH(TODAY()),1),8))-MONTH(IF(ISNUMBER(Suppliers!F18),Suppliers!F18,DATE(YEAR(TODAY()),MONTH(TODAY()),1))),3)=0,1,0),IF(Suppliers!E18="Semi-annual",IF(MOD((YEAR(EDATE(DATE(YEAR(TODAY()),MONTH(TODAY()),1),8))-YEAR(IF(ISNUMBER(Suppliers!F18),Suppliers!F18,DATE(YEAR(TODAY()),MONTH(TODAY()),1))))*12+MONTH(EDATE(DATE(YEAR(TODAY()),MONTH(TODAY()),1),8))-MONTH(IF(ISNUMBER(Suppliers!F18),Suppliers!F18,DATE(YEAR(TODAY()),MONTH(TODAY()),1))),6)=0,1,0),IF(Suppliers!E18="Annual",IF(MOD((YEAR(EDATE(DATE(YEAR(TODAY()),MONTH(TODAY()),1),8))-YEAR(IF(ISNUMBER(Suppliers!F18),Suppliers!F18,DATE(YEAR(TODAY()),MONTH(TODAY()),1))))*12+MONTH(EDATE(DATE(YEAR(TODAY()),MONTH(TODAY()),1),8))-MONTH(IF(ISNUMBER(Suppliers!F18),Suppliers!F18,DATE(YEAR(TODAY()),MONTH(TODAY()),1))),12)=0,1,0),IF(Suppliers!E18="One-time",IF(8=0,1,0),1)))))),"")</f>
        <v/>
      </c>
      <c r="O20" s="10" t="str">
        <f ca="1">IFERROR(IF(OR(9&gt;=$B$1,Suppliers!A18="",NOT(ISNUMBER(Suppliers!D18)),Suppliers!L18="Expired",Suppliers!L18="Terminate"),"",Suppliers!D18*-1*IF(Suppliers!E18="Monthly",IF(AND(ISNUMBER(Suppliers!G18),(YEAR(EDATE(DATE(YEAR(TODAY()),MONTH(TODAY()),1),9))*12+MONTH(EDATE(DATE(YEAR(TODAY()),MONTH(TODAY()),1),9)))&gt;(YEAR(Suppliers!G18)*12+MONTH(Suppliers!G18))),"",1),IF(Suppliers!E18="Quarterly",IF(MOD((YEAR(EDATE(DATE(YEAR(TODAY()),MONTH(TODAY()),1),9))-YEAR(IF(ISNUMBER(Suppliers!F18),Suppliers!F18,DATE(YEAR(TODAY()),MONTH(TODAY()),1))))*12+MONTH(EDATE(DATE(YEAR(TODAY()),MONTH(TODAY()),1),9))-MONTH(IF(ISNUMBER(Suppliers!F18),Suppliers!F18,DATE(YEAR(TODAY()),MONTH(TODAY()),1))),3)=0,1,0),IF(Suppliers!E18="Semi-annual",IF(MOD((YEAR(EDATE(DATE(YEAR(TODAY()),MONTH(TODAY()),1),9))-YEAR(IF(ISNUMBER(Suppliers!F18),Suppliers!F18,DATE(YEAR(TODAY()),MONTH(TODAY()),1))))*12+MONTH(EDATE(DATE(YEAR(TODAY()),MONTH(TODAY()),1),9))-MONTH(IF(ISNUMBER(Suppliers!F18),Suppliers!F18,DATE(YEAR(TODAY()),MONTH(TODAY()),1))),6)=0,1,0),IF(Suppliers!E18="Annual",IF(MOD((YEAR(EDATE(DATE(YEAR(TODAY()),MONTH(TODAY()),1),9))-YEAR(IF(ISNUMBER(Suppliers!F18),Suppliers!F18,DATE(YEAR(TODAY()),MONTH(TODAY()),1))))*12+MONTH(EDATE(DATE(YEAR(TODAY()),MONTH(TODAY()),1),9))-MONTH(IF(ISNUMBER(Suppliers!F18),Suppliers!F18,DATE(YEAR(TODAY()),MONTH(TODAY()),1))),12)=0,1,0),IF(Suppliers!E18="One-time",IF(9=0,1,0),1)))))),"")</f>
        <v/>
      </c>
      <c r="P20" s="10" t="str">
        <f ca="1">IFERROR(IF(OR(10&gt;=$B$1,Suppliers!A18="",NOT(ISNUMBER(Suppliers!D18)),Suppliers!L18="Expired",Suppliers!L18="Terminate"),"",Suppliers!D18*-1*IF(Suppliers!E18="Monthly",IF(AND(ISNUMBER(Suppliers!G18),(YEAR(EDATE(DATE(YEAR(TODAY()),MONTH(TODAY()),1),10))*12+MONTH(EDATE(DATE(YEAR(TODAY()),MONTH(TODAY()),1),10)))&gt;(YEAR(Suppliers!G18)*12+MONTH(Suppliers!G18))),"",1),IF(Suppliers!E18="Quarterly",IF(MOD((YEAR(EDATE(DATE(YEAR(TODAY()),MONTH(TODAY()),1),10))-YEAR(IF(ISNUMBER(Suppliers!F18),Suppliers!F18,DATE(YEAR(TODAY()),MONTH(TODAY()),1))))*12+MONTH(EDATE(DATE(YEAR(TODAY()),MONTH(TODAY()),1),10))-MONTH(IF(ISNUMBER(Suppliers!F18),Suppliers!F18,DATE(YEAR(TODAY()),MONTH(TODAY()),1))),3)=0,1,0),IF(Suppliers!E18="Semi-annual",IF(MOD((YEAR(EDATE(DATE(YEAR(TODAY()),MONTH(TODAY()),1),10))-YEAR(IF(ISNUMBER(Suppliers!F18),Suppliers!F18,DATE(YEAR(TODAY()),MONTH(TODAY()),1))))*12+MONTH(EDATE(DATE(YEAR(TODAY()),MONTH(TODAY()),1),10))-MONTH(IF(ISNUMBER(Suppliers!F18),Suppliers!F18,DATE(YEAR(TODAY()),MONTH(TODAY()),1))),6)=0,1,0),IF(Suppliers!E18="Annual",IF(MOD((YEAR(EDATE(DATE(YEAR(TODAY()),MONTH(TODAY()),1),10))-YEAR(IF(ISNUMBER(Suppliers!F18),Suppliers!F18,DATE(YEAR(TODAY()),MONTH(TODAY()),1))))*12+MONTH(EDATE(DATE(YEAR(TODAY()),MONTH(TODAY()),1),10))-MONTH(IF(ISNUMBER(Suppliers!F18),Suppliers!F18,DATE(YEAR(TODAY()),MONTH(TODAY()),1))),12)=0,1,0),IF(Suppliers!E18="One-time",IF(10=0,1,0),1)))))),"")</f>
        <v/>
      </c>
      <c r="Q20" s="10" t="str">
        <f ca="1">IFERROR(IF(OR(11&gt;=$B$1,Suppliers!A18="",NOT(ISNUMBER(Suppliers!D18)),Suppliers!L18="Expired",Suppliers!L18="Terminate"),"",Suppliers!D18*-1*IF(Suppliers!E18="Monthly",IF(AND(ISNUMBER(Suppliers!G18),(YEAR(EDATE(DATE(YEAR(TODAY()),MONTH(TODAY()),1),11))*12+MONTH(EDATE(DATE(YEAR(TODAY()),MONTH(TODAY()),1),11)))&gt;(YEAR(Suppliers!G18)*12+MONTH(Suppliers!G18))),"",1),IF(Suppliers!E18="Quarterly",IF(MOD((YEAR(EDATE(DATE(YEAR(TODAY()),MONTH(TODAY()),1),11))-YEAR(IF(ISNUMBER(Suppliers!F18),Suppliers!F18,DATE(YEAR(TODAY()),MONTH(TODAY()),1))))*12+MONTH(EDATE(DATE(YEAR(TODAY()),MONTH(TODAY()),1),11))-MONTH(IF(ISNUMBER(Suppliers!F18),Suppliers!F18,DATE(YEAR(TODAY()),MONTH(TODAY()),1))),3)=0,1,0),IF(Suppliers!E18="Semi-annual",IF(MOD((YEAR(EDATE(DATE(YEAR(TODAY()),MONTH(TODAY()),1),11))-YEAR(IF(ISNUMBER(Suppliers!F18),Suppliers!F18,DATE(YEAR(TODAY()),MONTH(TODAY()),1))))*12+MONTH(EDATE(DATE(YEAR(TODAY()),MONTH(TODAY()),1),11))-MONTH(IF(ISNUMBER(Suppliers!F18),Suppliers!F18,DATE(YEAR(TODAY()),MONTH(TODAY()),1))),6)=0,1,0),IF(Suppliers!E18="Annual",IF(MOD((YEAR(EDATE(DATE(YEAR(TODAY()),MONTH(TODAY()),1),11))-YEAR(IF(ISNUMBER(Suppliers!F18),Suppliers!F18,DATE(YEAR(TODAY()),MONTH(TODAY()),1))))*12+MONTH(EDATE(DATE(YEAR(TODAY()),MONTH(TODAY()),1),11))-MONTH(IF(ISNUMBER(Suppliers!F18),Suppliers!F18,DATE(YEAR(TODAY()),MONTH(TODAY()),1))),12)=0,1,0),IF(Suppliers!E18="One-time",IF(11=0,1,0),1)))))),"")</f>
        <v/>
      </c>
      <c r="R20" s="10" t="str">
        <f ca="1">IFERROR(IF(OR(12&gt;=$B$1,Suppliers!A18="",NOT(ISNUMBER(Suppliers!D18)),Suppliers!L18="Expired",Suppliers!L18="Terminate"),"",Suppliers!D18*-1*IF(Suppliers!E18="Monthly",IF(AND(ISNUMBER(Suppliers!G18),(YEAR(EDATE(DATE(YEAR(TODAY()),MONTH(TODAY()),1),12))*12+MONTH(EDATE(DATE(YEAR(TODAY()),MONTH(TODAY()),1),12)))&gt;(YEAR(Suppliers!G18)*12+MONTH(Suppliers!G18))),"",1),IF(Suppliers!E18="Quarterly",IF(MOD((YEAR(EDATE(DATE(YEAR(TODAY()),MONTH(TODAY()),1),12))-YEAR(IF(ISNUMBER(Suppliers!F18),Suppliers!F18,DATE(YEAR(TODAY()),MONTH(TODAY()),1))))*12+MONTH(EDATE(DATE(YEAR(TODAY()),MONTH(TODAY()),1),12))-MONTH(IF(ISNUMBER(Suppliers!F18),Suppliers!F18,DATE(YEAR(TODAY()),MONTH(TODAY()),1))),3)=0,1,0),IF(Suppliers!E18="Semi-annual",IF(MOD((YEAR(EDATE(DATE(YEAR(TODAY()),MONTH(TODAY()),1),12))-YEAR(IF(ISNUMBER(Suppliers!F18),Suppliers!F18,DATE(YEAR(TODAY()),MONTH(TODAY()),1))))*12+MONTH(EDATE(DATE(YEAR(TODAY()),MONTH(TODAY()),1),12))-MONTH(IF(ISNUMBER(Suppliers!F18),Suppliers!F18,DATE(YEAR(TODAY()),MONTH(TODAY()),1))),6)=0,1,0),IF(Suppliers!E18="Annual",IF(MOD((YEAR(EDATE(DATE(YEAR(TODAY()),MONTH(TODAY()),1),12))-YEAR(IF(ISNUMBER(Suppliers!F18),Suppliers!F18,DATE(YEAR(TODAY()),MONTH(TODAY()),1))))*12+MONTH(EDATE(DATE(YEAR(TODAY()),MONTH(TODAY()),1),12))-MONTH(IF(ISNUMBER(Suppliers!F18),Suppliers!F18,DATE(YEAR(TODAY()),MONTH(TODAY()),1))),12)=0,1,0),IF(Suppliers!E18="One-time",IF(12=0,1,0),1)))))),"")</f>
        <v/>
      </c>
      <c r="S20" s="10" t="str">
        <f ca="1">IFERROR(IF(OR(13&gt;=$B$1,Suppliers!A18="",NOT(ISNUMBER(Suppliers!D18)),Suppliers!L18="Expired",Suppliers!L18="Terminate"),"",Suppliers!D18*-1*IF(Suppliers!E18="Monthly",IF(AND(ISNUMBER(Suppliers!G18),(YEAR(EDATE(DATE(YEAR(TODAY()),MONTH(TODAY()),1),13))*12+MONTH(EDATE(DATE(YEAR(TODAY()),MONTH(TODAY()),1),13)))&gt;(YEAR(Suppliers!G18)*12+MONTH(Suppliers!G18))),"",1),IF(Suppliers!E18="Quarterly",IF(MOD((YEAR(EDATE(DATE(YEAR(TODAY()),MONTH(TODAY()),1),13))-YEAR(IF(ISNUMBER(Suppliers!F18),Suppliers!F18,DATE(YEAR(TODAY()),MONTH(TODAY()),1))))*12+MONTH(EDATE(DATE(YEAR(TODAY()),MONTH(TODAY()),1),13))-MONTH(IF(ISNUMBER(Suppliers!F18),Suppliers!F18,DATE(YEAR(TODAY()),MONTH(TODAY()),1))),3)=0,1,0),IF(Suppliers!E18="Semi-annual",IF(MOD((YEAR(EDATE(DATE(YEAR(TODAY()),MONTH(TODAY()),1),13))-YEAR(IF(ISNUMBER(Suppliers!F18),Suppliers!F18,DATE(YEAR(TODAY()),MONTH(TODAY()),1))))*12+MONTH(EDATE(DATE(YEAR(TODAY()),MONTH(TODAY()),1),13))-MONTH(IF(ISNUMBER(Suppliers!F18),Suppliers!F18,DATE(YEAR(TODAY()),MONTH(TODAY()),1))),6)=0,1,0),IF(Suppliers!E18="Annual",IF(MOD((YEAR(EDATE(DATE(YEAR(TODAY()),MONTH(TODAY()),1),13))-YEAR(IF(ISNUMBER(Suppliers!F18),Suppliers!F18,DATE(YEAR(TODAY()),MONTH(TODAY()),1))))*12+MONTH(EDATE(DATE(YEAR(TODAY()),MONTH(TODAY()),1),13))-MONTH(IF(ISNUMBER(Suppliers!F18),Suppliers!F18,DATE(YEAR(TODAY()),MONTH(TODAY()),1))),12)=0,1,0),IF(Suppliers!E18="One-time",IF(13=0,1,0),1)))))),"")</f>
        <v/>
      </c>
      <c r="T20" s="10" t="str">
        <f ca="1">IFERROR(IF(OR(14&gt;=$B$1,Suppliers!A18="",NOT(ISNUMBER(Suppliers!D18)),Suppliers!L18="Expired",Suppliers!L18="Terminate"),"",Suppliers!D18*-1*IF(Suppliers!E18="Monthly",IF(AND(ISNUMBER(Suppliers!G18),(YEAR(EDATE(DATE(YEAR(TODAY()),MONTH(TODAY()),1),14))*12+MONTH(EDATE(DATE(YEAR(TODAY()),MONTH(TODAY()),1),14)))&gt;(YEAR(Suppliers!G18)*12+MONTH(Suppliers!G18))),"",1),IF(Suppliers!E18="Quarterly",IF(MOD((YEAR(EDATE(DATE(YEAR(TODAY()),MONTH(TODAY()),1),14))-YEAR(IF(ISNUMBER(Suppliers!F18),Suppliers!F18,DATE(YEAR(TODAY()),MONTH(TODAY()),1))))*12+MONTH(EDATE(DATE(YEAR(TODAY()),MONTH(TODAY()),1),14))-MONTH(IF(ISNUMBER(Suppliers!F18),Suppliers!F18,DATE(YEAR(TODAY()),MONTH(TODAY()),1))),3)=0,1,0),IF(Suppliers!E18="Semi-annual",IF(MOD((YEAR(EDATE(DATE(YEAR(TODAY()),MONTH(TODAY()),1),14))-YEAR(IF(ISNUMBER(Suppliers!F18),Suppliers!F18,DATE(YEAR(TODAY()),MONTH(TODAY()),1))))*12+MONTH(EDATE(DATE(YEAR(TODAY()),MONTH(TODAY()),1),14))-MONTH(IF(ISNUMBER(Suppliers!F18),Suppliers!F18,DATE(YEAR(TODAY()),MONTH(TODAY()),1))),6)=0,1,0),IF(Suppliers!E18="Annual",IF(MOD((YEAR(EDATE(DATE(YEAR(TODAY()),MONTH(TODAY()),1),14))-YEAR(IF(ISNUMBER(Suppliers!F18),Suppliers!F18,DATE(YEAR(TODAY()),MONTH(TODAY()),1))))*12+MONTH(EDATE(DATE(YEAR(TODAY()),MONTH(TODAY()),1),14))-MONTH(IF(ISNUMBER(Suppliers!F18),Suppliers!F18,DATE(YEAR(TODAY()),MONTH(TODAY()),1))),12)=0,1,0),IF(Suppliers!E18="One-time",IF(14=0,1,0),1)))))),"")</f>
        <v/>
      </c>
      <c r="U20" s="10" t="str">
        <f ca="1">IFERROR(IF(OR(15&gt;=$B$1,Suppliers!A18="",NOT(ISNUMBER(Suppliers!D18)),Suppliers!L18="Expired",Suppliers!L18="Terminate"),"",Suppliers!D18*-1*IF(Suppliers!E18="Monthly",IF(AND(ISNUMBER(Suppliers!G18),(YEAR(EDATE(DATE(YEAR(TODAY()),MONTH(TODAY()),1),15))*12+MONTH(EDATE(DATE(YEAR(TODAY()),MONTH(TODAY()),1),15)))&gt;(YEAR(Suppliers!G18)*12+MONTH(Suppliers!G18))),"",1),IF(Suppliers!E18="Quarterly",IF(MOD((YEAR(EDATE(DATE(YEAR(TODAY()),MONTH(TODAY()),1),15))-YEAR(IF(ISNUMBER(Suppliers!F18),Suppliers!F18,DATE(YEAR(TODAY()),MONTH(TODAY()),1))))*12+MONTH(EDATE(DATE(YEAR(TODAY()),MONTH(TODAY()),1),15))-MONTH(IF(ISNUMBER(Suppliers!F18),Suppliers!F18,DATE(YEAR(TODAY()),MONTH(TODAY()),1))),3)=0,1,0),IF(Suppliers!E18="Semi-annual",IF(MOD((YEAR(EDATE(DATE(YEAR(TODAY()),MONTH(TODAY()),1),15))-YEAR(IF(ISNUMBER(Suppliers!F18),Suppliers!F18,DATE(YEAR(TODAY()),MONTH(TODAY()),1))))*12+MONTH(EDATE(DATE(YEAR(TODAY()),MONTH(TODAY()),1),15))-MONTH(IF(ISNUMBER(Suppliers!F18),Suppliers!F18,DATE(YEAR(TODAY()),MONTH(TODAY()),1))),6)=0,1,0),IF(Suppliers!E18="Annual",IF(MOD((YEAR(EDATE(DATE(YEAR(TODAY()),MONTH(TODAY()),1),15))-YEAR(IF(ISNUMBER(Suppliers!F18),Suppliers!F18,DATE(YEAR(TODAY()),MONTH(TODAY()),1))))*12+MONTH(EDATE(DATE(YEAR(TODAY()),MONTH(TODAY()),1),15))-MONTH(IF(ISNUMBER(Suppliers!F18),Suppliers!F18,DATE(YEAR(TODAY()),MONTH(TODAY()),1))),12)=0,1,0),IF(Suppliers!E18="One-time",IF(15=0,1,0),1)))))),"")</f>
        <v/>
      </c>
      <c r="V20" s="10" t="str">
        <f ca="1">IFERROR(IF(OR(16&gt;=$B$1,Suppliers!A18="",NOT(ISNUMBER(Suppliers!D18)),Suppliers!L18="Expired",Suppliers!L18="Terminate"),"",Suppliers!D18*-1*IF(Suppliers!E18="Monthly",IF(AND(ISNUMBER(Suppliers!G18),(YEAR(EDATE(DATE(YEAR(TODAY()),MONTH(TODAY()),1),16))*12+MONTH(EDATE(DATE(YEAR(TODAY()),MONTH(TODAY()),1),16)))&gt;(YEAR(Suppliers!G18)*12+MONTH(Suppliers!G18))),"",1),IF(Suppliers!E18="Quarterly",IF(MOD((YEAR(EDATE(DATE(YEAR(TODAY()),MONTH(TODAY()),1),16))-YEAR(IF(ISNUMBER(Suppliers!F18),Suppliers!F18,DATE(YEAR(TODAY()),MONTH(TODAY()),1))))*12+MONTH(EDATE(DATE(YEAR(TODAY()),MONTH(TODAY()),1),16))-MONTH(IF(ISNUMBER(Suppliers!F18),Suppliers!F18,DATE(YEAR(TODAY()),MONTH(TODAY()),1))),3)=0,1,0),IF(Suppliers!E18="Semi-annual",IF(MOD((YEAR(EDATE(DATE(YEAR(TODAY()),MONTH(TODAY()),1),16))-YEAR(IF(ISNUMBER(Suppliers!F18),Suppliers!F18,DATE(YEAR(TODAY()),MONTH(TODAY()),1))))*12+MONTH(EDATE(DATE(YEAR(TODAY()),MONTH(TODAY()),1),16))-MONTH(IF(ISNUMBER(Suppliers!F18),Suppliers!F18,DATE(YEAR(TODAY()),MONTH(TODAY()),1))),6)=0,1,0),IF(Suppliers!E18="Annual",IF(MOD((YEAR(EDATE(DATE(YEAR(TODAY()),MONTH(TODAY()),1),16))-YEAR(IF(ISNUMBER(Suppliers!F18),Suppliers!F18,DATE(YEAR(TODAY()),MONTH(TODAY()),1))))*12+MONTH(EDATE(DATE(YEAR(TODAY()),MONTH(TODAY()),1),16))-MONTH(IF(ISNUMBER(Suppliers!F18),Suppliers!F18,DATE(YEAR(TODAY()),MONTH(TODAY()),1))),12)=0,1,0),IF(Suppliers!E18="One-time",IF(16=0,1,0),1)))))),"")</f>
        <v/>
      </c>
      <c r="W20" s="10" t="str">
        <f ca="1">IFERROR(IF(OR(17&gt;=$B$1,Suppliers!A18="",NOT(ISNUMBER(Suppliers!D18)),Suppliers!L18="Expired",Suppliers!L18="Terminate"),"",Suppliers!D18*-1*IF(Suppliers!E18="Monthly",IF(AND(ISNUMBER(Suppliers!G18),(YEAR(EDATE(DATE(YEAR(TODAY()),MONTH(TODAY()),1),17))*12+MONTH(EDATE(DATE(YEAR(TODAY()),MONTH(TODAY()),1),17)))&gt;(YEAR(Suppliers!G18)*12+MONTH(Suppliers!G18))),"",1),IF(Suppliers!E18="Quarterly",IF(MOD((YEAR(EDATE(DATE(YEAR(TODAY()),MONTH(TODAY()),1),17))-YEAR(IF(ISNUMBER(Suppliers!F18),Suppliers!F18,DATE(YEAR(TODAY()),MONTH(TODAY()),1))))*12+MONTH(EDATE(DATE(YEAR(TODAY()),MONTH(TODAY()),1),17))-MONTH(IF(ISNUMBER(Suppliers!F18),Suppliers!F18,DATE(YEAR(TODAY()),MONTH(TODAY()),1))),3)=0,1,0),IF(Suppliers!E18="Semi-annual",IF(MOD((YEAR(EDATE(DATE(YEAR(TODAY()),MONTH(TODAY()),1),17))-YEAR(IF(ISNUMBER(Suppliers!F18),Suppliers!F18,DATE(YEAR(TODAY()),MONTH(TODAY()),1))))*12+MONTH(EDATE(DATE(YEAR(TODAY()),MONTH(TODAY()),1),17))-MONTH(IF(ISNUMBER(Suppliers!F18),Suppliers!F18,DATE(YEAR(TODAY()),MONTH(TODAY()),1))),6)=0,1,0),IF(Suppliers!E18="Annual",IF(MOD((YEAR(EDATE(DATE(YEAR(TODAY()),MONTH(TODAY()),1),17))-YEAR(IF(ISNUMBER(Suppliers!F18),Suppliers!F18,DATE(YEAR(TODAY()),MONTH(TODAY()),1))))*12+MONTH(EDATE(DATE(YEAR(TODAY()),MONTH(TODAY()),1),17))-MONTH(IF(ISNUMBER(Suppliers!F18),Suppliers!F18,DATE(YEAR(TODAY()),MONTH(TODAY()),1))),12)=0,1,0),IF(Suppliers!E18="One-time",IF(17=0,1,0),1)))))),"")</f>
        <v/>
      </c>
      <c r="X20" s="10" t="str">
        <f ca="1">IFERROR(IF(OR(18&gt;=$B$1,Suppliers!A18="",NOT(ISNUMBER(Suppliers!D18)),Suppliers!L18="Expired",Suppliers!L18="Terminate"),"",Suppliers!D18*-1*IF(Suppliers!E18="Monthly",IF(AND(ISNUMBER(Suppliers!G18),(YEAR(EDATE(DATE(YEAR(TODAY()),MONTH(TODAY()),1),18))*12+MONTH(EDATE(DATE(YEAR(TODAY()),MONTH(TODAY()),1),18)))&gt;(YEAR(Suppliers!G18)*12+MONTH(Suppliers!G18))),"",1),IF(Suppliers!E18="Quarterly",IF(MOD((YEAR(EDATE(DATE(YEAR(TODAY()),MONTH(TODAY()),1),18))-YEAR(IF(ISNUMBER(Suppliers!F18),Suppliers!F18,DATE(YEAR(TODAY()),MONTH(TODAY()),1))))*12+MONTH(EDATE(DATE(YEAR(TODAY()),MONTH(TODAY()),1),18))-MONTH(IF(ISNUMBER(Suppliers!F18),Suppliers!F18,DATE(YEAR(TODAY()),MONTH(TODAY()),1))),3)=0,1,0),IF(Suppliers!E18="Semi-annual",IF(MOD((YEAR(EDATE(DATE(YEAR(TODAY()),MONTH(TODAY()),1),18))-YEAR(IF(ISNUMBER(Suppliers!F18),Suppliers!F18,DATE(YEAR(TODAY()),MONTH(TODAY()),1))))*12+MONTH(EDATE(DATE(YEAR(TODAY()),MONTH(TODAY()),1),18))-MONTH(IF(ISNUMBER(Suppliers!F18),Suppliers!F18,DATE(YEAR(TODAY()),MONTH(TODAY()),1))),6)=0,1,0),IF(Suppliers!E18="Annual",IF(MOD((YEAR(EDATE(DATE(YEAR(TODAY()),MONTH(TODAY()),1),18))-YEAR(IF(ISNUMBER(Suppliers!F18),Suppliers!F18,DATE(YEAR(TODAY()),MONTH(TODAY()),1))))*12+MONTH(EDATE(DATE(YEAR(TODAY()),MONTH(TODAY()),1),18))-MONTH(IF(ISNUMBER(Suppliers!F18),Suppliers!F18,DATE(YEAR(TODAY()),MONTH(TODAY()),1))),12)=0,1,0),IF(Suppliers!E18="One-time",IF(18=0,1,0),1)))))),"")</f>
        <v/>
      </c>
      <c r="Y20" s="10" t="str">
        <f ca="1">IFERROR(IF(OR(19&gt;=$B$1,Suppliers!A18="",NOT(ISNUMBER(Suppliers!D18)),Suppliers!L18="Expired",Suppliers!L18="Terminate"),"",Suppliers!D18*-1*IF(Suppliers!E18="Monthly",IF(AND(ISNUMBER(Suppliers!G18),(YEAR(EDATE(DATE(YEAR(TODAY()),MONTH(TODAY()),1),19))*12+MONTH(EDATE(DATE(YEAR(TODAY()),MONTH(TODAY()),1),19)))&gt;(YEAR(Suppliers!G18)*12+MONTH(Suppliers!G18))),"",1),IF(Suppliers!E18="Quarterly",IF(MOD((YEAR(EDATE(DATE(YEAR(TODAY()),MONTH(TODAY()),1),19))-YEAR(IF(ISNUMBER(Suppliers!F18),Suppliers!F18,DATE(YEAR(TODAY()),MONTH(TODAY()),1))))*12+MONTH(EDATE(DATE(YEAR(TODAY()),MONTH(TODAY()),1),19))-MONTH(IF(ISNUMBER(Suppliers!F18),Suppliers!F18,DATE(YEAR(TODAY()),MONTH(TODAY()),1))),3)=0,1,0),IF(Suppliers!E18="Semi-annual",IF(MOD((YEAR(EDATE(DATE(YEAR(TODAY()),MONTH(TODAY()),1),19))-YEAR(IF(ISNUMBER(Suppliers!F18),Suppliers!F18,DATE(YEAR(TODAY()),MONTH(TODAY()),1))))*12+MONTH(EDATE(DATE(YEAR(TODAY()),MONTH(TODAY()),1),19))-MONTH(IF(ISNUMBER(Suppliers!F18),Suppliers!F18,DATE(YEAR(TODAY()),MONTH(TODAY()),1))),6)=0,1,0),IF(Suppliers!E18="Annual",IF(MOD((YEAR(EDATE(DATE(YEAR(TODAY()),MONTH(TODAY()),1),19))-YEAR(IF(ISNUMBER(Suppliers!F18),Suppliers!F18,DATE(YEAR(TODAY()),MONTH(TODAY()),1))))*12+MONTH(EDATE(DATE(YEAR(TODAY()),MONTH(TODAY()),1),19))-MONTH(IF(ISNUMBER(Suppliers!F18),Suppliers!F18,DATE(YEAR(TODAY()),MONTH(TODAY()),1))),12)=0,1,0),IF(Suppliers!E18="One-time",IF(19=0,1,0),1)))))),"")</f>
        <v/>
      </c>
      <c r="Z20" s="10" t="str">
        <f ca="1">IFERROR(IF(OR(20&gt;=$B$1,Suppliers!A18="",NOT(ISNUMBER(Suppliers!D18)),Suppliers!L18="Expired",Suppliers!L18="Terminate"),"",Suppliers!D18*-1*IF(Suppliers!E18="Monthly",IF(AND(ISNUMBER(Suppliers!G18),(YEAR(EDATE(DATE(YEAR(TODAY()),MONTH(TODAY()),1),20))*12+MONTH(EDATE(DATE(YEAR(TODAY()),MONTH(TODAY()),1),20)))&gt;(YEAR(Suppliers!G18)*12+MONTH(Suppliers!G18))),"",1),IF(Suppliers!E18="Quarterly",IF(MOD((YEAR(EDATE(DATE(YEAR(TODAY()),MONTH(TODAY()),1),20))-YEAR(IF(ISNUMBER(Suppliers!F18),Suppliers!F18,DATE(YEAR(TODAY()),MONTH(TODAY()),1))))*12+MONTH(EDATE(DATE(YEAR(TODAY()),MONTH(TODAY()),1),20))-MONTH(IF(ISNUMBER(Suppliers!F18),Suppliers!F18,DATE(YEAR(TODAY()),MONTH(TODAY()),1))),3)=0,1,0),IF(Suppliers!E18="Semi-annual",IF(MOD((YEAR(EDATE(DATE(YEAR(TODAY()),MONTH(TODAY()),1),20))-YEAR(IF(ISNUMBER(Suppliers!F18),Suppliers!F18,DATE(YEAR(TODAY()),MONTH(TODAY()),1))))*12+MONTH(EDATE(DATE(YEAR(TODAY()),MONTH(TODAY()),1),20))-MONTH(IF(ISNUMBER(Suppliers!F18),Suppliers!F18,DATE(YEAR(TODAY()),MONTH(TODAY()),1))),6)=0,1,0),IF(Suppliers!E18="Annual",IF(MOD((YEAR(EDATE(DATE(YEAR(TODAY()),MONTH(TODAY()),1),20))-YEAR(IF(ISNUMBER(Suppliers!F18),Suppliers!F18,DATE(YEAR(TODAY()),MONTH(TODAY()),1))))*12+MONTH(EDATE(DATE(YEAR(TODAY()),MONTH(TODAY()),1),20))-MONTH(IF(ISNUMBER(Suppliers!F18),Suppliers!F18,DATE(YEAR(TODAY()),MONTH(TODAY()),1))),12)=0,1,0),IF(Suppliers!E18="One-time",IF(20=0,1,0),1)))))),"")</f>
        <v/>
      </c>
      <c r="AA20" s="10" t="str">
        <f ca="1">IFERROR(IF(OR(21&gt;=$B$1,Suppliers!A18="",NOT(ISNUMBER(Suppliers!D18)),Suppliers!L18="Expired",Suppliers!L18="Terminate"),"",Suppliers!D18*-1*IF(Suppliers!E18="Monthly",IF(AND(ISNUMBER(Suppliers!G18),(YEAR(EDATE(DATE(YEAR(TODAY()),MONTH(TODAY()),1),21))*12+MONTH(EDATE(DATE(YEAR(TODAY()),MONTH(TODAY()),1),21)))&gt;(YEAR(Suppliers!G18)*12+MONTH(Suppliers!G18))),"",1),IF(Suppliers!E18="Quarterly",IF(MOD((YEAR(EDATE(DATE(YEAR(TODAY()),MONTH(TODAY()),1),21))-YEAR(IF(ISNUMBER(Suppliers!F18),Suppliers!F18,DATE(YEAR(TODAY()),MONTH(TODAY()),1))))*12+MONTH(EDATE(DATE(YEAR(TODAY()),MONTH(TODAY()),1),21))-MONTH(IF(ISNUMBER(Suppliers!F18),Suppliers!F18,DATE(YEAR(TODAY()),MONTH(TODAY()),1))),3)=0,1,0),IF(Suppliers!E18="Semi-annual",IF(MOD((YEAR(EDATE(DATE(YEAR(TODAY()),MONTH(TODAY()),1),21))-YEAR(IF(ISNUMBER(Suppliers!F18),Suppliers!F18,DATE(YEAR(TODAY()),MONTH(TODAY()),1))))*12+MONTH(EDATE(DATE(YEAR(TODAY()),MONTH(TODAY()),1),21))-MONTH(IF(ISNUMBER(Suppliers!F18),Suppliers!F18,DATE(YEAR(TODAY()),MONTH(TODAY()),1))),6)=0,1,0),IF(Suppliers!E18="Annual",IF(MOD((YEAR(EDATE(DATE(YEAR(TODAY()),MONTH(TODAY()),1),21))-YEAR(IF(ISNUMBER(Suppliers!F18),Suppliers!F18,DATE(YEAR(TODAY()),MONTH(TODAY()),1))))*12+MONTH(EDATE(DATE(YEAR(TODAY()),MONTH(TODAY()),1),21))-MONTH(IF(ISNUMBER(Suppliers!F18),Suppliers!F18,DATE(YEAR(TODAY()),MONTH(TODAY()),1))),12)=0,1,0),IF(Suppliers!E18="One-time",IF(21=0,1,0),1)))))),"")</f>
        <v/>
      </c>
      <c r="AB20" s="10" t="str">
        <f ca="1">IFERROR(IF(OR(22&gt;=$B$1,Suppliers!A18="",NOT(ISNUMBER(Suppliers!D18)),Suppliers!L18="Expired",Suppliers!L18="Terminate"),"",Suppliers!D18*-1*IF(Suppliers!E18="Monthly",IF(AND(ISNUMBER(Suppliers!G18),(YEAR(EDATE(DATE(YEAR(TODAY()),MONTH(TODAY()),1),22))*12+MONTH(EDATE(DATE(YEAR(TODAY()),MONTH(TODAY()),1),22)))&gt;(YEAR(Suppliers!G18)*12+MONTH(Suppliers!G18))),"",1),IF(Suppliers!E18="Quarterly",IF(MOD((YEAR(EDATE(DATE(YEAR(TODAY()),MONTH(TODAY()),1),22))-YEAR(IF(ISNUMBER(Suppliers!F18),Suppliers!F18,DATE(YEAR(TODAY()),MONTH(TODAY()),1))))*12+MONTH(EDATE(DATE(YEAR(TODAY()),MONTH(TODAY()),1),22))-MONTH(IF(ISNUMBER(Suppliers!F18),Suppliers!F18,DATE(YEAR(TODAY()),MONTH(TODAY()),1))),3)=0,1,0),IF(Suppliers!E18="Semi-annual",IF(MOD((YEAR(EDATE(DATE(YEAR(TODAY()),MONTH(TODAY()),1),22))-YEAR(IF(ISNUMBER(Suppliers!F18),Suppliers!F18,DATE(YEAR(TODAY()),MONTH(TODAY()),1))))*12+MONTH(EDATE(DATE(YEAR(TODAY()),MONTH(TODAY()),1),22))-MONTH(IF(ISNUMBER(Suppliers!F18),Suppliers!F18,DATE(YEAR(TODAY()),MONTH(TODAY()),1))),6)=0,1,0),IF(Suppliers!E18="Annual",IF(MOD((YEAR(EDATE(DATE(YEAR(TODAY()),MONTH(TODAY()),1),22))-YEAR(IF(ISNUMBER(Suppliers!F18),Suppliers!F18,DATE(YEAR(TODAY()),MONTH(TODAY()),1))))*12+MONTH(EDATE(DATE(YEAR(TODAY()),MONTH(TODAY()),1),22))-MONTH(IF(ISNUMBER(Suppliers!F18),Suppliers!F18,DATE(YEAR(TODAY()),MONTH(TODAY()),1))),12)=0,1,0),IF(Suppliers!E18="One-time",IF(22=0,1,0),1)))))),"")</f>
        <v/>
      </c>
      <c r="AC20" s="10" t="str">
        <f ca="1">IFERROR(IF(OR(23&gt;=$B$1,Suppliers!A18="",NOT(ISNUMBER(Suppliers!D18)),Suppliers!L18="Expired",Suppliers!L18="Terminate"),"",Suppliers!D18*-1*IF(Suppliers!E18="Monthly",IF(AND(ISNUMBER(Suppliers!G18),(YEAR(EDATE(DATE(YEAR(TODAY()),MONTH(TODAY()),1),23))*12+MONTH(EDATE(DATE(YEAR(TODAY()),MONTH(TODAY()),1),23)))&gt;(YEAR(Suppliers!G18)*12+MONTH(Suppliers!G18))),"",1),IF(Suppliers!E18="Quarterly",IF(MOD((YEAR(EDATE(DATE(YEAR(TODAY()),MONTH(TODAY()),1),23))-YEAR(IF(ISNUMBER(Suppliers!F18),Suppliers!F18,DATE(YEAR(TODAY()),MONTH(TODAY()),1))))*12+MONTH(EDATE(DATE(YEAR(TODAY()),MONTH(TODAY()),1),23))-MONTH(IF(ISNUMBER(Suppliers!F18),Suppliers!F18,DATE(YEAR(TODAY()),MONTH(TODAY()),1))),3)=0,1,0),IF(Suppliers!E18="Semi-annual",IF(MOD((YEAR(EDATE(DATE(YEAR(TODAY()),MONTH(TODAY()),1),23))-YEAR(IF(ISNUMBER(Suppliers!F18),Suppliers!F18,DATE(YEAR(TODAY()),MONTH(TODAY()),1))))*12+MONTH(EDATE(DATE(YEAR(TODAY()),MONTH(TODAY()),1),23))-MONTH(IF(ISNUMBER(Suppliers!F18),Suppliers!F18,DATE(YEAR(TODAY()),MONTH(TODAY()),1))),6)=0,1,0),IF(Suppliers!E18="Annual",IF(MOD((YEAR(EDATE(DATE(YEAR(TODAY()),MONTH(TODAY()),1),23))-YEAR(IF(ISNUMBER(Suppliers!F18),Suppliers!F18,DATE(YEAR(TODAY()),MONTH(TODAY()),1))))*12+MONTH(EDATE(DATE(YEAR(TODAY()),MONTH(TODAY()),1),23))-MONTH(IF(ISNUMBER(Suppliers!F18),Suppliers!F18,DATE(YEAR(TODAY()),MONTH(TODAY()),1))),12)=0,1,0),IF(Suppliers!E18="One-time",IF(23=0,1,0),1)))))),"")</f>
        <v/>
      </c>
    </row>
    <row r="21" spans="1:29" ht="15" customHeight="1" x14ac:dyDescent="0.35">
      <c r="A21" s="4" t="s">
        <v>80</v>
      </c>
      <c r="B21" s="4" t="str">
        <f>IF(Suppliers!A19="","",Suppliers!A19)</f>
        <v>Sigma Cleaning Services</v>
      </c>
      <c r="C21" s="10">
        <f>IF(Suppliers!C19="","",Suppliers!C19)</f>
        <v>210.08</v>
      </c>
      <c r="D21" s="10">
        <f>IF(Suppliers!D19="","",Suppliers!D19)</f>
        <v>250</v>
      </c>
      <c r="E21" s="4" t="str">
        <f>IF(Suppliers!E19="","",Suppliers!E19)</f>
        <v>Monthly</v>
      </c>
      <c r="F21" s="10">
        <f ca="1">IFERROR(IF(OR(0&gt;=$B$1,Suppliers!A19="",NOT(ISNUMBER(Suppliers!D19)),Suppliers!L19="Expired",Suppliers!L19="Terminate"),"",Suppliers!D19*-1*IF(Suppliers!E19="Monthly",IF(AND(ISNUMBER(Suppliers!G19),(YEAR(EDATE(DATE(YEAR(TODAY()),MONTH(TODAY()),1),0))*12+MONTH(EDATE(DATE(YEAR(TODAY()),MONTH(TODAY()),1),0)))&gt;(YEAR(Suppliers!G19)*12+MONTH(Suppliers!G19))),"",1),IF(Suppliers!E19="Quarterly",IF(MOD((YEAR(EDATE(DATE(YEAR(TODAY()),MONTH(TODAY()),1),0))-YEAR(IF(ISNUMBER(Suppliers!F19),Suppliers!F19,DATE(YEAR(TODAY()),MONTH(TODAY()),1))))*12+MONTH(EDATE(DATE(YEAR(TODAY()),MONTH(TODAY()),1),0))-MONTH(IF(ISNUMBER(Suppliers!F19),Suppliers!F19,DATE(YEAR(TODAY()),MONTH(TODAY()),1))),3)=0,1,0),IF(Suppliers!E19="Semi-annual",IF(MOD((YEAR(EDATE(DATE(YEAR(TODAY()),MONTH(TODAY()),1),0))-YEAR(IF(ISNUMBER(Suppliers!F19),Suppliers!F19,DATE(YEAR(TODAY()),MONTH(TODAY()),1))))*12+MONTH(EDATE(DATE(YEAR(TODAY()),MONTH(TODAY()),1),0))-MONTH(IF(ISNUMBER(Suppliers!F19),Suppliers!F19,DATE(YEAR(TODAY()),MONTH(TODAY()),1))),6)=0,1,0),IF(Suppliers!E19="Annual",IF(MOD((YEAR(EDATE(DATE(YEAR(TODAY()),MONTH(TODAY()),1),0))-YEAR(IF(ISNUMBER(Suppliers!F19),Suppliers!F19,DATE(YEAR(TODAY()),MONTH(TODAY()),1))))*12+MONTH(EDATE(DATE(YEAR(TODAY()),MONTH(TODAY()),1),0))-MONTH(IF(ISNUMBER(Suppliers!F19),Suppliers!F19,DATE(YEAR(TODAY()),MONTH(TODAY()),1))),12)=0,1,0),IF(Suppliers!E19="One-time",IF(0=0,1,0),1)))))),"")</f>
        <v>-250</v>
      </c>
      <c r="G21" s="10">
        <f ca="1">IFERROR(IF(OR(1&gt;=$B$1,Suppliers!A19="",NOT(ISNUMBER(Suppliers!D19)),Suppliers!L19="Expired",Suppliers!L19="Terminate"),"",Suppliers!D19*-1*IF(Suppliers!E19="Monthly",IF(AND(ISNUMBER(Suppliers!G19),(YEAR(EDATE(DATE(YEAR(TODAY()),MONTH(TODAY()),1),1))*12+MONTH(EDATE(DATE(YEAR(TODAY()),MONTH(TODAY()),1),1)))&gt;(YEAR(Suppliers!G19)*12+MONTH(Suppliers!G19))),"",1),IF(Suppliers!E19="Quarterly",IF(MOD((YEAR(EDATE(DATE(YEAR(TODAY()),MONTH(TODAY()),1),1))-YEAR(IF(ISNUMBER(Suppliers!F19),Suppliers!F19,DATE(YEAR(TODAY()),MONTH(TODAY()),1))))*12+MONTH(EDATE(DATE(YEAR(TODAY()),MONTH(TODAY()),1),1))-MONTH(IF(ISNUMBER(Suppliers!F19),Suppliers!F19,DATE(YEAR(TODAY()),MONTH(TODAY()),1))),3)=0,1,0),IF(Suppliers!E19="Semi-annual",IF(MOD((YEAR(EDATE(DATE(YEAR(TODAY()),MONTH(TODAY()),1),1))-YEAR(IF(ISNUMBER(Suppliers!F19),Suppliers!F19,DATE(YEAR(TODAY()),MONTH(TODAY()),1))))*12+MONTH(EDATE(DATE(YEAR(TODAY()),MONTH(TODAY()),1),1))-MONTH(IF(ISNUMBER(Suppliers!F19),Suppliers!F19,DATE(YEAR(TODAY()),MONTH(TODAY()),1))),6)=0,1,0),IF(Suppliers!E19="Annual",IF(MOD((YEAR(EDATE(DATE(YEAR(TODAY()),MONTH(TODAY()),1),1))-YEAR(IF(ISNUMBER(Suppliers!F19),Suppliers!F19,DATE(YEAR(TODAY()),MONTH(TODAY()),1))))*12+MONTH(EDATE(DATE(YEAR(TODAY()),MONTH(TODAY()),1),1))-MONTH(IF(ISNUMBER(Suppliers!F19),Suppliers!F19,DATE(YEAR(TODAY()),MONTH(TODAY()),1))),12)=0,1,0),IF(Suppliers!E19="One-time",IF(1=0,1,0),1)))))),"")</f>
        <v>-250</v>
      </c>
      <c r="H21" s="10">
        <f ca="1">IFERROR(IF(OR(2&gt;=$B$1,Suppliers!A19="",NOT(ISNUMBER(Suppliers!D19)),Suppliers!L19="Expired",Suppliers!L19="Terminate"),"",Suppliers!D19*-1*IF(Suppliers!E19="Monthly",IF(AND(ISNUMBER(Suppliers!G19),(YEAR(EDATE(DATE(YEAR(TODAY()),MONTH(TODAY()),1),2))*12+MONTH(EDATE(DATE(YEAR(TODAY()),MONTH(TODAY()),1),2)))&gt;(YEAR(Suppliers!G19)*12+MONTH(Suppliers!G19))),"",1),IF(Suppliers!E19="Quarterly",IF(MOD((YEAR(EDATE(DATE(YEAR(TODAY()),MONTH(TODAY()),1),2))-YEAR(IF(ISNUMBER(Suppliers!F19),Suppliers!F19,DATE(YEAR(TODAY()),MONTH(TODAY()),1))))*12+MONTH(EDATE(DATE(YEAR(TODAY()),MONTH(TODAY()),1),2))-MONTH(IF(ISNUMBER(Suppliers!F19),Suppliers!F19,DATE(YEAR(TODAY()),MONTH(TODAY()),1))),3)=0,1,0),IF(Suppliers!E19="Semi-annual",IF(MOD((YEAR(EDATE(DATE(YEAR(TODAY()),MONTH(TODAY()),1),2))-YEAR(IF(ISNUMBER(Suppliers!F19),Suppliers!F19,DATE(YEAR(TODAY()),MONTH(TODAY()),1))))*12+MONTH(EDATE(DATE(YEAR(TODAY()),MONTH(TODAY()),1),2))-MONTH(IF(ISNUMBER(Suppliers!F19),Suppliers!F19,DATE(YEAR(TODAY()),MONTH(TODAY()),1))),6)=0,1,0),IF(Suppliers!E19="Annual",IF(MOD((YEAR(EDATE(DATE(YEAR(TODAY()),MONTH(TODAY()),1),2))-YEAR(IF(ISNUMBER(Suppliers!F19),Suppliers!F19,DATE(YEAR(TODAY()),MONTH(TODAY()),1))))*12+MONTH(EDATE(DATE(YEAR(TODAY()),MONTH(TODAY()),1),2))-MONTH(IF(ISNUMBER(Suppliers!F19),Suppliers!F19,DATE(YEAR(TODAY()),MONTH(TODAY()),1))),12)=0,1,0),IF(Suppliers!E19="One-time",IF(2=0,1,0),1)))))),"")</f>
        <v>-250</v>
      </c>
      <c r="I21" s="10" t="str">
        <f ca="1">IFERROR(IF(OR(3&gt;=$B$1,Suppliers!A19="",NOT(ISNUMBER(Suppliers!D19)),Suppliers!L19="Expired",Suppliers!L19="Terminate"),"",Suppliers!D19*-1*IF(Suppliers!E19="Monthly",IF(AND(ISNUMBER(Suppliers!G19),(YEAR(EDATE(DATE(YEAR(TODAY()),MONTH(TODAY()),1),3))*12+MONTH(EDATE(DATE(YEAR(TODAY()),MONTH(TODAY()),1),3)))&gt;(YEAR(Suppliers!G19)*12+MONTH(Suppliers!G19))),"",1),IF(Suppliers!E19="Quarterly",IF(MOD((YEAR(EDATE(DATE(YEAR(TODAY()),MONTH(TODAY()),1),3))-YEAR(IF(ISNUMBER(Suppliers!F19),Suppliers!F19,DATE(YEAR(TODAY()),MONTH(TODAY()),1))))*12+MONTH(EDATE(DATE(YEAR(TODAY()),MONTH(TODAY()),1),3))-MONTH(IF(ISNUMBER(Suppliers!F19),Suppliers!F19,DATE(YEAR(TODAY()),MONTH(TODAY()),1))),3)=0,1,0),IF(Suppliers!E19="Semi-annual",IF(MOD((YEAR(EDATE(DATE(YEAR(TODAY()),MONTH(TODAY()),1),3))-YEAR(IF(ISNUMBER(Suppliers!F19),Suppliers!F19,DATE(YEAR(TODAY()),MONTH(TODAY()),1))))*12+MONTH(EDATE(DATE(YEAR(TODAY()),MONTH(TODAY()),1),3))-MONTH(IF(ISNUMBER(Suppliers!F19),Suppliers!F19,DATE(YEAR(TODAY()),MONTH(TODAY()),1))),6)=0,1,0),IF(Suppliers!E19="Annual",IF(MOD((YEAR(EDATE(DATE(YEAR(TODAY()),MONTH(TODAY()),1),3))-YEAR(IF(ISNUMBER(Suppliers!F19),Suppliers!F19,DATE(YEAR(TODAY()),MONTH(TODAY()),1))))*12+MONTH(EDATE(DATE(YEAR(TODAY()),MONTH(TODAY()),1),3))-MONTH(IF(ISNUMBER(Suppliers!F19),Suppliers!F19,DATE(YEAR(TODAY()),MONTH(TODAY()),1))),12)=0,1,0),IF(Suppliers!E19="One-time",IF(3=0,1,0),1)))))),"")</f>
        <v/>
      </c>
      <c r="J21" s="10" t="str">
        <f ca="1">IFERROR(IF(OR(4&gt;=$B$1,Suppliers!A19="",NOT(ISNUMBER(Suppliers!D19)),Suppliers!L19="Expired",Suppliers!L19="Terminate"),"",Suppliers!D19*-1*IF(Suppliers!E19="Monthly",IF(AND(ISNUMBER(Suppliers!G19),(YEAR(EDATE(DATE(YEAR(TODAY()),MONTH(TODAY()),1),4))*12+MONTH(EDATE(DATE(YEAR(TODAY()),MONTH(TODAY()),1),4)))&gt;(YEAR(Suppliers!G19)*12+MONTH(Suppliers!G19))),"",1),IF(Suppliers!E19="Quarterly",IF(MOD((YEAR(EDATE(DATE(YEAR(TODAY()),MONTH(TODAY()),1),4))-YEAR(IF(ISNUMBER(Suppliers!F19),Suppliers!F19,DATE(YEAR(TODAY()),MONTH(TODAY()),1))))*12+MONTH(EDATE(DATE(YEAR(TODAY()),MONTH(TODAY()),1),4))-MONTH(IF(ISNUMBER(Suppliers!F19),Suppliers!F19,DATE(YEAR(TODAY()),MONTH(TODAY()),1))),3)=0,1,0),IF(Suppliers!E19="Semi-annual",IF(MOD((YEAR(EDATE(DATE(YEAR(TODAY()),MONTH(TODAY()),1),4))-YEAR(IF(ISNUMBER(Suppliers!F19),Suppliers!F19,DATE(YEAR(TODAY()),MONTH(TODAY()),1))))*12+MONTH(EDATE(DATE(YEAR(TODAY()),MONTH(TODAY()),1),4))-MONTH(IF(ISNUMBER(Suppliers!F19),Suppliers!F19,DATE(YEAR(TODAY()),MONTH(TODAY()),1))),6)=0,1,0),IF(Suppliers!E19="Annual",IF(MOD((YEAR(EDATE(DATE(YEAR(TODAY()),MONTH(TODAY()),1),4))-YEAR(IF(ISNUMBER(Suppliers!F19),Suppliers!F19,DATE(YEAR(TODAY()),MONTH(TODAY()),1))))*12+MONTH(EDATE(DATE(YEAR(TODAY()),MONTH(TODAY()),1),4))-MONTH(IF(ISNUMBER(Suppliers!F19),Suppliers!F19,DATE(YEAR(TODAY()),MONTH(TODAY()),1))),12)=0,1,0),IF(Suppliers!E19="One-time",IF(4=0,1,0),1)))))),"")</f>
        <v/>
      </c>
      <c r="K21" s="10" t="str">
        <f ca="1">IFERROR(IF(OR(5&gt;=$B$1,Suppliers!A19="",NOT(ISNUMBER(Suppliers!D19)),Suppliers!L19="Expired",Suppliers!L19="Terminate"),"",Suppliers!D19*-1*IF(Suppliers!E19="Monthly",IF(AND(ISNUMBER(Suppliers!G19),(YEAR(EDATE(DATE(YEAR(TODAY()),MONTH(TODAY()),1),5))*12+MONTH(EDATE(DATE(YEAR(TODAY()),MONTH(TODAY()),1),5)))&gt;(YEAR(Suppliers!G19)*12+MONTH(Suppliers!G19))),"",1),IF(Suppliers!E19="Quarterly",IF(MOD((YEAR(EDATE(DATE(YEAR(TODAY()),MONTH(TODAY()),1),5))-YEAR(IF(ISNUMBER(Suppliers!F19),Suppliers!F19,DATE(YEAR(TODAY()),MONTH(TODAY()),1))))*12+MONTH(EDATE(DATE(YEAR(TODAY()),MONTH(TODAY()),1),5))-MONTH(IF(ISNUMBER(Suppliers!F19),Suppliers!F19,DATE(YEAR(TODAY()),MONTH(TODAY()),1))),3)=0,1,0),IF(Suppliers!E19="Semi-annual",IF(MOD((YEAR(EDATE(DATE(YEAR(TODAY()),MONTH(TODAY()),1),5))-YEAR(IF(ISNUMBER(Suppliers!F19),Suppliers!F19,DATE(YEAR(TODAY()),MONTH(TODAY()),1))))*12+MONTH(EDATE(DATE(YEAR(TODAY()),MONTH(TODAY()),1),5))-MONTH(IF(ISNUMBER(Suppliers!F19),Suppliers!F19,DATE(YEAR(TODAY()),MONTH(TODAY()),1))),6)=0,1,0),IF(Suppliers!E19="Annual",IF(MOD((YEAR(EDATE(DATE(YEAR(TODAY()),MONTH(TODAY()),1),5))-YEAR(IF(ISNUMBER(Suppliers!F19),Suppliers!F19,DATE(YEAR(TODAY()),MONTH(TODAY()),1))))*12+MONTH(EDATE(DATE(YEAR(TODAY()),MONTH(TODAY()),1),5))-MONTH(IF(ISNUMBER(Suppliers!F19),Suppliers!F19,DATE(YEAR(TODAY()),MONTH(TODAY()),1))),12)=0,1,0),IF(Suppliers!E19="One-time",IF(5=0,1,0),1)))))),"")</f>
        <v/>
      </c>
      <c r="L21" s="10" t="str">
        <f ca="1">IFERROR(IF(OR(6&gt;=$B$1,Suppliers!A19="",NOT(ISNUMBER(Suppliers!D19)),Suppliers!L19="Expired",Suppliers!L19="Terminate"),"",Suppliers!D19*-1*IF(Suppliers!E19="Monthly",IF(AND(ISNUMBER(Suppliers!G19),(YEAR(EDATE(DATE(YEAR(TODAY()),MONTH(TODAY()),1),6))*12+MONTH(EDATE(DATE(YEAR(TODAY()),MONTH(TODAY()),1),6)))&gt;(YEAR(Suppliers!G19)*12+MONTH(Suppliers!G19))),"",1),IF(Suppliers!E19="Quarterly",IF(MOD((YEAR(EDATE(DATE(YEAR(TODAY()),MONTH(TODAY()),1),6))-YEAR(IF(ISNUMBER(Suppliers!F19),Suppliers!F19,DATE(YEAR(TODAY()),MONTH(TODAY()),1))))*12+MONTH(EDATE(DATE(YEAR(TODAY()),MONTH(TODAY()),1),6))-MONTH(IF(ISNUMBER(Suppliers!F19),Suppliers!F19,DATE(YEAR(TODAY()),MONTH(TODAY()),1))),3)=0,1,0),IF(Suppliers!E19="Semi-annual",IF(MOD((YEAR(EDATE(DATE(YEAR(TODAY()),MONTH(TODAY()),1),6))-YEAR(IF(ISNUMBER(Suppliers!F19),Suppliers!F19,DATE(YEAR(TODAY()),MONTH(TODAY()),1))))*12+MONTH(EDATE(DATE(YEAR(TODAY()),MONTH(TODAY()),1),6))-MONTH(IF(ISNUMBER(Suppliers!F19),Suppliers!F19,DATE(YEAR(TODAY()),MONTH(TODAY()),1))),6)=0,1,0),IF(Suppliers!E19="Annual",IF(MOD((YEAR(EDATE(DATE(YEAR(TODAY()),MONTH(TODAY()),1),6))-YEAR(IF(ISNUMBER(Suppliers!F19),Suppliers!F19,DATE(YEAR(TODAY()),MONTH(TODAY()),1))))*12+MONTH(EDATE(DATE(YEAR(TODAY()),MONTH(TODAY()),1),6))-MONTH(IF(ISNUMBER(Suppliers!F19),Suppliers!F19,DATE(YEAR(TODAY()),MONTH(TODAY()),1))),12)=0,1,0),IF(Suppliers!E19="One-time",IF(6=0,1,0),1)))))),"")</f>
        <v/>
      </c>
      <c r="M21" s="10" t="str">
        <f ca="1">IFERROR(IF(OR(7&gt;=$B$1,Suppliers!A19="",NOT(ISNUMBER(Suppliers!D19)),Suppliers!L19="Expired",Suppliers!L19="Terminate"),"",Suppliers!D19*-1*IF(Suppliers!E19="Monthly",IF(AND(ISNUMBER(Suppliers!G19),(YEAR(EDATE(DATE(YEAR(TODAY()),MONTH(TODAY()),1),7))*12+MONTH(EDATE(DATE(YEAR(TODAY()),MONTH(TODAY()),1),7)))&gt;(YEAR(Suppliers!G19)*12+MONTH(Suppliers!G19))),"",1),IF(Suppliers!E19="Quarterly",IF(MOD((YEAR(EDATE(DATE(YEAR(TODAY()),MONTH(TODAY()),1),7))-YEAR(IF(ISNUMBER(Suppliers!F19),Suppliers!F19,DATE(YEAR(TODAY()),MONTH(TODAY()),1))))*12+MONTH(EDATE(DATE(YEAR(TODAY()),MONTH(TODAY()),1),7))-MONTH(IF(ISNUMBER(Suppliers!F19),Suppliers!F19,DATE(YEAR(TODAY()),MONTH(TODAY()),1))),3)=0,1,0),IF(Suppliers!E19="Semi-annual",IF(MOD((YEAR(EDATE(DATE(YEAR(TODAY()),MONTH(TODAY()),1),7))-YEAR(IF(ISNUMBER(Suppliers!F19),Suppliers!F19,DATE(YEAR(TODAY()),MONTH(TODAY()),1))))*12+MONTH(EDATE(DATE(YEAR(TODAY()),MONTH(TODAY()),1),7))-MONTH(IF(ISNUMBER(Suppliers!F19),Suppliers!F19,DATE(YEAR(TODAY()),MONTH(TODAY()),1))),6)=0,1,0),IF(Suppliers!E19="Annual",IF(MOD((YEAR(EDATE(DATE(YEAR(TODAY()),MONTH(TODAY()),1),7))-YEAR(IF(ISNUMBER(Suppliers!F19),Suppliers!F19,DATE(YEAR(TODAY()),MONTH(TODAY()),1))))*12+MONTH(EDATE(DATE(YEAR(TODAY()),MONTH(TODAY()),1),7))-MONTH(IF(ISNUMBER(Suppliers!F19),Suppliers!F19,DATE(YEAR(TODAY()),MONTH(TODAY()),1))),12)=0,1,0),IF(Suppliers!E19="One-time",IF(7=0,1,0),1)))))),"")</f>
        <v/>
      </c>
      <c r="N21" s="10" t="str">
        <f ca="1">IFERROR(IF(OR(8&gt;=$B$1,Suppliers!A19="",NOT(ISNUMBER(Suppliers!D19)),Suppliers!L19="Expired",Suppliers!L19="Terminate"),"",Suppliers!D19*-1*IF(Suppliers!E19="Monthly",IF(AND(ISNUMBER(Suppliers!G19),(YEAR(EDATE(DATE(YEAR(TODAY()),MONTH(TODAY()),1),8))*12+MONTH(EDATE(DATE(YEAR(TODAY()),MONTH(TODAY()),1),8)))&gt;(YEAR(Suppliers!G19)*12+MONTH(Suppliers!G19))),"",1),IF(Suppliers!E19="Quarterly",IF(MOD((YEAR(EDATE(DATE(YEAR(TODAY()),MONTH(TODAY()),1),8))-YEAR(IF(ISNUMBER(Suppliers!F19),Suppliers!F19,DATE(YEAR(TODAY()),MONTH(TODAY()),1))))*12+MONTH(EDATE(DATE(YEAR(TODAY()),MONTH(TODAY()),1),8))-MONTH(IF(ISNUMBER(Suppliers!F19),Suppliers!F19,DATE(YEAR(TODAY()),MONTH(TODAY()),1))),3)=0,1,0),IF(Suppliers!E19="Semi-annual",IF(MOD((YEAR(EDATE(DATE(YEAR(TODAY()),MONTH(TODAY()),1),8))-YEAR(IF(ISNUMBER(Suppliers!F19),Suppliers!F19,DATE(YEAR(TODAY()),MONTH(TODAY()),1))))*12+MONTH(EDATE(DATE(YEAR(TODAY()),MONTH(TODAY()),1),8))-MONTH(IF(ISNUMBER(Suppliers!F19),Suppliers!F19,DATE(YEAR(TODAY()),MONTH(TODAY()),1))),6)=0,1,0),IF(Suppliers!E19="Annual",IF(MOD((YEAR(EDATE(DATE(YEAR(TODAY()),MONTH(TODAY()),1),8))-YEAR(IF(ISNUMBER(Suppliers!F19),Suppliers!F19,DATE(YEAR(TODAY()),MONTH(TODAY()),1))))*12+MONTH(EDATE(DATE(YEAR(TODAY()),MONTH(TODAY()),1),8))-MONTH(IF(ISNUMBER(Suppliers!F19),Suppliers!F19,DATE(YEAR(TODAY()),MONTH(TODAY()),1))),12)=0,1,0),IF(Suppliers!E19="One-time",IF(8=0,1,0),1)))))),"")</f>
        <v/>
      </c>
      <c r="O21" s="10" t="str">
        <f ca="1">IFERROR(IF(OR(9&gt;=$B$1,Suppliers!A19="",NOT(ISNUMBER(Suppliers!D19)),Suppliers!L19="Expired",Suppliers!L19="Terminate"),"",Suppliers!D19*-1*IF(Suppliers!E19="Monthly",IF(AND(ISNUMBER(Suppliers!G19),(YEAR(EDATE(DATE(YEAR(TODAY()),MONTH(TODAY()),1),9))*12+MONTH(EDATE(DATE(YEAR(TODAY()),MONTH(TODAY()),1),9)))&gt;(YEAR(Suppliers!G19)*12+MONTH(Suppliers!G19))),"",1),IF(Suppliers!E19="Quarterly",IF(MOD((YEAR(EDATE(DATE(YEAR(TODAY()),MONTH(TODAY()),1),9))-YEAR(IF(ISNUMBER(Suppliers!F19),Suppliers!F19,DATE(YEAR(TODAY()),MONTH(TODAY()),1))))*12+MONTH(EDATE(DATE(YEAR(TODAY()),MONTH(TODAY()),1),9))-MONTH(IF(ISNUMBER(Suppliers!F19),Suppliers!F19,DATE(YEAR(TODAY()),MONTH(TODAY()),1))),3)=0,1,0),IF(Suppliers!E19="Semi-annual",IF(MOD((YEAR(EDATE(DATE(YEAR(TODAY()),MONTH(TODAY()),1),9))-YEAR(IF(ISNUMBER(Suppliers!F19),Suppliers!F19,DATE(YEAR(TODAY()),MONTH(TODAY()),1))))*12+MONTH(EDATE(DATE(YEAR(TODAY()),MONTH(TODAY()),1),9))-MONTH(IF(ISNUMBER(Suppliers!F19),Suppliers!F19,DATE(YEAR(TODAY()),MONTH(TODAY()),1))),6)=0,1,0),IF(Suppliers!E19="Annual",IF(MOD((YEAR(EDATE(DATE(YEAR(TODAY()),MONTH(TODAY()),1),9))-YEAR(IF(ISNUMBER(Suppliers!F19),Suppliers!F19,DATE(YEAR(TODAY()),MONTH(TODAY()),1))))*12+MONTH(EDATE(DATE(YEAR(TODAY()),MONTH(TODAY()),1),9))-MONTH(IF(ISNUMBER(Suppliers!F19),Suppliers!F19,DATE(YEAR(TODAY()),MONTH(TODAY()),1))),12)=0,1,0),IF(Suppliers!E19="One-time",IF(9=0,1,0),1)))))),"")</f>
        <v/>
      </c>
      <c r="P21" s="10" t="str">
        <f ca="1">IFERROR(IF(OR(10&gt;=$B$1,Suppliers!A19="",NOT(ISNUMBER(Suppliers!D19)),Suppliers!L19="Expired",Suppliers!L19="Terminate"),"",Suppliers!D19*-1*IF(Suppliers!E19="Monthly",IF(AND(ISNUMBER(Suppliers!G19),(YEAR(EDATE(DATE(YEAR(TODAY()),MONTH(TODAY()),1),10))*12+MONTH(EDATE(DATE(YEAR(TODAY()),MONTH(TODAY()),1),10)))&gt;(YEAR(Suppliers!G19)*12+MONTH(Suppliers!G19))),"",1),IF(Suppliers!E19="Quarterly",IF(MOD((YEAR(EDATE(DATE(YEAR(TODAY()),MONTH(TODAY()),1),10))-YEAR(IF(ISNUMBER(Suppliers!F19),Suppliers!F19,DATE(YEAR(TODAY()),MONTH(TODAY()),1))))*12+MONTH(EDATE(DATE(YEAR(TODAY()),MONTH(TODAY()),1),10))-MONTH(IF(ISNUMBER(Suppliers!F19),Suppliers!F19,DATE(YEAR(TODAY()),MONTH(TODAY()),1))),3)=0,1,0),IF(Suppliers!E19="Semi-annual",IF(MOD((YEAR(EDATE(DATE(YEAR(TODAY()),MONTH(TODAY()),1),10))-YEAR(IF(ISNUMBER(Suppliers!F19),Suppliers!F19,DATE(YEAR(TODAY()),MONTH(TODAY()),1))))*12+MONTH(EDATE(DATE(YEAR(TODAY()),MONTH(TODAY()),1),10))-MONTH(IF(ISNUMBER(Suppliers!F19),Suppliers!F19,DATE(YEAR(TODAY()),MONTH(TODAY()),1))),6)=0,1,0),IF(Suppliers!E19="Annual",IF(MOD((YEAR(EDATE(DATE(YEAR(TODAY()),MONTH(TODAY()),1),10))-YEAR(IF(ISNUMBER(Suppliers!F19),Suppliers!F19,DATE(YEAR(TODAY()),MONTH(TODAY()),1))))*12+MONTH(EDATE(DATE(YEAR(TODAY()),MONTH(TODAY()),1),10))-MONTH(IF(ISNUMBER(Suppliers!F19),Suppliers!F19,DATE(YEAR(TODAY()),MONTH(TODAY()),1))),12)=0,1,0),IF(Suppliers!E19="One-time",IF(10=0,1,0),1)))))),"")</f>
        <v/>
      </c>
      <c r="Q21" s="10" t="str">
        <f ca="1">IFERROR(IF(OR(11&gt;=$B$1,Suppliers!A19="",NOT(ISNUMBER(Suppliers!D19)),Suppliers!L19="Expired",Suppliers!L19="Terminate"),"",Suppliers!D19*-1*IF(Suppliers!E19="Monthly",IF(AND(ISNUMBER(Suppliers!G19),(YEAR(EDATE(DATE(YEAR(TODAY()),MONTH(TODAY()),1),11))*12+MONTH(EDATE(DATE(YEAR(TODAY()),MONTH(TODAY()),1),11)))&gt;(YEAR(Suppliers!G19)*12+MONTH(Suppliers!G19))),"",1),IF(Suppliers!E19="Quarterly",IF(MOD((YEAR(EDATE(DATE(YEAR(TODAY()),MONTH(TODAY()),1),11))-YEAR(IF(ISNUMBER(Suppliers!F19),Suppliers!F19,DATE(YEAR(TODAY()),MONTH(TODAY()),1))))*12+MONTH(EDATE(DATE(YEAR(TODAY()),MONTH(TODAY()),1),11))-MONTH(IF(ISNUMBER(Suppliers!F19),Suppliers!F19,DATE(YEAR(TODAY()),MONTH(TODAY()),1))),3)=0,1,0),IF(Suppliers!E19="Semi-annual",IF(MOD((YEAR(EDATE(DATE(YEAR(TODAY()),MONTH(TODAY()),1),11))-YEAR(IF(ISNUMBER(Suppliers!F19),Suppliers!F19,DATE(YEAR(TODAY()),MONTH(TODAY()),1))))*12+MONTH(EDATE(DATE(YEAR(TODAY()),MONTH(TODAY()),1),11))-MONTH(IF(ISNUMBER(Suppliers!F19),Suppliers!F19,DATE(YEAR(TODAY()),MONTH(TODAY()),1))),6)=0,1,0),IF(Suppliers!E19="Annual",IF(MOD((YEAR(EDATE(DATE(YEAR(TODAY()),MONTH(TODAY()),1),11))-YEAR(IF(ISNUMBER(Suppliers!F19),Suppliers!F19,DATE(YEAR(TODAY()),MONTH(TODAY()),1))))*12+MONTH(EDATE(DATE(YEAR(TODAY()),MONTH(TODAY()),1),11))-MONTH(IF(ISNUMBER(Suppliers!F19),Suppliers!F19,DATE(YEAR(TODAY()),MONTH(TODAY()),1))),12)=0,1,0),IF(Suppliers!E19="One-time",IF(11=0,1,0),1)))))),"")</f>
        <v/>
      </c>
      <c r="R21" s="10" t="str">
        <f ca="1">IFERROR(IF(OR(12&gt;=$B$1,Suppliers!A19="",NOT(ISNUMBER(Suppliers!D19)),Suppliers!L19="Expired",Suppliers!L19="Terminate"),"",Suppliers!D19*-1*IF(Suppliers!E19="Monthly",IF(AND(ISNUMBER(Suppliers!G19),(YEAR(EDATE(DATE(YEAR(TODAY()),MONTH(TODAY()),1),12))*12+MONTH(EDATE(DATE(YEAR(TODAY()),MONTH(TODAY()),1),12)))&gt;(YEAR(Suppliers!G19)*12+MONTH(Suppliers!G19))),"",1),IF(Suppliers!E19="Quarterly",IF(MOD((YEAR(EDATE(DATE(YEAR(TODAY()),MONTH(TODAY()),1),12))-YEAR(IF(ISNUMBER(Suppliers!F19),Suppliers!F19,DATE(YEAR(TODAY()),MONTH(TODAY()),1))))*12+MONTH(EDATE(DATE(YEAR(TODAY()),MONTH(TODAY()),1),12))-MONTH(IF(ISNUMBER(Suppliers!F19),Suppliers!F19,DATE(YEAR(TODAY()),MONTH(TODAY()),1))),3)=0,1,0),IF(Suppliers!E19="Semi-annual",IF(MOD((YEAR(EDATE(DATE(YEAR(TODAY()),MONTH(TODAY()),1),12))-YEAR(IF(ISNUMBER(Suppliers!F19),Suppliers!F19,DATE(YEAR(TODAY()),MONTH(TODAY()),1))))*12+MONTH(EDATE(DATE(YEAR(TODAY()),MONTH(TODAY()),1),12))-MONTH(IF(ISNUMBER(Suppliers!F19),Suppliers!F19,DATE(YEAR(TODAY()),MONTH(TODAY()),1))),6)=0,1,0),IF(Suppliers!E19="Annual",IF(MOD((YEAR(EDATE(DATE(YEAR(TODAY()),MONTH(TODAY()),1),12))-YEAR(IF(ISNUMBER(Suppliers!F19),Suppliers!F19,DATE(YEAR(TODAY()),MONTH(TODAY()),1))))*12+MONTH(EDATE(DATE(YEAR(TODAY()),MONTH(TODAY()),1),12))-MONTH(IF(ISNUMBER(Suppliers!F19),Suppliers!F19,DATE(YEAR(TODAY()),MONTH(TODAY()),1))),12)=0,1,0),IF(Suppliers!E19="One-time",IF(12=0,1,0),1)))))),"")</f>
        <v/>
      </c>
      <c r="S21" s="10" t="str">
        <f ca="1">IFERROR(IF(OR(13&gt;=$B$1,Suppliers!A19="",NOT(ISNUMBER(Suppliers!D19)),Suppliers!L19="Expired",Suppliers!L19="Terminate"),"",Suppliers!D19*-1*IF(Suppliers!E19="Monthly",IF(AND(ISNUMBER(Suppliers!G19),(YEAR(EDATE(DATE(YEAR(TODAY()),MONTH(TODAY()),1),13))*12+MONTH(EDATE(DATE(YEAR(TODAY()),MONTH(TODAY()),1),13)))&gt;(YEAR(Suppliers!G19)*12+MONTH(Suppliers!G19))),"",1),IF(Suppliers!E19="Quarterly",IF(MOD((YEAR(EDATE(DATE(YEAR(TODAY()),MONTH(TODAY()),1),13))-YEAR(IF(ISNUMBER(Suppliers!F19),Suppliers!F19,DATE(YEAR(TODAY()),MONTH(TODAY()),1))))*12+MONTH(EDATE(DATE(YEAR(TODAY()),MONTH(TODAY()),1),13))-MONTH(IF(ISNUMBER(Suppliers!F19),Suppliers!F19,DATE(YEAR(TODAY()),MONTH(TODAY()),1))),3)=0,1,0),IF(Suppliers!E19="Semi-annual",IF(MOD((YEAR(EDATE(DATE(YEAR(TODAY()),MONTH(TODAY()),1),13))-YEAR(IF(ISNUMBER(Suppliers!F19),Suppliers!F19,DATE(YEAR(TODAY()),MONTH(TODAY()),1))))*12+MONTH(EDATE(DATE(YEAR(TODAY()),MONTH(TODAY()),1),13))-MONTH(IF(ISNUMBER(Suppliers!F19),Suppliers!F19,DATE(YEAR(TODAY()),MONTH(TODAY()),1))),6)=0,1,0),IF(Suppliers!E19="Annual",IF(MOD((YEAR(EDATE(DATE(YEAR(TODAY()),MONTH(TODAY()),1),13))-YEAR(IF(ISNUMBER(Suppliers!F19),Suppliers!F19,DATE(YEAR(TODAY()),MONTH(TODAY()),1))))*12+MONTH(EDATE(DATE(YEAR(TODAY()),MONTH(TODAY()),1),13))-MONTH(IF(ISNUMBER(Suppliers!F19),Suppliers!F19,DATE(YEAR(TODAY()),MONTH(TODAY()),1))),12)=0,1,0),IF(Suppliers!E19="One-time",IF(13=0,1,0),1)))))),"")</f>
        <v/>
      </c>
      <c r="T21" s="10" t="str">
        <f ca="1">IFERROR(IF(OR(14&gt;=$B$1,Suppliers!A19="",NOT(ISNUMBER(Suppliers!D19)),Suppliers!L19="Expired",Suppliers!L19="Terminate"),"",Suppliers!D19*-1*IF(Suppliers!E19="Monthly",IF(AND(ISNUMBER(Suppliers!G19),(YEAR(EDATE(DATE(YEAR(TODAY()),MONTH(TODAY()),1),14))*12+MONTH(EDATE(DATE(YEAR(TODAY()),MONTH(TODAY()),1),14)))&gt;(YEAR(Suppliers!G19)*12+MONTH(Suppliers!G19))),"",1),IF(Suppliers!E19="Quarterly",IF(MOD((YEAR(EDATE(DATE(YEAR(TODAY()),MONTH(TODAY()),1),14))-YEAR(IF(ISNUMBER(Suppliers!F19),Suppliers!F19,DATE(YEAR(TODAY()),MONTH(TODAY()),1))))*12+MONTH(EDATE(DATE(YEAR(TODAY()),MONTH(TODAY()),1),14))-MONTH(IF(ISNUMBER(Suppliers!F19),Suppliers!F19,DATE(YEAR(TODAY()),MONTH(TODAY()),1))),3)=0,1,0),IF(Suppliers!E19="Semi-annual",IF(MOD((YEAR(EDATE(DATE(YEAR(TODAY()),MONTH(TODAY()),1),14))-YEAR(IF(ISNUMBER(Suppliers!F19),Suppliers!F19,DATE(YEAR(TODAY()),MONTH(TODAY()),1))))*12+MONTH(EDATE(DATE(YEAR(TODAY()),MONTH(TODAY()),1),14))-MONTH(IF(ISNUMBER(Suppliers!F19),Suppliers!F19,DATE(YEAR(TODAY()),MONTH(TODAY()),1))),6)=0,1,0),IF(Suppliers!E19="Annual",IF(MOD((YEAR(EDATE(DATE(YEAR(TODAY()),MONTH(TODAY()),1),14))-YEAR(IF(ISNUMBER(Suppliers!F19),Suppliers!F19,DATE(YEAR(TODAY()),MONTH(TODAY()),1))))*12+MONTH(EDATE(DATE(YEAR(TODAY()),MONTH(TODAY()),1),14))-MONTH(IF(ISNUMBER(Suppliers!F19),Suppliers!F19,DATE(YEAR(TODAY()),MONTH(TODAY()),1))),12)=0,1,0),IF(Suppliers!E19="One-time",IF(14=0,1,0),1)))))),"")</f>
        <v/>
      </c>
      <c r="U21" s="10" t="str">
        <f ca="1">IFERROR(IF(OR(15&gt;=$B$1,Suppliers!A19="",NOT(ISNUMBER(Suppliers!D19)),Suppliers!L19="Expired",Suppliers!L19="Terminate"),"",Suppliers!D19*-1*IF(Suppliers!E19="Monthly",IF(AND(ISNUMBER(Suppliers!G19),(YEAR(EDATE(DATE(YEAR(TODAY()),MONTH(TODAY()),1),15))*12+MONTH(EDATE(DATE(YEAR(TODAY()),MONTH(TODAY()),1),15)))&gt;(YEAR(Suppliers!G19)*12+MONTH(Suppliers!G19))),"",1),IF(Suppliers!E19="Quarterly",IF(MOD((YEAR(EDATE(DATE(YEAR(TODAY()),MONTH(TODAY()),1),15))-YEAR(IF(ISNUMBER(Suppliers!F19),Suppliers!F19,DATE(YEAR(TODAY()),MONTH(TODAY()),1))))*12+MONTH(EDATE(DATE(YEAR(TODAY()),MONTH(TODAY()),1),15))-MONTH(IF(ISNUMBER(Suppliers!F19),Suppliers!F19,DATE(YEAR(TODAY()),MONTH(TODAY()),1))),3)=0,1,0),IF(Suppliers!E19="Semi-annual",IF(MOD((YEAR(EDATE(DATE(YEAR(TODAY()),MONTH(TODAY()),1),15))-YEAR(IF(ISNUMBER(Suppliers!F19),Suppliers!F19,DATE(YEAR(TODAY()),MONTH(TODAY()),1))))*12+MONTH(EDATE(DATE(YEAR(TODAY()),MONTH(TODAY()),1),15))-MONTH(IF(ISNUMBER(Suppliers!F19),Suppliers!F19,DATE(YEAR(TODAY()),MONTH(TODAY()),1))),6)=0,1,0),IF(Suppliers!E19="Annual",IF(MOD((YEAR(EDATE(DATE(YEAR(TODAY()),MONTH(TODAY()),1),15))-YEAR(IF(ISNUMBER(Suppliers!F19),Suppliers!F19,DATE(YEAR(TODAY()),MONTH(TODAY()),1))))*12+MONTH(EDATE(DATE(YEAR(TODAY()),MONTH(TODAY()),1),15))-MONTH(IF(ISNUMBER(Suppliers!F19),Suppliers!F19,DATE(YEAR(TODAY()),MONTH(TODAY()),1))),12)=0,1,0),IF(Suppliers!E19="One-time",IF(15=0,1,0),1)))))),"")</f>
        <v/>
      </c>
      <c r="V21" s="10" t="str">
        <f ca="1">IFERROR(IF(OR(16&gt;=$B$1,Suppliers!A19="",NOT(ISNUMBER(Suppliers!D19)),Suppliers!L19="Expired",Suppliers!L19="Terminate"),"",Suppliers!D19*-1*IF(Suppliers!E19="Monthly",IF(AND(ISNUMBER(Suppliers!G19),(YEAR(EDATE(DATE(YEAR(TODAY()),MONTH(TODAY()),1),16))*12+MONTH(EDATE(DATE(YEAR(TODAY()),MONTH(TODAY()),1),16)))&gt;(YEAR(Suppliers!G19)*12+MONTH(Suppliers!G19))),"",1),IF(Suppliers!E19="Quarterly",IF(MOD((YEAR(EDATE(DATE(YEAR(TODAY()),MONTH(TODAY()),1),16))-YEAR(IF(ISNUMBER(Suppliers!F19),Suppliers!F19,DATE(YEAR(TODAY()),MONTH(TODAY()),1))))*12+MONTH(EDATE(DATE(YEAR(TODAY()),MONTH(TODAY()),1),16))-MONTH(IF(ISNUMBER(Suppliers!F19),Suppliers!F19,DATE(YEAR(TODAY()),MONTH(TODAY()),1))),3)=0,1,0),IF(Suppliers!E19="Semi-annual",IF(MOD((YEAR(EDATE(DATE(YEAR(TODAY()),MONTH(TODAY()),1),16))-YEAR(IF(ISNUMBER(Suppliers!F19),Suppliers!F19,DATE(YEAR(TODAY()),MONTH(TODAY()),1))))*12+MONTH(EDATE(DATE(YEAR(TODAY()),MONTH(TODAY()),1),16))-MONTH(IF(ISNUMBER(Suppliers!F19),Suppliers!F19,DATE(YEAR(TODAY()),MONTH(TODAY()),1))),6)=0,1,0),IF(Suppliers!E19="Annual",IF(MOD((YEAR(EDATE(DATE(YEAR(TODAY()),MONTH(TODAY()),1),16))-YEAR(IF(ISNUMBER(Suppliers!F19),Suppliers!F19,DATE(YEAR(TODAY()),MONTH(TODAY()),1))))*12+MONTH(EDATE(DATE(YEAR(TODAY()),MONTH(TODAY()),1),16))-MONTH(IF(ISNUMBER(Suppliers!F19),Suppliers!F19,DATE(YEAR(TODAY()),MONTH(TODAY()),1))),12)=0,1,0),IF(Suppliers!E19="One-time",IF(16=0,1,0),1)))))),"")</f>
        <v/>
      </c>
      <c r="W21" s="10" t="str">
        <f ca="1">IFERROR(IF(OR(17&gt;=$B$1,Suppliers!A19="",NOT(ISNUMBER(Suppliers!D19)),Suppliers!L19="Expired",Suppliers!L19="Terminate"),"",Suppliers!D19*-1*IF(Suppliers!E19="Monthly",IF(AND(ISNUMBER(Suppliers!G19),(YEAR(EDATE(DATE(YEAR(TODAY()),MONTH(TODAY()),1),17))*12+MONTH(EDATE(DATE(YEAR(TODAY()),MONTH(TODAY()),1),17)))&gt;(YEAR(Suppliers!G19)*12+MONTH(Suppliers!G19))),"",1),IF(Suppliers!E19="Quarterly",IF(MOD((YEAR(EDATE(DATE(YEAR(TODAY()),MONTH(TODAY()),1),17))-YEAR(IF(ISNUMBER(Suppliers!F19),Suppliers!F19,DATE(YEAR(TODAY()),MONTH(TODAY()),1))))*12+MONTH(EDATE(DATE(YEAR(TODAY()),MONTH(TODAY()),1),17))-MONTH(IF(ISNUMBER(Suppliers!F19),Suppliers!F19,DATE(YEAR(TODAY()),MONTH(TODAY()),1))),3)=0,1,0),IF(Suppliers!E19="Semi-annual",IF(MOD((YEAR(EDATE(DATE(YEAR(TODAY()),MONTH(TODAY()),1),17))-YEAR(IF(ISNUMBER(Suppliers!F19),Suppliers!F19,DATE(YEAR(TODAY()),MONTH(TODAY()),1))))*12+MONTH(EDATE(DATE(YEAR(TODAY()),MONTH(TODAY()),1),17))-MONTH(IF(ISNUMBER(Suppliers!F19),Suppliers!F19,DATE(YEAR(TODAY()),MONTH(TODAY()),1))),6)=0,1,0),IF(Suppliers!E19="Annual",IF(MOD((YEAR(EDATE(DATE(YEAR(TODAY()),MONTH(TODAY()),1),17))-YEAR(IF(ISNUMBER(Suppliers!F19),Suppliers!F19,DATE(YEAR(TODAY()),MONTH(TODAY()),1))))*12+MONTH(EDATE(DATE(YEAR(TODAY()),MONTH(TODAY()),1),17))-MONTH(IF(ISNUMBER(Suppliers!F19),Suppliers!F19,DATE(YEAR(TODAY()),MONTH(TODAY()),1))),12)=0,1,0),IF(Suppliers!E19="One-time",IF(17=0,1,0),1)))))),"")</f>
        <v/>
      </c>
      <c r="X21" s="10" t="str">
        <f ca="1">IFERROR(IF(OR(18&gt;=$B$1,Suppliers!A19="",NOT(ISNUMBER(Suppliers!D19)),Suppliers!L19="Expired",Suppliers!L19="Terminate"),"",Suppliers!D19*-1*IF(Suppliers!E19="Monthly",IF(AND(ISNUMBER(Suppliers!G19),(YEAR(EDATE(DATE(YEAR(TODAY()),MONTH(TODAY()),1),18))*12+MONTH(EDATE(DATE(YEAR(TODAY()),MONTH(TODAY()),1),18)))&gt;(YEAR(Suppliers!G19)*12+MONTH(Suppliers!G19))),"",1),IF(Suppliers!E19="Quarterly",IF(MOD((YEAR(EDATE(DATE(YEAR(TODAY()),MONTH(TODAY()),1),18))-YEAR(IF(ISNUMBER(Suppliers!F19),Suppliers!F19,DATE(YEAR(TODAY()),MONTH(TODAY()),1))))*12+MONTH(EDATE(DATE(YEAR(TODAY()),MONTH(TODAY()),1),18))-MONTH(IF(ISNUMBER(Suppliers!F19),Suppliers!F19,DATE(YEAR(TODAY()),MONTH(TODAY()),1))),3)=0,1,0),IF(Suppliers!E19="Semi-annual",IF(MOD((YEAR(EDATE(DATE(YEAR(TODAY()),MONTH(TODAY()),1),18))-YEAR(IF(ISNUMBER(Suppliers!F19),Suppliers!F19,DATE(YEAR(TODAY()),MONTH(TODAY()),1))))*12+MONTH(EDATE(DATE(YEAR(TODAY()),MONTH(TODAY()),1),18))-MONTH(IF(ISNUMBER(Suppliers!F19),Suppliers!F19,DATE(YEAR(TODAY()),MONTH(TODAY()),1))),6)=0,1,0),IF(Suppliers!E19="Annual",IF(MOD((YEAR(EDATE(DATE(YEAR(TODAY()),MONTH(TODAY()),1),18))-YEAR(IF(ISNUMBER(Suppliers!F19),Suppliers!F19,DATE(YEAR(TODAY()),MONTH(TODAY()),1))))*12+MONTH(EDATE(DATE(YEAR(TODAY()),MONTH(TODAY()),1),18))-MONTH(IF(ISNUMBER(Suppliers!F19),Suppliers!F19,DATE(YEAR(TODAY()),MONTH(TODAY()),1))),12)=0,1,0),IF(Suppliers!E19="One-time",IF(18=0,1,0),1)))))),"")</f>
        <v/>
      </c>
      <c r="Y21" s="10" t="str">
        <f ca="1">IFERROR(IF(OR(19&gt;=$B$1,Suppliers!A19="",NOT(ISNUMBER(Suppliers!D19)),Suppliers!L19="Expired",Suppliers!L19="Terminate"),"",Suppliers!D19*-1*IF(Suppliers!E19="Monthly",IF(AND(ISNUMBER(Suppliers!G19),(YEAR(EDATE(DATE(YEAR(TODAY()),MONTH(TODAY()),1),19))*12+MONTH(EDATE(DATE(YEAR(TODAY()),MONTH(TODAY()),1),19)))&gt;(YEAR(Suppliers!G19)*12+MONTH(Suppliers!G19))),"",1),IF(Suppliers!E19="Quarterly",IF(MOD((YEAR(EDATE(DATE(YEAR(TODAY()),MONTH(TODAY()),1),19))-YEAR(IF(ISNUMBER(Suppliers!F19),Suppliers!F19,DATE(YEAR(TODAY()),MONTH(TODAY()),1))))*12+MONTH(EDATE(DATE(YEAR(TODAY()),MONTH(TODAY()),1),19))-MONTH(IF(ISNUMBER(Suppliers!F19),Suppliers!F19,DATE(YEAR(TODAY()),MONTH(TODAY()),1))),3)=0,1,0),IF(Suppliers!E19="Semi-annual",IF(MOD((YEAR(EDATE(DATE(YEAR(TODAY()),MONTH(TODAY()),1),19))-YEAR(IF(ISNUMBER(Suppliers!F19),Suppliers!F19,DATE(YEAR(TODAY()),MONTH(TODAY()),1))))*12+MONTH(EDATE(DATE(YEAR(TODAY()),MONTH(TODAY()),1),19))-MONTH(IF(ISNUMBER(Suppliers!F19),Suppliers!F19,DATE(YEAR(TODAY()),MONTH(TODAY()),1))),6)=0,1,0),IF(Suppliers!E19="Annual",IF(MOD((YEAR(EDATE(DATE(YEAR(TODAY()),MONTH(TODAY()),1),19))-YEAR(IF(ISNUMBER(Suppliers!F19),Suppliers!F19,DATE(YEAR(TODAY()),MONTH(TODAY()),1))))*12+MONTH(EDATE(DATE(YEAR(TODAY()),MONTH(TODAY()),1),19))-MONTH(IF(ISNUMBER(Suppliers!F19),Suppliers!F19,DATE(YEAR(TODAY()),MONTH(TODAY()),1))),12)=0,1,0),IF(Suppliers!E19="One-time",IF(19=0,1,0),1)))))),"")</f>
        <v/>
      </c>
      <c r="Z21" s="10" t="str">
        <f ca="1">IFERROR(IF(OR(20&gt;=$B$1,Suppliers!A19="",NOT(ISNUMBER(Suppliers!D19)),Suppliers!L19="Expired",Suppliers!L19="Terminate"),"",Suppliers!D19*-1*IF(Suppliers!E19="Monthly",IF(AND(ISNUMBER(Suppliers!G19),(YEAR(EDATE(DATE(YEAR(TODAY()),MONTH(TODAY()),1),20))*12+MONTH(EDATE(DATE(YEAR(TODAY()),MONTH(TODAY()),1),20)))&gt;(YEAR(Suppliers!G19)*12+MONTH(Suppliers!G19))),"",1),IF(Suppliers!E19="Quarterly",IF(MOD((YEAR(EDATE(DATE(YEAR(TODAY()),MONTH(TODAY()),1),20))-YEAR(IF(ISNUMBER(Suppliers!F19),Suppliers!F19,DATE(YEAR(TODAY()),MONTH(TODAY()),1))))*12+MONTH(EDATE(DATE(YEAR(TODAY()),MONTH(TODAY()),1),20))-MONTH(IF(ISNUMBER(Suppliers!F19),Suppliers!F19,DATE(YEAR(TODAY()),MONTH(TODAY()),1))),3)=0,1,0),IF(Suppliers!E19="Semi-annual",IF(MOD((YEAR(EDATE(DATE(YEAR(TODAY()),MONTH(TODAY()),1),20))-YEAR(IF(ISNUMBER(Suppliers!F19),Suppliers!F19,DATE(YEAR(TODAY()),MONTH(TODAY()),1))))*12+MONTH(EDATE(DATE(YEAR(TODAY()),MONTH(TODAY()),1),20))-MONTH(IF(ISNUMBER(Suppliers!F19),Suppliers!F19,DATE(YEAR(TODAY()),MONTH(TODAY()),1))),6)=0,1,0),IF(Suppliers!E19="Annual",IF(MOD((YEAR(EDATE(DATE(YEAR(TODAY()),MONTH(TODAY()),1),20))-YEAR(IF(ISNUMBER(Suppliers!F19),Suppliers!F19,DATE(YEAR(TODAY()),MONTH(TODAY()),1))))*12+MONTH(EDATE(DATE(YEAR(TODAY()),MONTH(TODAY()),1),20))-MONTH(IF(ISNUMBER(Suppliers!F19),Suppliers!F19,DATE(YEAR(TODAY()),MONTH(TODAY()),1))),12)=0,1,0),IF(Suppliers!E19="One-time",IF(20=0,1,0),1)))))),"")</f>
        <v/>
      </c>
      <c r="AA21" s="10" t="str">
        <f ca="1">IFERROR(IF(OR(21&gt;=$B$1,Suppliers!A19="",NOT(ISNUMBER(Suppliers!D19)),Suppliers!L19="Expired",Suppliers!L19="Terminate"),"",Suppliers!D19*-1*IF(Suppliers!E19="Monthly",IF(AND(ISNUMBER(Suppliers!G19),(YEAR(EDATE(DATE(YEAR(TODAY()),MONTH(TODAY()),1),21))*12+MONTH(EDATE(DATE(YEAR(TODAY()),MONTH(TODAY()),1),21)))&gt;(YEAR(Suppliers!G19)*12+MONTH(Suppliers!G19))),"",1),IF(Suppliers!E19="Quarterly",IF(MOD((YEAR(EDATE(DATE(YEAR(TODAY()),MONTH(TODAY()),1),21))-YEAR(IF(ISNUMBER(Suppliers!F19),Suppliers!F19,DATE(YEAR(TODAY()),MONTH(TODAY()),1))))*12+MONTH(EDATE(DATE(YEAR(TODAY()),MONTH(TODAY()),1),21))-MONTH(IF(ISNUMBER(Suppliers!F19),Suppliers!F19,DATE(YEAR(TODAY()),MONTH(TODAY()),1))),3)=0,1,0),IF(Suppliers!E19="Semi-annual",IF(MOD((YEAR(EDATE(DATE(YEAR(TODAY()),MONTH(TODAY()),1),21))-YEAR(IF(ISNUMBER(Suppliers!F19),Suppliers!F19,DATE(YEAR(TODAY()),MONTH(TODAY()),1))))*12+MONTH(EDATE(DATE(YEAR(TODAY()),MONTH(TODAY()),1),21))-MONTH(IF(ISNUMBER(Suppliers!F19),Suppliers!F19,DATE(YEAR(TODAY()),MONTH(TODAY()),1))),6)=0,1,0),IF(Suppliers!E19="Annual",IF(MOD((YEAR(EDATE(DATE(YEAR(TODAY()),MONTH(TODAY()),1),21))-YEAR(IF(ISNUMBER(Suppliers!F19),Suppliers!F19,DATE(YEAR(TODAY()),MONTH(TODAY()),1))))*12+MONTH(EDATE(DATE(YEAR(TODAY()),MONTH(TODAY()),1),21))-MONTH(IF(ISNUMBER(Suppliers!F19),Suppliers!F19,DATE(YEAR(TODAY()),MONTH(TODAY()),1))),12)=0,1,0),IF(Suppliers!E19="One-time",IF(21=0,1,0),1)))))),"")</f>
        <v/>
      </c>
      <c r="AB21" s="10" t="str">
        <f ca="1">IFERROR(IF(OR(22&gt;=$B$1,Suppliers!A19="",NOT(ISNUMBER(Suppliers!D19)),Suppliers!L19="Expired",Suppliers!L19="Terminate"),"",Suppliers!D19*-1*IF(Suppliers!E19="Monthly",IF(AND(ISNUMBER(Suppliers!G19),(YEAR(EDATE(DATE(YEAR(TODAY()),MONTH(TODAY()),1),22))*12+MONTH(EDATE(DATE(YEAR(TODAY()),MONTH(TODAY()),1),22)))&gt;(YEAR(Suppliers!G19)*12+MONTH(Suppliers!G19))),"",1),IF(Suppliers!E19="Quarterly",IF(MOD((YEAR(EDATE(DATE(YEAR(TODAY()),MONTH(TODAY()),1),22))-YEAR(IF(ISNUMBER(Suppliers!F19),Suppliers!F19,DATE(YEAR(TODAY()),MONTH(TODAY()),1))))*12+MONTH(EDATE(DATE(YEAR(TODAY()),MONTH(TODAY()),1),22))-MONTH(IF(ISNUMBER(Suppliers!F19),Suppliers!F19,DATE(YEAR(TODAY()),MONTH(TODAY()),1))),3)=0,1,0),IF(Suppliers!E19="Semi-annual",IF(MOD((YEAR(EDATE(DATE(YEAR(TODAY()),MONTH(TODAY()),1),22))-YEAR(IF(ISNUMBER(Suppliers!F19),Suppliers!F19,DATE(YEAR(TODAY()),MONTH(TODAY()),1))))*12+MONTH(EDATE(DATE(YEAR(TODAY()),MONTH(TODAY()),1),22))-MONTH(IF(ISNUMBER(Suppliers!F19),Suppliers!F19,DATE(YEAR(TODAY()),MONTH(TODAY()),1))),6)=0,1,0),IF(Suppliers!E19="Annual",IF(MOD((YEAR(EDATE(DATE(YEAR(TODAY()),MONTH(TODAY()),1),22))-YEAR(IF(ISNUMBER(Suppliers!F19),Suppliers!F19,DATE(YEAR(TODAY()),MONTH(TODAY()),1))))*12+MONTH(EDATE(DATE(YEAR(TODAY()),MONTH(TODAY()),1),22))-MONTH(IF(ISNUMBER(Suppliers!F19),Suppliers!F19,DATE(YEAR(TODAY()),MONTH(TODAY()),1))),12)=0,1,0),IF(Suppliers!E19="One-time",IF(22=0,1,0),1)))))),"")</f>
        <v/>
      </c>
      <c r="AC21" s="10" t="str">
        <f ca="1">IFERROR(IF(OR(23&gt;=$B$1,Suppliers!A19="",NOT(ISNUMBER(Suppliers!D19)),Suppliers!L19="Expired",Suppliers!L19="Terminate"),"",Suppliers!D19*-1*IF(Suppliers!E19="Monthly",IF(AND(ISNUMBER(Suppliers!G19),(YEAR(EDATE(DATE(YEAR(TODAY()),MONTH(TODAY()),1),23))*12+MONTH(EDATE(DATE(YEAR(TODAY()),MONTH(TODAY()),1),23)))&gt;(YEAR(Suppliers!G19)*12+MONTH(Suppliers!G19))),"",1),IF(Suppliers!E19="Quarterly",IF(MOD((YEAR(EDATE(DATE(YEAR(TODAY()),MONTH(TODAY()),1),23))-YEAR(IF(ISNUMBER(Suppliers!F19),Suppliers!F19,DATE(YEAR(TODAY()),MONTH(TODAY()),1))))*12+MONTH(EDATE(DATE(YEAR(TODAY()),MONTH(TODAY()),1),23))-MONTH(IF(ISNUMBER(Suppliers!F19),Suppliers!F19,DATE(YEAR(TODAY()),MONTH(TODAY()),1))),3)=0,1,0),IF(Suppliers!E19="Semi-annual",IF(MOD((YEAR(EDATE(DATE(YEAR(TODAY()),MONTH(TODAY()),1),23))-YEAR(IF(ISNUMBER(Suppliers!F19),Suppliers!F19,DATE(YEAR(TODAY()),MONTH(TODAY()),1))))*12+MONTH(EDATE(DATE(YEAR(TODAY()),MONTH(TODAY()),1),23))-MONTH(IF(ISNUMBER(Suppliers!F19),Suppliers!F19,DATE(YEAR(TODAY()),MONTH(TODAY()),1))),6)=0,1,0),IF(Suppliers!E19="Annual",IF(MOD((YEAR(EDATE(DATE(YEAR(TODAY()),MONTH(TODAY()),1),23))-YEAR(IF(ISNUMBER(Suppliers!F19),Suppliers!F19,DATE(YEAR(TODAY()),MONTH(TODAY()),1))))*12+MONTH(EDATE(DATE(YEAR(TODAY()),MONTH(TODAY()),1),23))-MONTH(IF(ISNUMBER(Suppliers!F19),Suppliers!F19,DATE(YEAR(TODAY()),MONTH(TODAY()),1))),12)=0,1,0),IF(Suppliers!E19="One-time",IF(23=0,1,0),1)))))),"")</f>
        <v/>
      </c>
    </row>
    <row r="22" spans="1:29" ht="15" customHeight="1" x14ac:dyDescent="0.35">
      <c r="A22" s="4" t="s">
        <v>80</v>
      </c>
      <c r="B22" s="4" t="str">
        <f>IF(Suppliers!A20="","",Suppliers!A20)</f>
        <v>Tau Project Mgmt Tool</v>
      </c>
      <c r="C22" s="10">
        <f>IF(Suppliers!C20="","",Suppliers!C20)</f>
        <v>605.04</v>
      </c>
      <c r="D22" s="10">
        <f>IF(Suppliers!D20="","",Suppliers!D20)</f>
        <v>720</v>
      </c>
      <c r="E22" s="4" t="str">
        <f>IF(Suppliers!E20="","",Suppliers!E20)</f>
        <v>Annual</v>
      </c>
      <c r="F22" s="10">
        <f ca="1">IFERROR(IF(OR(0&gt;=$B$1,Suppliers!A20="",NOT(ISNUMBER(Suppliers!D20)),Suppliers!L20="Expired",Suppliers!L20="Terminate"),"",Suppliers!D20*-1*IF(Suppliers!E20="Monthly",IF(AND(ISNUMBER(Suppliers!G20),(YEAR(EDATE(DATE(YEAR(TODAY()),MONTH(TODAY()),1),0))*12+MONTH(EDATE(DATE(YEAR(TODAY()),MONTH(TODAY()),1),0)))&gt;(YEAR(Suppliers!G20)*12+MONTH(Suppliers!G20))),"",1),IF(Suppliers!E20="Quarterly",IF(MOD((YEAR(EDATE(DATE(YEAR(TODAY()),MONTH(TODAY()),1),0))-YEAR(IF(ISNUMBER(Suppliers!F20),Suppliers!F20,DATE(YEAR(TODAY()),MONTH(TODAY()),1))))*12+MONTH(EDATE(DATE(YEAR(TODAY()),MONTH(TODAY()),1),0))-MONTH(IF(ISNUMBER(Suppliers!F20),Suppliers!F20,DATE(YEAR(TODAY()),MONTH(TODAY()),1))),3)=0,1,0),IF(Suppliers!E20="Semi-annual",IF(MOD((YEAR(EDATE(DATE(YEAR(TODAY()),MONTH(TODAY()),1),0))-YEAR(IF(ISNUMBER(Suppliers!F20),Suppliers!F20,DATE(YEAR(TODAY()),MONTH(TODAY()),1))))*12+MONTH(EDATE(DATE(YEAR(TODAY()),MONTH(TODAY()),1),0))-MONTH(IF(ISNUMBER(Suppliers!F20),Suppliers!F20,DATE(YEAR(TODAY()),MONTH(TODAY()),1))),6)=0,1,0),IF(Suppliers!E20="Annual",IF(MOD((YEAR(EDATE(DATE(YEAR(TODAY()),MONTH(TODAY()),1),0))-YEAR(IF(ISNUMBER(Suppliers!F20),Suppliers!F20,DATE(YEAR(TODAY()),MONTH(TODAY()),1))))*12+MONTH(EDATE(DATE(YEAR(TODAY()),MONTH(TODAY()),1),0))-MONTH(IF(ISNUMBER(Suppliers!F20),Suppliers!F20,DATE(YEAR(TODAY()),MONTH(TODAY()),1))),12)=0,1,0),IF(Suppliers!E20="One-time",IF(0=0,1,0),1)))))),"")</f>
        <v>-720</v>
      </c>
      <c r="G22" s="10">
        <f ca="1">IFERROR(IF(OR(1&gt;=$B$1,Suppliers!A20="",NOT(ISNUMBER(Suppliers!D20)),Suppliers!L20="Expired",Suppliers!L20="Terminate"),"",Suppliers!D20*-1*IF(Suppliers!E20="Monthly",IF(AND(ISNUMBER(Suppliers!G20),(YEAR(EDATE(DATE(YEAR(TODAY()),MONTH(TODAY()),1),1))*12+MONTH(EDATE(DATE(YEAR(TODAY()),MONTH(TODAY()),1),1)))&gt;(YEAR(Suppliers!G20)*12+MONTH(Suppliers!G20))),"",1),IF(Suppliers!E20="Quarterly",IF(MOD((YEAR(EDATE(DATE(YEAR(TODAY()),MONTH(TODAY()),1),1))-YEAR(IF(ISNUMBER(Suppliers!F20),Suppliers!F20,DATE(YEAR(TODAY()),MONTH(TODAY()),1))))*12+MONTH(EDATE(DATE(YEAR(TODAY()),MONTH(TODAY()),1),1))-MONTH(IF(ISNUMBER(Suppliers!F20),Suppliers!F20,DATE(YEAR(TODAY()),MONTH(TODAY()),1))),3)=0,1,0),IF(Suppliers!E20="Semi-annual",IF(MOD((YEAR(EDATE(DATE(YEAR(TODAY()),MONTH(TODAY()),1),1))-YEAR(IF(ISNUMBER(Suppliers!F20),Suppliers!F20,DATE(YEAR(TODAY()),MONTH(TODAY()),1))))*12+MONTH(EDATE(DATE(YEAR(TODAY()),MONTH(TODAY()),1),1))-MONTH(IF(ISNUMBER(Suppliers!F20),Suppliers!F20,DATE(YEAR(TODAY()),MONTH(TODAY()),1))),6)=0,1,0),IF(Suppliers!E20="Annual",IF(MOD((YEAR(EDATE(DATE(YEAR(TODAY()),MONTH(TODAY()),1),1))-YEAR(IF(ISNUMBER(Suppliers!F20),Suppliers!F20,DATE(YEAR(TODAY()),MONTH(TODAY()),1))))*12+MONTH(EDATE(DATE(YEAR(TODAY()),MONTH(TODAY()),1),1))-MONTH(IF(ISNUMBER(Suppliers!F20),Suppliers!F20,DATE(YEAR(TODAY()),MONTH(TODAY()),1))),12)=0,1,0),IF(Suppliers!E20="One-time",IF(1=0,1,0),1)))))),"")</f>
        <v>0</v>
      </c>
      <c r="H22" s="10">
        <f ca="1">IFERROR(IF(OR(2&gt;=$B$1,Suppliers!A20="",NOT(ISNUMBER(Suppliers!D20)),Suppliers!L20="Expired",Suppliers!L20="Terminate"),"",Suppliers!D20*-1*IF(Suppliers!E20="Monthly",IF(AND(ISNUMBER(Suppliers!G20),(YEAR(EDATE(DATE(YEAR(TODAY()),MONTH(TODAY()),1),2))*12+MONTH(EDATE(DATE(YEAR(TODAY()),MONTH(TODAY()),1),2)))&gt;(YEAR(Suppliers!G20)*12+MONTH(Suppliers!G20))),"",1),IF(Suppliers!E20="Quarterly",IF(MOD((YEAR(EDATE(DATE(YEAR(TODAY()),MONTH(TODAY()),1),2))-YEAR(IF(ISNUMBER(Suppliers!F20),Suppliers!F20,DATE(YEAR(TODAY()),MONTH(TODAY()),1))))*12+MONTH(EDATE(DATE(YEAR(TODAY()),MONTH(TODAY()),1),2))-MONTH(IF(ISNUMBER(Suppliers!F20),Suppliers!F20,DATE(YEAR(TODAY()),MONTH(TODAY()),1))),3)=0,1,0),IF(Suppliers!E20="Semi-annual",IF(MOD((YEAR(EDATE(DATE(YEAR(TODAY()),MONTH(TODAY()),1),2))-YEAR(IF(ISNUMBER(Suppliers!F20),Suppliers!F20,DATE(YEAR(TODAY()),MONTH(TODAY()),1))))*12+MONTH(EDATE(DATE(YEAR(TODAY()),MONTH(TODAY()),1),2))-MONTH(IF(ISNUMBER(Suppliers!F20),Suppliers!F20,DATE(YEAR(TODAY()),MONTH(TODAY()),1))),6)=0,1,0),IF(Suppliers!E20="Annual",IF(MOD((YEAR(EDATE(DATE(YEAR(TODAY()),MONTH(TODAY()),1),2))-YEAR(IF(ISNUMBER(Suppliers!F20),Suppliers!F20,DATE(YEAR(TODAY()),MONTH(TODAY()),1))))*12+MONTH(EDATE(DATE(YEAR(TODAY()),MONTH(TODAY()),1),2))-MONTH(IF(ISNUMBER(Suppliers!F20),Suppliers!F20,DATE(YEAR(TODAY()),MONTH(TODAY()),1))),12)=0,1,0),IF(Suppliers!E20="One-time",IF(2=0,1,0),1)))))),"")</f>
        <v>0</v>
      </c>
      <c r="I22" s="10" t="str">
        <f ca="1">IFERROR(IF(OR(3&gt;=$B$1,Suppliers!A20="",NOT(ISNUMBER(Suppliers!D20)),Suppliers!L20="Expired",Suppliers!L20="Terminate"),"",Suppliers!D20*-1*IF(Suppliers!E20="Monthly",IF(AND(ISNUMBER(Suppliers!G20),(YEAR(EDATE(DATE(YEAR(TODAY()),MONTH(TODAY()),1),3))*12+MONTH(EDATE(DATE(YEAR(TODAY()),MONTH(TODAY()),1),3)))&gt;(YEAR(Suppliers!G20)*12+MONTH(Suppliers!G20))),"",1),IF(Suppliers!E20="Quarterly",IF(MOD((YEAR(EDATE(DATE(YEAR(TODAY()),MONTH(TODAY()),1),3))-YEAR(IF(ISNUMBER(Suppliers!F20),Suppliers!F20,DATE(YEAR(TODAY()),MONTH(TODAY()),1))))*12+MONTH(EDATE(DATE(YEAR(TODAY()),MONTH(TODAY()),1),3))-MONTH(IF(ISNUMBER(Suppliers!F20),Suppliers!F20,DATE(YEAR(TODAY()),MONTH(TODAY()),1))),3)=0,1,0),IF(Suppliers!E20="Semi-annual",IF(MOD((YEAR(EDATE(DATE(YEAR(TODAY()),MONTH(TODAY()),1),3))-YEAR(IF(ISNUMBER(Suppliers!F20),Suppliers!F20,DATE(YEAR(TODAY()),MONTH(TODAY()),1))))*12+MONTH(EDATE(DATE(YEAR(TODAY()),MONTH(TODAY()),1),3))-MONTH(IF(ISNUMBER(Suppliers!F20),Suppliers!F20,DATE(YEAR(TODAY()),MONTH(TODAY()),1))),6)=0,1,0),IF(Suppliers!E20="Annual",IF(MOD((YEAR(EDATE(DATE(YEAR(TODAY()),MONTH(TODAY()),1),3))-YEAR(IF(ISNUMBER(Suppliers!F20),Suppliers!F20,DATE(YEAR(TODAY()),MONTH(TODAY()),1))))*12+MONTH(EDATE(DATE(YEAR(TODAY()),MONTH(TODAY()),1),3))-MONTH(IF(ISNUMBER(Suppliers!F20),Suppliers!F20,DATE(YEAR(TODAY()),MONTH(TODAY()),1))),12)=0,1,0),IF(Suppliers!E20="One-time",IF(3=0,1,0),1)))))),"")</f>
        <v/>
      </c>
      <c r="J22" s="10" t="str">
        <f ca="1">IFERROR(IF(OR(4&gt;=$B$1,Suppliers!A20="",NOT(ISNUMBER(Suppliers!D20)),Suppliers!L20="Expired",Suppliers!L20="Terminate"),"",Suppliers!D20*-1*IF(Suppliers!E20="Monthly",IF(AND(ISNUMBER(Suppliers!G20),(YEAR(EDATE(DATE(YEAR(TODAY()),MONTH(TODAY()),1),4))*12+MONTH(EDATE(DATE(YEAR(TODAY()),MONTH(TODAY()),1),4)))&gt;(YEAR(Suppliers!G20)*12+MONTH(Suppliers!G20))),"",1),IF(Suppliers!E20="Quarterly",IF(MOD((YEAR(EDATE(DATE(YEAR(TODAY()),MONTH(TODAY()),1),4))-YEAR(IF(ISNUMBER(Suppliers!F20),Suppliers!F20,DATE(YEAR(TODAY()),MONTH(TODAY()),1))))*12+MONTH(EDATE(DATE(YEAR(TODAY()),MONTH(TODAY()),1),4))-MONTH(IF(ISNUMBER(Suppliers!F20),Suppliers!F20,DATE(YEAR(TODAY()),MONTH(TODAY()),1))),3)=0,1,0),IF(Suppliers!E20="Semi-annual",IF(MOD((YEAR(EDATE(DATE(YEAR(TODAY()),MONTH(TODAY()),1),4))-YEAR(IF(ISNUMBER(Suppliers!F20),Suppliers!F20,DATE(YEAR(TODAY()),MONTH(TODAY()),1))))*12+MONTH(EDATE(DATE(YEAR(TODAY()),MONTH(TODAY()),1),4))-MONTH(IF(ISNUMBER(Suppliers!F20),Suppliers!F20,DATE(YEAR(TODAY()),MONTH(TODAY()),1))),6)=0,1,0),IF(Suppliers!E20="Annual",IF(MOD((YEAR(EDATE(DATE(YEAR(TODAY()),MONTH(TODAY()),1),4))-YEAR(IF(ISNUMBER(Suppliers!F20),Suppliers!F20,DATE(YEAR(TODAY()),MONTH(TODAY()),1))))*12+MONTH(EDATE(DATE(YEAR(TODAY()),MONTH(TODAY()),1),4))-MONTH(IF(ISNUMBER(Suppliers!F20),Suppliers!F20,DATE(YEAR(TODAY()),MONTH(TODAY()),1))),12)=0,1,0),IF(Suppliers!E20="One-time",IF(4=0,1,0),1)))))),"")</f>
        <v/>
      </c>
      <c r="K22" s="10" t="str">
        <f ca="1">IFERROR(IF(OR(5&gt;=$B$1,Suppliers!A20="",NOT(ISNUMBER(Suppliers!D20)),Suppliers!L20="Expired",Suppliers!L20="Terminate"),"",Suppliers!D20*-1*IF(Suppliers!E20="Monthly",IF(AND(ISNUMBER(Suppliers!G20),(YEAR(EDATE(DATE(YEAR(TODAY()),MONTH(TODAY()),1),5))*12+MONTH(EDATE(DATE(YEAR(TODAY()),MONTH(TODAY()),1),5)))&gt;(YEAR(Suppliers!G20)*12+MONTH(Suppliers!G20))),"",1),IF(Suppliers!E20="Quarterly",IF(MOD((YEAR(EDATE(DATE(YEAR(TODAY()),MONTH(TODAY()),1),5))-YEAR(IF(ISNUMBER(Suppliers!F20),Suppliers!F20,DATE(YEAR(TODAY()),MONTH(TODAY()),1))))*12+MONTH(EDATE(DATE(YEAR(TODAY()),MONTH(TODAY()),1),5))-MONTH(IF(ISNUMBER(Suppliers!F20),Suppliers!F20,DATE(YEAR(TODAY()),MONTH(TODAY()),1))),3)=0,1,0),IF(Suppliers!E20="Semi-annual",IF(MOD((YEAR(EDATE(DATE(YEAR(TODAY()),MONTH(TODAY()),1),5))-YEAR(IF(ISNUMBER(Suppliers!F20),Suppliers!F20,DATE(YEAR(TODAY()),MONTH(TODAY()),1))))*12+MONTH(EDATE(DATE(YEAR(TODAY()),MONTH(TODAY()),1),5))-MONTH(IF(ISNUMBER(Suppliers!F20),Suppliers!F20,DATE(YEAR(TODAY()),MONTH(TODAY()),1))),6)=0,1,0),IF(Suppliers!E20="Annual",IF(MOD((YEAR(EDATE(DATE(YEAR(TODAY()),MONTH(TODAY()),1),5))-YEAR(IF(ISNUMBER(Suppliers!F20),Suppliers!F20,DATE(YEAR(TODAY()),MONTH(TODAY()),1))))*12+MONTH(EDATE(DATE(YEAR(TODAY()),MONTH(TODAY()),1),5))-MONTH(IF(ISNUMBER(Suppliers!F20),Suppliers!F20,DATE(YEAR(TODAY()),MONTH(TODAY()),1))),12)=0,1,0),IF(Suppliers!E20="One-time",IF(5=0,1,0),1)))))),"")</f>
        <v/>
      </c>
      <c r="L22" s="10" t="str">
        <f ca="1">IFERROR(IF(OR(6&gt;=$B$1,Suppliers!A20="",NOT(ISNUMBER(Suppliers!D20)),Suppliers!L20="Expired",Suppliers!L20="Terminate"),"",Suppliers!D20*-1*IF(Suppliers!E20="Monthly",IF(AND(ISNUMBER(Suppliers!G20),(YEAR(EDATE(DATE(YEAR(TODAY()),MONTH(TODAY()),1),6))*12+MONTH(EDATE(DATE(YEAR(TODAY()),MONTH(TODAY()),1),6)))&gt;(YEAR(Suppliers!G20)*12+MONTH(Suppliers!G20))),"",1),IF(Suppliers!E20="Quarterly",IF(MOD((YEAR(EDATE(DATE(YEAR(TODAY()),MONTH(TODAY()),1),6))-YEAR(IF(ISNUMBER(Suppliers!F20),Suppliers!F20,DATE(YEAR(TODAY()),MONTH(TODAY()),1))))*12+MONTH(EDATE(DATE(YEAR(TODAY()),MONTH(TODAY()),1),6))-MONTH(IF(ISNUMBER(Suppliers!F20),Suppliers!F20,DATE(YEAR(TODAY()),MONTH(TODAY()),1))),3)=0,1,0),IF(Suppliers!E20="Semi-annual",IF(MOD((YEAR(EDATE(DATE(YEAR(TODAY()),MONTH(TODAY()),1),6))-YEAR(IF(ISNUMBER(Suppliers!F20),Suppliers!F20,DATE(YEAR(TODAY()),MONTH(TODAY()),1))))*12+MONTH(EDATE(DATE(YEAR(TODAY()),MONTH(TODAY()),1),6))-MONTH(IF(ISNUMBER(Suppliers!F20),Suppliers!F20,DATE(YEAR(TODAY()),MONTH(TODAY()),1))),6)=0,1,0),IF(Suppliers!E20="Annual",IF(MOD((YEAR(EDATE(DATE(YEAR(TODAY()),MONTH(TODAY()),1),6))-YEAR(IF(ISNUMBER(Suppliers!F20),Suppliers!F20,DATE(YEAR(TODAY()),MONTH(TODAY()),1))))*12+MONTH(EDATE(DATE(YEAR(TODAY()),MONTH(TODAY()),1),6))-MONTH(IF(ISNUMBER(Suppliers!F20),Suppliers!F20,DATE(YEAR(TODAY()),MONTH(TODAY()),1))),12)=0,1,0),IF(Suppliers!E20="One-time",IF(6=0,1,0),1)))))),"")</f>
        <v/>
      </c>
      <c r="M22" s="10" t="str">
        <f ca="1">IFERROR(IF(OR(7&gt;=$B$1,Suppliers!A20="",NOT(ISNUMBER(Suppliers!D20)),Suppliers!L20="Expired",Suppliers!L20="Terminate"),"",Suppliers!D20*-1*IF(Suppliers!E20="Monthly",IF(AND(ISNUMBER(Suppliers!G20),(YEAR(EDATE(DATE(YEAR(TODAY()),MONTH(TODAY()),1),7))*12+MONTH(EDATE(DATE(YEAR(TODAY()),MONTH(TODAY()),1),7)))&gt;(YEAR(Suppliers!G20)*12+MONTH(Suppliers!G20))),"",1),IF(Suppliers!E20="Quarterly",IF(MOD((YEAR(EDATE(DATE(YEAR(TODAY()),MONTH(TODAY()),1),7))-YEAR(IF(ISNUMBER(Suppliers!F20),Suppliers!F20,DATE(YEAR(TODAY()),MONTH(TODAY()),1))))*12+MONTH(EDATE(DATE(YEAR(TODAY()),MONTH(TODAY()),1),7))-MONTH(IF(ISNUMBER(Suppliers!F20),Suppliers!F20,DATE(YEAR(TODAY()),MONTH(TODAY()),1))),3)=0,1,0),IF(Suppliers!E20="Semi-annual",IF(MOD((YEAR(EDATE(DATE(YEAR(TODAY()),MONTH(TODAY()),1),7))-YEAR(IF(ISNUMBER(Suppliers!F20),Suppliers!F20,DATE(YEAR(TODAY()),MONTH(TODAY()),1))))*12+MONTH(EDATE(DATE(YEAR(TODAY()),MONTH(TODAY()),1),7))-MONTH(IF(ISNUMBER(Suppliers!F20),Suppliers!F20,DATE(YEAR(TODAY()),MONTH(TODAY()),1))),6)=0,1,0),IF(Suppliers!E20="Annual",IF(MOD((YEAR(EDATE(DATE(YEAR(TODAY()),MONTH(TODAY()),1),7))-YEAR(IF(ISNUMBER(Suppliers!F20),Suppliers!F20,DATE(YEAR(TODAY()),MONTH(TODAY()),1))))*12+MONTH(EDATE(DATE(YEAR(TODAY()),MONTH(TODAY()),1),7))-MONTH(IF(ISNUMBER(Suppliers!F20),Suppliers!F20,DATE(YEAR(TODAY()),MONTH(TODAY()),1))),12)=0,1,0),IF(Suppliers!E20="One-time",IF(7=0,1,0),1)))))),"")</f>
        <v/>
      </c>
      <c r="N22" s="10" t="str">
        <f ca="1">IFERROR(IF(OR(8&gt;=$B$1,Suppliers!A20="",NOT(ISNUMBER(Suppliers!D20)),Suppliers!L20="Expired",Suppliers!L20="Terminate"),"",Suppliers!D20*-1*IF(Suppliers!E20="Monthly",IF(AND(ISNUMBER(Suppliers!G20),(YEAR(EDATE(DATE(YEAR(TODAY()),MONTH(TODAY()),1),8))*12+MONTH(EDATE(DATE(YEAR(TODAY()),MONTH(TODAY()),1),8)))&gt;(YEAR(Suppliers!G20)*12+MONTH(Suppliers!G20))),"",1),IF(Suppliers!E20="Quarterly",IF(MOD((YEAR(EDATE(DATE(YEAR(TODAY()),MONTH(TODAY()),1),8))-YEAR(IF(ISNUMBER(Suppliers!F20),Suppliers!F20,DATE(YEAR(TODAY()),MONTH(TODAY()),1))))*12+MONTH(EDATE(DATE(YEAR(TODAY()),MONTH(TODAY()),1),8))-MONTH(IF(ISNUMBER(Suppliers!F20),Suppliers!F20,DATE(YEAR(TODAY()),MONTH(TODAY()),1))),3)=0,1,0),IF(Suppliers!E20="Semi-annual",IF(MOD((YEAR(EDATE(DATE(YEAR(TODAY()),MONTH(TODAY()),1),8))-YEAR(IF(ISNUMBER(Suppliers!F20),Suppliers!F20,DATE(YEAR(TODAY()),MONTH(TODAY()),1))))*12+MONTH(EDATE(DATE(YEAR(TODAY()),MONTH(TODAY()),1),8))-MONTH(IF(ISNUMBER(Suppliers!F20),Suppliers!F20,DATE(YEAR(TODAY()),MONTH(TODAY()),1))),6)=0,1,0),IF(Suppliers!E20="Annual",IF(MOD((YEAR(EDATE(DATE(YEAR(TODAY()),MONTH(TODAY()),1),8))-YEAR(IF(ISNUMBER(Suppliers!F20),Suppliers!F20,DATE(YEAR(TODAY()),MONTH(TODAY()),1))))*12+MONTH(EDATE(DATE(YEAR(TODAY()),MONTH(TODAY()),1),8))-MONTH(IF(ISNUMBER(Suppliers!F20),Suppliers!F20,DATE(YEAR(TODAY()),MONTH(TODAY()),1))),12)=0,1,0),IF(Suppliers!E20="One-time",IF(8=0,1,0),1)))))),"")</f>
        <v/>
      </c>
      <c r="O22" s="10" t="str">
        <f ca="1">IFERROR(IF(OR(9&gt;=$B$1,Suppliers!A20="",NOT(ISNUMBER(Suppliers!D20)),Suppliers!L20="Expired",Suppliers!L20="Terminate"),"",Suppliers!D20*-1*IF(Suppliers!E20="Monthly",IF(AND(ISNUMBER(Suppliers!G20),(YEAR(EDATE(DATE(YEAR(TODAY()),MONTH(TODAY()),1),9))*12+MONTH(EDATE(DATE(YEAR(TODAY()),MONTH(TODAY()),1),9)))&gt;(YEAR(Suppliers!G20)*12+MONTH(Suppliers!G20))),"",1),IF(Suppliers!E20="Quarterly",IF(MOD((YEAR(EDATE(DATE(YEAR(TODAY()),MONTH(TODAY()),1),9))-YEAR(IF(ISNUMBER(Suppliers!F20),Suppliers!F20,DATE(YEAR(TODAY()),MONTH(TODAY()),1))))*12+MONTH(EDATE(DATE(YEAR(TODAY()),MONTH(TODAY()),1),9))-MONTH(IF(ISNUMBER(Suppliers!F20),Suppliers!F20,DATE(YEAR(TODAY()),MONTH(TODAY()),1))),3)=0,1,0),IF(Suppliers!E20="Semi-annual",IF(MOD((YEAR(EDATE(DATE(YEAR(TODAY()),MONTH(TODAY()),1),9))-YEAR(IF(ISNUMBER(Suppliers!F20),Suppliers!F20,DATE(YEAR(TODAY()),MONTH(TODAY()),1))))*12+MONTH(EDATE(DATE(YEAR(TODAY()),MONTH(TODAY()),1),9))-MONTH(IF(ISNUMBER(Suppliers!F20),Suppliers!F20,DATE(YEAR(TODAY()),MONTH(TODAY()),1))),6)=0,1,0),IF(Suppliers!E20="Annual",IF(MOD((YEAR(EDATE(DATE(YEAR(TODAY()),MONTH(TODAY()),1),9))-YEAR(IF(ISNUMBER(Suppliers!F20),Suppliers!F20,DATE(YEAR(TODAY()),MONTH(TODAY()),1))))*12+MONTH(EDATE(DATE(YEAR(TODAY()),MONTH(TODAY()),1),9))-MONTH(IF(ISNUMBER(Suppliers!F20),Suppliers!F20,DATE(YEAR(TODAY()),MONTH(TODAY()),1))),12)=0,1,0),IF(Suppliers!E20="One-time",IF(9=0,1,0),1)))))),"")</f>
        <v/>
      </c>
      <c r="P22" s="10" t="str">
        <f ca="1">IFERROR(IF(OR(10&gt;=$B$1,Suppliers!A20="",NOT(ISNUMBER(Suppliers!D20)),Suppliers!L20="Expired",Suppliers!L20="Terminate"),"",Suppliers!D20*-1*IF(Suppliers!E20="Monthly",IF(AND(ISNUMBER(Suppliers!G20),(YEAR(EDATE(DATE(YEAR(TODAY()),MONTH(TODAY()),1),10))*12+MONTH(EDATE(DATE(YEAR(TODAY()),MONTH(TODAY()),1),10)))&gt;(YEAR(Suppliers!G20)*12+MONTH(Suppliers!G20))),"",1),IF(Suppliers!E20="Quarterly",IF(MOD((YEAR(EDATE(DATE(YEAR(TODAY()),MONTH(TODAY()),1),10))-YEAR(IF(ISNUMBER(Suppliers!F20),Suppliers!F20,DATE(YEAR(TODAY()),MONTH(TODAY()),1))))*12+MONTH(EDATE(DATE(YEAR(TODAY()),MONTH(TODAY()),1),10))-MONTH(IF(ISNUMBER(Suppliers!F20),Suppliers!F20,DATE(YEAR(TODAY()),MONTH(TODAY()),1))),3)=0,1,0),IF(Suppliers!E20="Semi-annual",IF(MOD((YEAR(EDATE(DATE(YEAR(TODAY()),MONTH(TODAY()),1),10))-YEAR(IF(ISNUMBER(Suppliers!F20),Suppliers!F20,DATE(YEAR(TODAY()),MONTH(TODAY()),1))))*12+MONTH(EDATE(DATE(YEAR(TODAY()),MONTH(TODAY()),1),10))-MONTH(IF(ISNUMBER(Suppliers!F20),Suppliers!F20,DATE(YEAR(TODAY()),MONTH(TODAY()),1))),6)=0,1,0),IF(Suppliers!E20="Annual",IF(MOD((YEAR(EDATE(DATE(YEAR(TODAY()),MONTH(TODAY()),1),10))-YEAR(IF(ISNUMBER(Suppliers!F20),Suppliers!F20,DATE(YEAR(TODAY()),MONTH(TODAY()),1))))*12+MONTH(EDATE(DATE(YEAR(TODAY()),MONTH(TODAY()),1),10))-MONTH(IF(ISNUMBER(Suppliers!F20),Suppliers!F20,DATE(YEAR(TODAY()),MONTH(TODAY()),1))),12)=0,1,0),IF(Suppliers!E20="One-time",IF(10=0,1,0),1)))))),"")</f>
        <v/>
      </c>
      <c r="Q22" s="10" t="str">
        <f ca="1">IFERROR(IF(OR(11&gt;=$B$1,Suppliers!A20="",NOT(ISNUMBER(Suppliers!D20)),Suppliers!L20="Expired",Suppliers!L20="Terminate"),"",Suppliers!D20*-1*IF(Suppliers!E20="Monthly",IF(AND(ISNUMBER(Suppliers!G20),(YEAR(EDATE(DATE(YEAR(TODAY()),MONTH(TODAY()),1),11))*12+MONTH(EDATE(DATE(YEAR(TODAY()),MONTH(TODAY()),1),11)))&gt;(YEAR(Suppliers!G20)*12+MONTH(Suppliers!G20))),"",1),IF(Suppliers!E20="Quarterly",IF(MOD((YEAR(EDATE(DATE(YEAR(TODAY()),MONTH(TODAY()),1),11))-YEAR(IF(ISNUMBER(Suppliers!F20),Suppliers!F20,DATE(YEAR(TODAY()),MONTH(TODAY()),1))))*12+MONTH(EDATE(DATE(YEAR(TODAY()),MONTH(TODAY()),1),11))-MONTH(IF(ISNUMBER(Suppliers!F20),Suppliers!F20,DATE(YEAR(TODAY()),MONTH(TODAY()),1))),3)=0,1,0),IF(Suppliers!E20="Semi-annual",IF(MOD((YEAR(EDATE(DATE(YEAR(TODAY()),MONTH(TODAY()),1),11))-YEAR(IF(ISNUMBER(Suppliers!F20),Suppliers!F20,DATE(YEAR(TODAY()),MONTH(TODAY()),1))))*12+MONTH(EDATE(DATE(YEAR(TODAY()),MONTH(TODAY()),1),11))-MONTH(IF(ISNUMBER(Suppliers!F20),Suppliers!F20,DATE(YEAR(TODAY()),MONTH(TODAY()),1))),6)=0,1,0),IF(Suppliers!E20="Annual",IF(MOD((YEAR(EDATE(DATE(YEAR(TODAY()),MONTH(TODAY()),1),11))-YEAR(IF(ISNUMBER(Suppliers!F20),Suppliers!F20,DATE(YEAR(TODAY()),MONTH(TODAY()),1))))*12+MONTH(EDATE(DATE(YEAR(TODAY()),MONTH(TODAY()),1),11))-MONTH(IF(ISNUMBER(Suppliers!F20),Suppliers!F20,DATE(YEAR(TODAY()),MONTH(TODAY()),1))),12)=0,1,0),IF(Suppliers!E20="One-time",IF(11=0,1,0),1)))))),"")</f>
        <v/>
      </c>
      <c r="R22" s="10" t="str">
        <f ca="1">IFERROR(IF(OR(12&gt;=$B$1,Suppliers!A20="",NOT(ISNUMBER(Suppliers!D20)),Suppliers!L20="Expired",Suppliers!L20="Terminate"),"",Suppliers!D20*-1*IF(Suppliers!E20="Monthly",IF(AND(ISNUMBER(Suppliers!G20),(YEAR(EDATE(DATE(YEAR(TODAY()),MONTH(TODAY()),1),12))*12+MONTH(EDATE(DATE(YEAR(TODAY()),MONTH(TODAY()),1),12)))&gt;(YEAR(Suppliers!G20)*12+MONTH(Suppliers!G20))),"",1),IF(Suppliers!E20="Quarterly",IF(MOD((YEAR(EDATE(DATE(YEAR(TODAY()),MONTH(TODAY()),1),12))-YEAR(IF(ISNUMBER(Suppliers!F20),Suppliers!F20,DATE(YEAR(TODAY()),MONTH(TODAY()),1))))*12+MONTH(EDATE(DATE(YEAR(TODAY()),MONTH(TODAY()),1),12))-MONTH(IF(ISNUMBER(Suppliers!F20),Suppliers!F20,DATE(YEAR(TODAY()),MONTH(TODAY()),1))),3)=0,1,0),IF(Suppliers!E20="Semi-annual",IF(MOD((YEAR(EDATE(DATE(YEAR(TODAY()),MONTH(TODAY()),1),12))-YEAR(IF(ISNUMBER(Suppliers!F20),Suppliers!F20,DATE(YEAR(TODAY()),MONTH(TODAY()),1))))*12+MONTH(EDATE(DATE(YEAR(TODAY()),MONTH(TODAY()),1),12))-MONTH(IF(ISNUMBER(Suppliers!F20),Suppliers!F20,DATE(YEAR(TODAY()),MONTH(TODAY()),1))),6)=0,1,0),IF(Suppliers!E20="Annual",IF(MOD((YEAR(EDATE(DATE(YEAR(TODAY()),MONTH(TODAY()),1),12))-YEAR(IF(ISNUMBER(Suppliers!F20),Suppliers!F20,DATE(YEAR(TODAY()),MONTH(TODAY()),1))))*12+MONTH(EDATE(DATE(YEAR(TODAY()),MONTH(TODAY()),1),12))-MONTH(IF(ISNUMBER(Suppliers!F20),Suppliers!F20,DATE(YEAR(TODAY()),MONTH(TODAY()),1))),12)=0,1,0),IF(Suppliers!E20="One-time",IF(12=0,1,0),1)))))),"")</f>
        <v/>
      </c>
      <c r="S22" s="10" t="str">
        <f ca="1">IFERROR(IF(OR(13&gt;=$B$1,Suppliers!A20="",NOT(ISNUMBER(Suppliers!D20)),Suppliers!L20="Expired",Suppliers!L20="Terminate"),"",Suppliers!D20*-1*IF(Suppliers!E20="Monthly",IF(AND(ISNUMBER(Suppliers!G20),(YEAR(EDATE(DATE(YEAR(TODAY()),MONTH(TODAY()),1),13))*12+MONTH(EDATE(DATE(YEAR(TODAY()),MONTH(TODAY()),1),13)))&gt;(YEAR(Suppliers!G20)*12+MONTH(Suppliers!G20))),"",1),IF(Suppliers!E20="Quarterly",IF(MOD((YEAR(EDATE(DATE(YEAR(TODAY()),MONTH(TODAY()),1),13))-YEAR(IF(ISNUMBER(Suppliers!F20),Suppliers!F20,DATE(YEAR(TODAY()),MONTH(TODAY()),1))))*12+MONTH(EDATE(DATE(YEAR(TODAY()),MONTH(TODAY()),1),13))-MONTH(IF(ISNUMBER(Suppliers!F20),Suppliers!F20,DATE(YEAR(TODAY()),MONTH(TODAY()),1))),3)=0,1,0),IF(Suppliers!E20="Semi-annual",IF(MOD((YEAR(EDATE(DATE(YEAR(TODAY()),MONTH(TODAY()),1),13))-YEAR(IF(ISNUMBER(Suppliers!F20),Suppliers!F20,DATE(YEAR(TODAY()),MONTH(TODAY()),1))))*12+MONTH(EDATE(DATE(YEAR(TODAY()),MONTH(TODAY()),1),13))-MONTH(IF(ISNUMBER(Suppliers!F20),Suppliers!F20,DATE(YEAR(TODAY()),MONTH(TODAY()),1))),6)=0,1,0),IF(Suppliers!E20="Annual",IF(MOD((YEAR(EDATE(DATE(YEAR(TODAY()),MONTH(TODAY()),1),13))-YEAR(IF(ISNUMBER(Suppliers!F20),Suppliers!F20,DATE(YEAR(TODAY()),MONTH(TODAY()),1))))*12+MONTH(EDATE(DATE(YEAR(TODAY()),MONTH(TODAY()),1),13))-MONTH(IF(ISNUMBER(Suppliers!F20),Suppliers!F20,DATE(YEAR(TODAY()),MONTH(TODAY()),1))),12)=0,1,0),IF(Suppliers!E20="One-time",IF(13=0,1,0),1)))))),"")</f>
        <v/>
      </c>
      <c r="T22" s="10" t="str">
        <f ca="1">IFERROR(IF(OR(14&gt;=$B$1,Suppliers!A20="",NOT(ISNUMBER(Suppliers!D20)),Suppliers!L20="Expired",Suppliers!L20="Terminate"),"",Suppliers!D20*-1*IF(Suppliers!E20="Monthly",IF(AND(ISNUMBER(Suppliers!G20),(YEAR(EDATE(DATE(YEAR(TODAY()),MONTH(TODAY()),1),14))*12+MONTH(EDATE(DATE(YEAR(TODAY()),MONTH(TODAY()),1),14)))&gt;(YEAR(Suppliers!G20)*12+MONTH(Suppliers!G20))),"",1),IF(Suppliers!E20="Quarterly",IF(MOD((YEAR(EDATE(DATE(YEAR(TODAY()),MONTH(TODAY()),1),14))-YEAR(IF(ISNUMBER(Suppliers!F20),Suppliers!F20,DATE(YEAR(TODAY()),MONTH(TODAY()),1))))*12+MONTH(EDATE(DATE(YEAR(TODAY()),MONTH(TODAY()),1),14))-MONTH(IF(ISNUMBER(Suppliers!F20),Suppliers!F20,DATE(YEAR(TODAY()),MONTH(TODAY()),1))),3)=0,1,0),IF(Suppliers!E20="Semi-annual",IF(MOD((YEAR(EDATE(DATE(YEAR(TODAY()),MONTH(TODAY()),1),14))-YEAR(IF(ISNUMBER(Suppliers!F20),Suppliers!F20,DATE(YEAR(TODAY()),MONTH(TODAY()),1))))*12+MONTH(EDATE(DATE(YEAR(TODAY()),MONTH(TODAY()),1),14))-MONTH(IF(ISNUMBER(Suppliers!F20),Suppliers!F20,DATE(YEAR(TODAY()),MONTH(TODAY()),1))),6)=0,1,0),IF(Suppliers!E20="Annual",IF(MOD((YEAR(EDATE(DATE(YEAR(TODAY()),MONTH(TODAY()),1),14))-YEAR(IF(ISNUMBER(Suppliers!F20),Suppliers!F20,DATE(YEAR(TODAY()),MONTH(TODAY()),1))))*12+MONTH(EDATE(DATE(YEAR(TODAY()),MONTH(TODAY()),1),14))-MONTH(IF(ISNUMBER(Suppliers!F20),Suppliers!F20,DATE(YEAR(TODAY()),MONTH(TODAY()),1))),12)=0,1,0),IF(Suppliers!E20="One-time",IF(14=0,1,0),1)))))),"")</f>
        <v/>
      </c>
      <c r="U22" s="10" t="str">
        <f ca="1">IFERROR(IF(OR(15&gt;=$B$1,Suppliers!A20="",NOT(ISNUMBER(Suppliers!D20)),Suppliers!L20="Expired",Suppliers!L20="Terminate"),"",Suppliers!D20*-1*IF(Suppliers!E20="Monthly",IF(AND(ISNUMBER(Suppliers!G20),(YEAR(EDATE(DATE(YEAR(TODAY()),MONTH(TODAY()),1),15))*12+MONTH(EDATE(DATE(YEAR(TODAY()),MONTH(TODAY()),1),15)))&gt;(YEAR(Suppliers!G20)*12+MONTH(Suppliers!G20))),"",1),IF(Suppliers!E20="Quarterly",IF(MOD((YEAR(EDATE(DATE(YEAR(TODAY()),MONTH(TODAY()),1),15))-YEAR(IF(ISNUMBER(Suppliers!F20),Suppliers!F20,DATE(YEAR(TODAY()),MONTH(TODAY()),1))))*12+MONTH(EDATE(DATE(YEAR(TODAY()),MONTH(TODAY()),1),15))-MONTH(IF(ISNUMBER(Suppliers!F20),Suppliers!F20,DATE(YEAR(TODAY()),MONTH(TODAY()),1))),3)=0,1,0),IF(Suppliers!E20="Semi-annual",IF(MOD((YEAR(EDATE(DATE(YEAR(TODAY()),MONTH(TODAY()),1),15))-YEAR(IF(ISNUMBER(Suppliers!F20),Suppliers!F20,DATE(YEAR(TODAY()),MONTH(TODAY()),1))))*12+MONTH(EDATE(DATE(YEAR(TODAY()),MONTH(TODAY()),1),15))-MONTH(IF(ISNUMBER(Suppliers!F20),Suppliers!F20,DATE(YEAR(TODAY()),MONTH(TODAY()),1))),6)=0,1,0),IF(Suppliers!E20="Annual",IF(MOD((YEAR(EDATE(DATE(YEAR(TODAY()),MONTH(TODAY()),1),15))-YEAR(IF(ISNUMBER(Suppliers!F20),Suppliers!F20,DATE(YEAR(TODAY()),MONTH(TODAY()),1))))*12+MONTH(EDATE(DATE(YEAR(TODAY()),MONTH(TODAY()),1),15))-MONTH(IF(ISNUMBER(Suppliers!F20),Suppliers!F20,DATE(YEAR(TODAY()),MONTH(TODAY()),1))),12)=0,1,0),IF(Suppliers!E20="One-time",IF(15=0,1,0),1)))))),"")</f>
        <v/>
      </c>
      <c r="V22" s="10" t="str">
        <f ca="1">IFERROR(IF(OR(16&gt;=$B$1,Suppliers!A20="",NOT(ISNUMBER(Suppliers!D20)),Suppliers!L20="Expired",Suppliers!L20="Terminate"),"",Suppliers!D20*-1*IF(Suppliers!E20="Monthly",IF(AND(ISNUMBER(Suppliers!G20),(YEAR(EDATE(DATE(YEAR(TODAY()),MONTH(TODAY()),1),16))*12+MONTH(EDATE(DATE(YEAR(TODAY()),MONTH(TODAY()),1),16)))&gt;(YEAR(Suppliers!G20)*12+MONTH(Suppliers!G20))),"",1),IF(Suppliers!E20="Quarterly",IF(MOD((YEAR(EDATE(DATE(YEAR(TODAY()),MONTH(TODAY()),1),16))-YEAR(IF(ISNUMBER(Suppliers!F20),Suppliers!F20,DATE(YEAR(TODAY()),MONTH(TODAY()),1))))*12+MONTH(EDATE(DATE(YEAR(TODAY()),MONTH(TODAY()),1),16))-MONTH(IF(ISNUMBER(Suppliers!F20),Suppliers!F20,DATE(YEAR(TODAY()),MONTH(TODAY()),1))),3)=0,1,0),IF(Suppliers!E20="Semi-annual",IF(MOD((YEAR(EDATE(DATE(YEAR(TODAY()),MONTH(TODAY()),1),16))-YEAR(IF(ISNUMBER(Suppliers!F20),Suppliers!F20,DATE(YEAR(TODAY()),MONTH(TODAY()),1))))*12+MONTH(EDATE(DATE(YEAR(TODAY()),MONTH(TODAY()),1),16))-MONTH(IF(ISNUMBER(Suppliers!F20),Suppliers!F20,DATE(YEAR(TODAY()),MONTH(TODAY()),1))),6)=0,1,0),IF(Suppliers!E20="Annual",IF(MOD((YEAR(EDATE(DATE(YEAR(TODAY()),MONTH(TODAY()),1),16))-YEAR(IF(ISNUMBER(Suppliers!F20),Suppliers!F20,DATE(YEAR(TODAY()),MONTH(TODAY()),1))))*12+MONTH(EDATE(DATE(YEAR(TODAY()),MONTH(TODAY()),1),16))-MONTH(IF(ISNUMBER(Suppliers!F20),Suppliers!F20,DATE(YEAR(TODAY()),MONTH(TODAY()),1))),12)=0,1,0),IF(Suppliers!E20="One-time",IF(16=0,1,0),1)))))),"")</f>
        <v/>
      </c>
      <c r="W22" s="10" t="str">
        <f ca="1">IFERROR(IF(OR(17&gt;=$B$1,Suppliers!A20="",NOT(ISNUMBER(Suppliers!D20)),Suppliers!L20="Expired",Suppliers!L20="Terminate"),"",Suppliers!D20*-1*IF(Suppliers!E20="Monthly",IF(AND(ISNUMBER(Suppliers!G20),(YEAR(EDATE(DATE(YEAR(TODAY()),MONTH(TODAY()),1),17))*12+MONTH(EDATE(DATE(YEAR(TODAY()),MONTH(TODAY()),1),17)))&gt;(YEAR(Suppliers!G20)*12+MONTH(Suppliers!G20))),"",1),IF(Suppliers!E20="Quarterly",IF(MOD((YEAR(EDATE(DATE(YEAR(TODAY()),MONTH(TODAY()),1),17))-YEAR(IF(ISNUMBER(Suppliers!F20),Suppliers!F20,DATE(YEAR(TODAY()),MONTH(TODAY()),1))))*12+MONTH(EDATE(DATE(YEAR(TODAY()),MONTH(TODAY()),1),17))-MONTH(IF(ISNUMBER(Suppliers!F20),Suppliers!F20,DATE(YEAR(TODAY()),MONTH(TODAY()),1))),3)=0,1,0),IF(Suppliers!E20="Semi-annual",IF(MOD((YEAR(EDATE(DATE(YEAR(TODAY()),MONTH(TODAY()),1),17))-YEAR(IF(ISNUMBER(Suppliers!F20),Suppliers!F20,DATE(YEAR(TODAY()),MONTH(TODAY()),1))))*12+MONTH(EDATE(DATE(YEAR(TODAY()),MONTH(TODAY()),1),17))-MONTH(IF(ISNUMBER(Suppliers!F20),Suppliers!F20,DATE(YEAR(TODAY()),MONTH(TODAY()),1))),6)=0,1,0),IF(Suppliers!E20="Annual",IF(MOD((YEAR(EDATE(DATE(YEAR(TODAY()),MONTH(TODAY()),1),17))-YEAR(IF(ISNUMBER(Suppliers!F20),Suppliers!F20,DATE(YEAR(TODAY()),MONTH(TODAY()),1))))*12+MONTH(EDATE(DATE(YEAR(TODAY()),MONTH(TODAY()),1),17))-MONTH(IF(ISNUMBER(Suppliers!F20),Suppliers!F20,DATE(YEAR(TODAY()),MONTH(TODAY()),1))),12)=0,1,0),IF(Suppliers!E20="One-time",IF(17=0,1,0),1)))))),"")</f>
        <v/>
      </c>
      <c r="X22" s="10" t="str">
        <f ca="1">IFERROR(IF(OR(18&gt;=$B$1,Suppliers!A20="",NOT(ISNUMBER(Suppliers!D20)),Suppliers!L20="Expired",Suppliers!L20="Terminate"),"",Suppliers!D20*-1*IF(Suppliers!E20="Monthly",IF(AND(ISNUMBER(Suppliers!G20),(YEAR(EDATE(DATE(YEAR(TODAY()),MONTH(TODAY()),1),18))*12+MONTH(EDATE(DATE(YEAR(TODAY()),MONTH(TODAY()),1),18)))&gt;(YEAR(Suppliers!G20)*12+MONTH(Suppliers!G20))),"",1),IF(Suppliers!E20="Quarterly",IF(MOD((YEAR(EDATE(DATE(YEAR(TODAY()),MONTH(TODAY()),1),18))-YEAR(IF(ISNUMBER(Suppliers!F20),Suppliers!F20,DATE(YEAR(TODAY()),MONTH(TODAY()),1))))*12+MONTH(EDATE(DATE(YEAR(TODAY()),MONTH(TODAY()),1),18))-MONTH(IF(ISNUMBER(Suppliers!F20),Suppliers!F20,DATE(YEAR(TODAY()),MONTH(TODAY()),1))),3)=0,1,0),IF(Suppliers!E20="Semi-annual",IF(MOD((YEAR(EDATE(DATE(YEAR(TODAY()),MONTH(TODAY()),1),18))-YEAR(IF(ISNUMBER(Suppliers!F20),Suppliers!F20,DATE(YEAR(TODAY()),MONTH(TODAY()),1))))*12+MONTH(EDATE(DATE(YEAR(TODAY()),MONTH(TODAY()),1),18))-MONTH(IF(ISNUMBER(Suppliers!F20),Suppliers!F20,DATE(YEAR(TODAY()),MONTH(TODAY()),1))),6)=0,1,0),IF(Suppliers!E20="Annual",IF(MOD((YEAR(EDATE(DATE(YEAR(TODAY()),MONTH(TODAY()),1),18))-YEAR(IF(ISNUMBER(Suppliers!F20),Suppliers!F20,DATE(YEAR(TODAY()),MONTH(TODAY()),1))))*12+MONTH(EDATE(DATE(YEAR(TODAY()),MONTH(TODAY()),1),18))-MONTH(IF(ISNUMBER(Suppliers!F20),Suppliers!F20,DATE(YEAR(TODAY()),MONTH(TODAY()),1))),12)=0,1,0),IF(Suppliers!E20="One-time",IF(18=0,1,0),1)))))),"")</f>
        <v/>
      </c>
      <c r="Y22" s="10" t="str">
        <f ca="1">IFERROR(IF(OR(19&gt;=$B$1,Suppliers!A20="",NOT(ISNUMBER(Suppliers!D20)),Suppliers!L20="Expired",Suppliers!L20="Terminate"),"",Suppliers!D20*-1*IF(Suppliers!E20="Monthly",IF(AND(ISNUMBER(Suppliers!G20),(YEAR(EDATE(DATE(YEAR(TODAY()),MONTH(TODAY()),1),19))*12+MONTH(EDATE(DATE(YEAR(TODAY()),MONTH(TODAY()),1),19)))&gt;(YEAR(Suppliers!G20)*12+MONTH(Suppliers!G20))),"",1),IF(Suppliers!E20="Quarterly",IF(MOD((YEAR(EDATE(DATE(YEAR(TODAY()),MONTH(TODAY()),1),19))-YEAR(IF(ISNUMBER(Suppliers!F20),Suppliers!F20,DATE(YEAR(TODAY()),MONTH(TODAY()),1))))*12+MONTH(EDATE(DATE(YEAR(TODAY()),MONTH(TODAY()),1),19))-MONTH(IF(ISNUMBER(Suppliers!F20),Suppliers!F20,DATE(YEAR(TODAY()),MONTH(TODAY()),1))),3)=0,1,0),IF(Suppliers!E20="Semi-annual",IF(MOD((YEAR(EDATE(DATE(YEAR(TODAY()),MONTH(TODAY()),1),19))-YEAR(IF(ISNUMBER(Suppliers!F20),Suppliers!F20,DATE(YEAR(TODAY()),MONTH(TODAY()),1))))*12+MONTH(EDATE(DATE(YEAR(TODAY()),MONTH(TODAY()),1),19))-MONTH(IF(ISNUMBER(Suppliers!F20),Suppliers!F20,DATE(YEAR(TODAY()),MONTH(TODAY()),1))),6)=0,1,0),IF(Suppliers!E20="Annual",IF(MOD((YEAR(EDATE(DATE(YEAR(TODAY()),MONTH(TODAY()),1),19))-YEAR(IF(ISNUMBER(Suppliers!F20),Suppliers!F20,DATE(YEAR(TODAY()),MONTH(TODAY()),1))))*12+MONTH(EDATE(DATE(YEAR(TODAY()),MONTH(TODAY()),1),19))-MONTH(IF(ISNUMBER(Suppliers!F20),Suppliers!F20,DATE(YEAR(TODAY()),MONTH(TODAY()),1))),12)=0,1,0),IF(Suppliers!E20="One-time",IF(19=0,1,0),1)))))),"")</f>
        <v/>
      </c>
      <c r="Z22" s="10" t="str">
        <f ca="1">IFERROR(IF(OR(20&gt;=$B$1,Suppliers!A20="",NOT(ISNUMBER(Suppliers!D20)),Suppliers!L20="Expired",Suppliers!L20="Terminate"),"",Suppliers!D20*-1*IF(Suppliers!E20="Monthly",IF(AND(ISNUMBER(Suppliers!G20),(YEAR(EDATE(DATE(YEAR(TODAY()),MONTH(TODAY()),1),20))*12+MONTH(EDATE(DATE(YEAR(TODAY()),MONTH(TODAY()),1),20)))&gt;(YEAR(Suppliers!G20)*12+MONTH(Suppliers!G20))),"",1),IF(Suppliers!E20="Quarterly",IF(MOD((YEAR(EDATE(DATE(YEAR(TODAY()),MONTH(TODAY()),1),20))-YEAR(IF(ISNUMBER(Suppliers!F20),Suppliers!F20,DATE(YEAR(TODAY()),MONTH(TODAY()),1))))*12+MONTH(EDATE(DATE(YEAR(TODAY()),MONTH(TODAY()),1),20))-MONTH(IF(ISNUMBER(Suppliers!F20),Suppliers!F20,DATE(YEAR(TODAY()),MONTH(TODAY()),1))),3)=0,1,0),IF(Suppliers!E20="Semi-annual",IF(MOD((YEAR(EDATE(DATE(YEAR(TODAY()),MONTH(TODAY()),1),20))-YEAR(IF(ISNUMBER(Suppliers!F20),Suppliers!F20,DATE(YEAR(TODAY()),MONTH(TODAY()),1))))*12+MONTH(EDATE(DATE(YEAR(TODAY()),MONTH(TODAY()),1),20))-MONTH(IF(ISNUMBER(Suppliers!F20),Suppliers!F20,DATE(YEAR(TODAY()),MONTH(TODAY()),1))),6)=0,1,0),IF(Suppliers!E20="Annual",IF(MOD((YEAR(EDATE(DATE(YEAR(TODAY()),MONTH(TODAY()),1),20))-YEAR(IF(ISNUMBER(Suppliers!F20),Suppliers!F20,DATE(YEAR(TODAY()),MONTH(TODAY()),1))))*12+MONTH(EDATE(DATE(YEAR(TODAY()),MONTH(TODAY()),1),20))-MONTH(IF(ISNUMBER(Suppliers!F20),Suppliers!F20,DATE(YEAR(TODAY()),MONTH(TODAY()),1))),12)=0,1,0),IF(Suppliers!E20="One-time",IF(20=0,1,0),1)))))),"")</f>
        <v/>
      </c>
      <c r="AA22" s="10" t="str">
        <f ca="1">IFERROR(IF(OR(21&gt;=$B$1,Suppliers!A20="",NOT(ISNUMBER(Suppliers!D20)),Suppliers!L20="Expired",Suppliers!L20="Terminate"),"",Suppliers!D20*-1*IF(Suppliers!E20="Monthly",IF(AND(ISNUMBER(Suppliers!G20),(YEAR(EDATE(DATE(YEAR(TODAY()),MONTH(TODAY()),1),21))*12+MONTH(EDATE(DATE(YEAR(TODAY()),MONTH(TODAY()),1),21)))&gt;(YEAR(Suppliers!G20)*12+MONTH(Suppliers!G20))),"",1),IF(Suppliers!E20="Quarterly",IF(MOD((YEAR(EDATE(DATE(YEAR(TODAY()),MONTH(TODAY()),1),21))-YEAR(IF(ISNUMBER(Suppliers!F20),Suppliers!F20,DATE(YEAR(TODAY()),MONTH(TODAY()),1))))*12+MONTH(EDATE(DATE(YEAR(TODAY()),MONTH(TODAY()),1),21))-MONTH(IF(ISNUMBER(Suppliers!F20),Suppliers!F20,DATE(YEAR(TODAY()),MONTH(TODAY()),1))),3)=0,1,0),IF(Suppliers!E20="Semi-annual",IF(MOD((YEAR(EDATE(DATE(YEAR(TODAY()),MONTH(TODAY()),1),21))-YEAR(IF(ISNUMBER(Suppliers!F20),Suppliers!F20,DATE(YEAR(TODAY()),MONTH(TODAY()),1))))*12+MONTH(EDATE(DATE(YEAR(TODAY()),MONTH(TODAY()),1),21))-MONTH(IF(ISNUMBER(Suppliers!F20),Suppliers!F20,DATE(YEAR(TODAY()),MONTH(TODAY()),1))),6)=0,1,0),IF(Suppliers!E20="Annual",IF(MOD((YEAR(EDATE(DATE(YEAR(TODAY()),MONTH(TODAY()),1),21))-YEAR(IF(ISNUMBER(Suppliers!F20),Suppliers!F20,DATE(YEAR(TODAY()),MONTH(TODAY()),1))))*12+MONTH(EDATE(DATE(YEAR(TODAY()),MONTH(TODAY()),1),21))-MONTH(IF(ISNUMBER(Suppliers!F20),Suppliers!F20,DATE(YEAR(TODAY()),MONTH(TODAY()),1))),12)=0,1,0),IF(Suppliers!E20="One-time",IF(21=0,1,0),1)))))),"")</f>
        <v/>
      </c>
      <c r="AB22" s="10" t="str">
        <f ca="1">IFERROR(IF(OR(22&gt;=$B$1,Suppliers!A20="",NOT(ISNUMBER(Suppliers!D20)),Suppliers!L20="Expired",Suppliers!L20="Terminate"),"",Suppliers!D20*-1*IF(Suppliers!E20="Monthly",IF(AND(ISNUMBER(Suppliers!G20),(YEAR(EDATE(DATE(YEAR(TODAY()),MONTH(TODAY()),1),22))*12+MONTH(EDATE(DATE(YEAR(TODAY()),MONTH(TODAY()),1),22)))&gt;(YEAR(Suppliers!G20)*12+MONTH(Suppliers!G20))),"",1),IF(Suppliers!E20="Quarterly",IF(MOD((YEAR(EDATE(DATE(YEAR(TODAY()),MONTH(TODAY()),1),22))-YEAR(IF(ISNUMBER(Suppliers!F20),Suppliers!F20,DATE(YEAR(TODAY()),MONTH(TODAY()),1))))*12+MONTH(EDATE(DATE(YEAR(TODAY()),MONTH(TODAY()),1),22))-MONTH(IF(ISNUMBER(Suppliers!F20),Suppliers!F20,DATE(YEAR(TODAY()),MONTH(TODAY()),1))),3)=0,1,0),IF(Suppliers!E20="Semi-annual",IF(MOD((YEAR(EDATE(DATE(YEAR(TODAY()),MONTH(TODAY()),1),22))-YEAR(IF(ISNUMBER(Suppliers!F20),Suppliers!F20,DATE(YEAR(TODAY()),MONTH(TODAY()),1))))*12+MONTH(EDATE(DATE(YEAR(TODAY()),MONTH(TODAY()),1),22))-MONTH(IF(ISNUMBER(Suppliers!F20),Suppliers!F20,DATE(YEAR(TODAY()),MONTH(TODAY()),1))),6)=0,1,0),IF(Suppliers!E20="Annual",IF(MOD((YEAR(EDATE(DATE(YEAR(TODAY()),MONTH(TODAY()),1),22))-YEAR(IF(ISNUMBER(Suppliers!F20),Suppliers!F20,DATE(YEAR(TODAY()),MONTH(TODAY()),1))))*12+MONTH(EDATE(DATE(YEAR(TODAY()),MONTH(TODAY()),1),22))-MONTH(IF(ISNUMBER(Suppliers!F20),Suppliers!F20,DATE(YEAR(TODAY()),MONTH(TODAY()),1))),12)=0,1,0),IF(Suppliers!E20="One-time",IF(22=0,1,0),1)))))),"")</f>
        <v/>
      </c>
      <c r="AC22" s="10" t="str">
        <f ca="1">IFERROR(IF(OR(23&gt;=$B$1,Suppliers!A20="",NOT(ISNUMBER(Suppliers!D20)),Suppliers!L20="Expired",Suppliers!L20="Terminate"),"",Suppliers!D20*-1*IF(Suppliers!E20="Monthly",IF(AND(ISNUMBER(Suppliers!G20),(YEAR(EDATE(DATE(YEAR(TODAY()),MONTH(TODAY()),1),23))*12+MONTH(EDATE(DATE(YEAR(TODAY()),MONTH(TODAY()),1),23)))&gt;(YEAR(Suppliers!G20)*12+MONTH(Suppliers!G20))),"",1),IF(Suppliers!E20="Quarterly",IF(MOD((YEAR(EDATE(DATE(YEAR(TODAY()),MONTH(TODAY()),1),23))-YEAR(IF(ISNUMBER(Suppliers!F20),Suppliers!F20,DATE(YEAR(TODAY()),MONTH(TODAY()),1))))*12+MONTH(EDATE(DATE(YEAR(TODAY()),MONTH(TODAY()),1),23))-MONTH(IF(ISNUMBER(Suppliers!F20),Suppliers!F20,DATE(YEAR(TODAY()),MONTH(TODAY()),1))),3)=0,1,0),IF(Suppliers!E20="Semi-annual",IF(MOD((YEAR(EDATE(DATE(YEAR(TODAY()),MONTH(TODAY()),1),23))-YEAR(IF(ISNUMBER(Suppliers!F20),Suppliers!F20,DATE(YEAR(TODAY()),MONTH(TODAY()),1))))*12+MONTH(EDATE(DATE(YEAR(TODAY()),MONTH(TODAY()),1),23))-MONTH(IF(ISNUMBER(Suppliers!F20),Suppliers!F20,DATE(YEAR(TODAY()),MONTH(TODAY()),1))),6)=0,1,0),IF(Suppliers!E20="Annual",IF(MOD((YEAR(EDATE(DATE(YEAR(TODAY()),MONTH(TODAY()),1),23))-YEAR(IF(ISNUMBER(Suppliers!F20),Suppliers!F20,DATE(YEAR(TODAY()),MONTH(TODAY()),1))))*12+MONTH(EDATE(DATE(YEAR(TODAY()),MONTH(TODAY()),1),23))-MONTH(IF(ISNUMBER(Suppliers!F20),Suppliers!F20,DATE(YEAR(TODAY()),MONTH(TODAY()),1))),12)=0,1,0),IF(Suppliers!E20="One-time",IF(23=0,1,0),1)))))),"")</f>
        <v/>
      </c>
    </row>
    <row r="23" spans="1:29" ht="15" customHeight="1" x14ac:dyDescent="0.35">
      <c r="A23" s="4" t="s">
        <v>80</v>
      </c>
      <c r="B23" s="4" t="str">
        <f>IF(Suppliers!A21="","",Suppliers!A21)</f>
        <v>Upsilon Cloud Storage</v>
      </c>
      <c r="C23" s="10">
        <f>IF(Suppliers!C21="","",Suppliers!C21)</f>
        <v>126.05</v>
      </c>
      <c r="D23" s="10">
        <f>IF(Suppliers!D21="","",Suppliers!D21)</f>
        <v>150</v>
      </c>
      <c r="E23" s="4" t="str">
        <f>IF(Suppliers!E21="","",Suppliers!E21)</f>
        <v>Monthly</v>
      </c>
      <c r="F23" s="10">
        <f ca="1">IFERROR(IF(OR(0&gt;=$B$1,Suppliers!A21="",NOT(ISNUMBER(Suppliers!D21)),Suppliers!L21="Expired",Suppliers!L21="Terminate"),"",Suppliers!D21*-1*IF(Suppliers!E21="Monthly",IF(AND(ISNUMBER(Suppliers!G21),(YEAR(EDATE(DATE(YEAR(TODAY()),MONTH(TODAY()),1),0))*12+MONTH(EDATE(DATE(YEAR(TODAY()),MONTH(TODAY()),1),0)))&gt;(YEAR(Suppliers!G21)*12+MONTH(Suppliers!G21))),"",1),IF(Suppliers!E21="Quarterly",IF(MOD((YEAR(EDATE(DATE(YEAR(TODAY()),MONTH(TODAY()),1),0))-YEAR(IF(ISNUMBER(Suppliers!F21),Suppliers!F21,DATE(YEAR(TODAY()),MONTH(TODAY()),1))))*12+MONTH(EDATE(DATE(YEAR(TODAY()),MONTH(TODAY()),1),0))-MONTH(IF(ISNUMBER(Suppliers!F21),Suppliers!F21,DATE(YEAR(TODAY()),MONTH(TODAY()),1))),3)=0,1,0),IF(Suppliers!E21="Semi-annual",IF(MOD((YEAR(EDATE(DATE(YEAR(TODAY()),MONTH(TODAY()),1),0))-YEAR(IF(ISNUMBER(Suppliers!F21),Suppliers!F21,DATE(YEAR(TODAY()),MONTH(TODAY()),1))))*12+MONTH(EDATE(DATE(YEAR(TODAY()),MONTH(TODAY()),1),0))-MONTH(IF(ISNUMBER(Suppliers!F21),Suppliers!F21,DATE(YEAR(TODAY()),MONTH(TODAY()),1))),6)=0,1,0),IF(Suppliers!E21="Annual",IF(MOD((YEAR(EDATE(DATE(YEAR(TODAY()),MONTH(TODAY()),1),0))-YEAR(IF(ISNUMBER(Suppliers!F21),Suppliers!F21,DATE(YEAR(TODAY()),MONTH(TODAY()),1))))*12+MONTH(EDATE(DATE(YEAR(TODAY()),MONTH(TODAY()),1),0))-MONTH(IF(ISNUMBER(Suppliers!F21),Suppliers!F21,DATE(YEAR(TODAY()),MONTH(TODAY()),1))),12)=0,1,0),IF(Suppliers!E21="One-time",IF(0=0,1,0),1)))))),"")</f>
        <v>-150</v>
      </c>
      <c r="G23" s="10">
        <f ca="1">IFERROR(IF(OR(1&gt;=$B$1,Suppliers!A21="",NOT(ISNUMBER(Suppliers!D21)),Suppliers!L21="Expired",Suppliers!L21="Terminate"),"",Suppliers!D21*-1*IF(Suppliers!E21="Monthly",IF(AND(ISNUMBER(Suppliers!G21),(YEAR(EDATE(DATE(YEAR(TODAY()),MONTH(TODAY()),1),1))*12+MONTH(EDATE(DATE(YEAR(TODAY()),MONTH(TODAY()),1),1)))&gt;(YEAR(Suppliers!G21)*12+MONTH(Suppliers!G21))),"",1),IF(Suppliers!E21="Quarterly",IF(MOD((YEAR(EDATE(DATE(YEAR(TODAY()),MONTH(TODAY()),1),1))-YEAR(IF(ISNUMBER(Suppliers!F21),Suppliers!F21,DATE(YEAR(TODAY()),MONTH(TODAY()),1))))*12+MONTH(EDATE(DATE(YEAR(TODAY()),MONTH(TODAY()),1),1))-MONTH(IF(ISNUMBER(Suppliers!F21),Suppliers!F21,DATE(YEAR(TODAY()),MONTH(TODAY()),1))),3)=0,1,0),IF(Suppliers!E21="Semi-annual",IF(MOD((YEAR(EDATE(DATE(YEAR(TODAY()),MONTH(TODAY()),1),1))-YEAR(IF(ISNUMBER(Suppliers!F21),Suppliers!F21,DATE(YEAR(TODAY()),MONTH(TODAY()),1))))*12+MONTH(EDATE(DATE(YEAR(TODAY()),MONTH(TODAY()),1),1))-MONTH(IF(ISNUMBER(Suppliers!F21),Suppliers!F21,DATE(YEAR(TODAY()),MONTH(TODAY()),1))),6)=0,1,0),IF(Suppliers!E21="Annual",IF(MOD((YEAR(EDATE(DATE(YEAR(TODAY()),MONTH(TODAY()),1),1))-YEAR(IF(ISNUMBER(Suppliers!F21),Suppliers!F21,DATE(YEAR(TODAY()),MONTH(TODAY()),1))))*12+MONTH(EDATE(DATE(YEAR(TODAY()),MONTH(TODAY()),1),1))-MONTH(IF(ISNUMBER(Suppliers!F21),Suppliers!F21,DATE(YEAR(TODAY()),MONTH(TODAY()),1))),12)=0,1,0),IF(Suppliers!E21="One-time",IF(1=0,1,0),1)))))),"")</f>
        <v>-150</v>
      </c>
      <c r="H23" s="10">
        <f ca="1">IFERROR(IF(OR(2&gt;=$B$1,Suppliers!A21="",NOT(ISNUMBER(Suppliers!D21)),Suppliers!L21="Expired",Suppliers!L21="Terminate"),"",Suppliers!D21*-1*IF(Suppliers!E21="Monthly",IF(AND(ISNUMBER(Suppliers!G21),(YEAR(EDATE(DATE(YEAR(TODAY()),MONTH(TODAY()),1),2))*12+MONTH(EDATE(DATE(YEAR(TODAY()),MONTH(TODAY()),1),2)))&gt;(YEAR(Suppliers!G21)*12+MONTH(Suppliers!G21))),"",1),IF(Suppliers!E21="Quarterly",IF(MOD((YEAR(EDATE(DATE(YEAR(TODAY()),MONTH(TODAY()),1),2))-YEAR(IF(ISNUMBER(Suppliers!F21),Suppliers!F21,DATE(YEAR(TODAY()),MONTH(TODAY()),1))))*12+MONTH(EDATE(DATE(YEAR(TODAY()),MONTH(TODAY()),1),2))-MONTH(IF(ISNUMBER(Suppliers!F21),Suppliers!F21,DATE(YEAR(TODAY()),MONTH(TODAY()),1))),3)=0,1,0),IF(Suppliers!E21="Semi-annual",IF(MOD((YEAR(EDATE(DATE(YEAR(TODAY()),MONTH(TODAY()),1),2))-YEAR(IF(ISNUMBER(Suppliers!F21),Suppliers!F21,DATE(YEAR(TODAY()),MONTH(TODAY()),1))))*12+MONTH(EDATE(DATE(YEAR(TODAY()),MONTH(TODAY()),1),2))-MONTH(IF(ISNUMBER(Suppliers!F21),Suppliers!F21,DATE(YEAR(TODAY()),MONTH(TODAY()),1))),6)=0,1,0),IF(Suppliers!E21="Annual",IF(MOD((YEAR(EDATE(DATE(YEAR(TODAY()),MONTH(TODAY()),1),2))-YEAR(IF(ISNUMBER(Suppliers!F21),Suppliers!F21,DATE(YEAR(TODAY()),MONTH(TODAY()),1))))*12+MONTH(EDATE(DATE(YEAR(TODAY()),MONTH(TODAY()),1),2))-MONTH(IF(ISNUMBER(Suppliers!F21),Suppliers!F21,DATE(YEAR(TODAY()),MONTH(TODAY()),1))),12)=0,1,0),IF(Suppliers!E21="One-time",IF(2=0,1,0),1)))))),"")</f>
        <v>-150</v>
      </c>
      <c r="I23" s="10" t="str">
        <f ca="1">IFERROR(IF(OR(3&gt;=$B$1,Suppliers!A21="",NOT(ISNUMBER(Suppliers!D21)),Suppliers!L21="Expired",Suppliers!L21="Terminate"),"",Suppliers!D21*-1*IF(Suppliers!E21="Monthly",IF(AND(ISNUMBER(Suppliers!G21),(YEAR(EDATE(DATE(YEAR(TODAY()),MONTH(TODAY()),1),3))*12+MONTH(EDATE(DATE(YEAR(TODAY()),MONTH(TODAY()),1),3)))&gt;(YEAR(Suppliers!G21)*12+MONTH(Suppliers!G21))),"",1),IF(Suppliers!E21="Quarterly",IF(MOD((YEAR(EDATE(DATE(YEAR(TODAY()),MONTH(TODAY()),1),3))-YEAR(IF(ISNUMBER(Suppliers!F21),Suppliers!F21,DATE(YEAR(TODAY()),MONTH(TODAY()),1))))*12+MONTH(EDATE(DATE(YEAR(TODAY()),MONTH(TODAY()),1),3))-MONTH(IF(ISNUMBER(Suppliers!F21),Suppliers!F21,DATE(YEAR(TODAY()),MONTH(TODAY()),1))),3)=0,1,0),IF(Suppliers!E21="Semi-annual",IF(MOD((YEAR(EDATE(DATE(YEAR(TODAY()),MONTH(TODAY()),1),3))-YEAR(IF(ISNUMBER(Suppliers!F21),Suppliers!F21,DATE(YEAR(TODAY()),MONTH(TODAY()),1))))*12+MONTH(EDATE(DATE(YEAR(TODAY()),MONTH(TODAY()),1),3))-MONTH(IF(ISNUMBER(Suppliers!F21),Suppliers!F21,DATE(YEAR(TODAY()),MONTH(TODAY()),1))),6)=0,1,0),IF(Suppliers!E21="Annual",IF(MOD((YEAR(EDATE(DATE(YEAR(TODAY()),MONTH(TODAY()),1),3))-YEAR(IF(ISNUMBER(Suppliers!F21),Suppliers!F21,DATE(YEAR(TODAY()),MONTH(TODAY()),1))))*12+MONTH(EDATE(DATE(YEAR(TODAY()),MONTH(TODAY()),1),3))-MONTH(IF(ISNUMBER(Suppliers!F21),Suppliers!F21,DATE(YEAR(TODAY()),MONTH(TODAY()),1))),12)=0,1,0),IF(Suppliers!E21="One-time",IF(3=0,1,0),1)))))),"")</f>
        <v/>
      </c>
      <c r="J23" s="10" t="str">
        <f ca="1">IFERROR(IF(OR(4&gt;=$B$1,Suppliers!A21="",NOT(ISNUMBER(Suppliers!D21)),Suppliers!L21="Expired",Suppliers!L21="Terminate"),"",Suppliers!D21*-1*IF(Suppliers!E21="Monthly",IF(AND(ISNUMBER(Suppliers!G21),(YEAR(EDATE(DATE(YEAR(TODAY()),MONTH(TODAY()),1),4))*12+MONTH(EDATE(DATE(YEAR(TODAY()),MONTH(TODAY()),1),4)))&gt;(YEAR(Suppliers!G21)*12+MONTH(Suppliers!G21))),"",1),IF(Suppliers!E21="Quarterly",IF(MOD((YEAR(EDATE(DATE(YEAR(TODAY()),MONTH(TODAY()),1),4))-YEAR(IF(ISNUMBER(Suppliers!F21),Suppliers!F21,DATE(YEAR(TODAY()),MONTH(TODAY()),1))))*12+MONTH(EDATE(DATE(YEAR(TODAY()),MONTH(TODAY()),1),4))-MONTH(IF(ISNUMBER(Suppliers!F21),Suppliers!F21,DATE(YEAR(TODAY()),MONTH(TODAY()),1))),3)=0,1,0),IF(Suppliers!E21="Semi-annual",IF(MOD((YEAR(EDATE(DATE(YEAR(TODAY()),MONTH(TODAY()),1),4))-YEAR(IF(ISNUMBER(Suppliers!F21),Suppliers!F21,DATE(YEAR(TODAY()),MONTH(TODAY()),1))))*12+MONTH(EDATE(DATE(YEAR(TODAY()),MONTH(TODAY()),1),4))-MONTH(IF(ISNUMBER(Suppliers!F21),Suppliers!F21,DATE(YEAR(TODAY()),MONTH(TODAY()),1))),6)=0,1,0),IF(Suppliers!E21="Annual",IF(MOD((YEAR(EDATE(DATE(YEAR(TODAY()),MONTH(TODAY()),1),4))-YEAR(IF(ISNUMBER(Suppliers!F21),Suppliers!F21,DATE(YEAR(TODAY()),MONTH(TODAY()),1))))*12+MONTH(EDATE(DATE(YEAR(TODAY()),MONTH(TODAY()),1),4))-MONTH(IF(ISNUMBER(Suppliers!F21),Suppliers!F21,DATE(YEAR(TODAY()),MONTH(TODAY()),1))),12)=0,1,0),IF(Suppliers!E21="One-time",IF(4=0,1,0),1)))))),"")</f>
        <v/>
      </c>
      <c r="K23" s="10" t="str">
        <f ca="1">IFERROR(IF(OR(5&gt;=$B$1,Suppliers!A21="",NOT(ISNUMBER(Suppliers!D21)),Suppliers!L21="Expired",Suppliers!L21="Terminate"),"",Suppliers!D21*-1*IF(Suppliers!E21="Monthly",IF(AND(ISNUMBER(Suppliers!G21),(YEAR(EDATE(DATE(YEAR(TODAY()),MONTH(TODAY()),1),5))*12+MONTH(EDATE(DATE(YEAR(TODAY()),MONTH(TODAY()),1),5)))&gt;(YEAR(Suppliers!G21)*12+MONTH(Suppliers!G21))),"",1),IF(Suppliers!E21="Quarterly",IF(MOD((YEAR(EDATE(DATE(YEAR(TODAY()),MONTH(TODAY()),1),5))-YEAR(IF(ISNUMBER(Suppliers!F21),Suppliers!F21,DATE(YEAR(TODAY()),MONTH(TODAY()),1))))*12+MONTH(EDATE(DATE(YEAR(TODAY()),MONTH(TODAY()),1),5))-MONTH(IF(ISNUMBER(Suppliers!F21),Suppliers!F21,DATE(YEAR(TODAY()),MONTH(TODAY()),1))),3)=0,1,0),IF(Suppliers!E21="Semi-annual",IF(MOD((YEAR(EDATE(DATE(YEAR(TODAY()),MONTH(TODAY()),1),5))-YEAR(IF(ISNUMBER(Suppliers!F21),Suppliers!F21,DATE(YEAR(TODAY()),MONTH(TODAY()),1))))*12+MONTH(EDATE(DATE(YEAR(TODAY()),MONTH(TODAY()),1),5))-MONTH(IF(ISNUMBER(Suppliers!F21),Suppliers!F21,DATE(YEAR(TODAY()),MONTH(TODAY()),1))),6)=0,1,0),IF(Suppliers!E21="Annual",IF(MOD((YEAR(EDATE(DATE(YEAR(TODAY()),MONTH(TODAY()),1),5))-YEAR(IF(ISNUMBER(Suppliers!F21),Suppliers!F21,DATE(YEAR(TODAY()),MONTH(TODAY()),1))))*12+MONTH(EDATE(DATE(YEAR(TODAY()),MONTH(TODAY()),1),5))-MONTH(IF(ISNUMBER(Suppliers!F21),Suppliers!F21,DATE(YEAR(TODAY()),MONTH(TODAY()),1))),12)=0,1,0),IF(Suppliers!E21="One-time",IF(5=0,1,0),1)))))),"")</f>
        <v/>
      </c>
      <c r="L23" s="10" t="str">
        <f ca="1">IFERROR(IF(OR(6&gt;=$B$1,Suppliers!A21="",NOT(ISNUMBER(Suppliers!D21)),Suppliers!L21="Expired",Suppliers!L21="Terminate"),"",Suppliers!D21*-1*IF(Suppliers!E21="Monthly",IF(AND(ISNUMBER(Suppliers!G21),(YEAR(EDATE(DATE(YEAR(TODAY()),MONTH(TODAY()),1),6))*12+MONTH(EDATE(DATE(YEAR(TODAY()),MONTH(TODAY()),1),6)))&gt;(YEAR(Suppliers!G21)*12+MONTH(Suppliers!G21))),"",1),IF(Suppliers!E21="Quarterly",IF(MOD((YEAR(EDATE(DATE(YEAR(TODAY()),MONTH(TODAY()),1),6))-YEAR(IF(ISNUMBER(Suppliers!F21),Suppliers!F21,DATE(YEAR(TODAY()),MONTH(TODAY()),1))))*12+MONTH(EDATE(DATE(YEAR(TODAY()),MONTH(TODAY()),1),6))-MONTH(IF(ISNUMBER(Suppliers!F21),Suppliers!F21,DATE(YEAR(TODAY()),MONTH(TODAY()),1))),3)=0,1,0),IF(Suppliers!E21="Semi-annual",IF(MOD((YEAR(EDATE(DATE(YEAR(TODAY()),MONTH(TODAY()),1),6))-YEAR(IF(ISNUMBER(Suppliers!F21),Suppliers!F21,DATE(YEAR(TODAY()),MONTH(TODAY()),1))))*12+MONTH(EDATE(DATE(YEAR(TODAY()),MONTH(TODAY()),1),6))-MONTH(IF(ISNUMBER(Suppliers!F21),Suppliers!F21,DATE(YEAR(TODAY()),MONTH(TODAY()),1))),6)=0,1,0),IF(Suppliers!E21="Annual",IF(MOD((YEAR(EDATE(DATE(YEAR(TODAY()),MONTH(TODAY()),1),6))-YEAR(IF(ISNUMBER(Suppliers!F21),Suppliers!F21,DATE(YEAR(TODAY()),MONTH(TODAY()),1))))*12+MONTH(EDATE(DATE(YEAR(TODAY()),MONTH(TODAY()),1),6))-MONTH(IF(ISNUMBER(Suppliers!F21),Suppliers!F21,DATE(YEAR(TODAY()),MONTH(TODAY()),1))),12)=0,1,0),IF(Suppliers!E21="One-time",IF(6=0,1,0),1)))))),"")</f>
        <v/>
      </c>
      <c r="M23" s="10" t="str">
        <f ca="1">IFERROR(IF(OR(7&gt;=$B$1,Suppliers!A21="",NOT(ISNUMBER(Suppliers!D21)),Suppliers!L21="Expired",Suppliers!L21="Terminate"),"",Suppliers!D21*-1*IF(Suppliers!E21="Monthly",IF(AND(ISNUMBER(Suppliers!G21),(YEAR(EDATE(DATE(YEAR(TODAY()),MONTH(TODAY()),1),7))*12+MONTH(EDATE(DATE(YEAR(TODAY()),MONTH(TODAY()),1),7)))&gt;(YEAR(Suppliers!G21)*12+MONTH(Suppliers!G21))),"",1),IF(Suppliers!E21="Quarterly",IF(MOD((YEAR(EDATE(DATE(YEAR(TODAY()),MONTH(TODAY()),1),7))-YEAR(IF(ISNUMBER(Suppliers!F21),Suppliers!F21,DATE(YEAR(TODAY()),MONTH(TODAY()),1))))*12+MONTH(EDATE(DATE(YEAR(TODAY()),MONTH(TODAY()),1),7))-MONTH(IF(ISNUMBER(Suppliers!F21),Suppliers!F21,DATE(YEAR(TODAY()),MONTH(TODAY()),1))),3)=0,1,0),IF(Suppliers!E21="Semi-annual",IF(MOD((YEAR(EDATE(DATE(YEAR(TODAY()),MONTH(TODAY()),1),7))-YEAR(IF(ISNUMBER(Suppliers!F21),Suppliers!F21,DATE(YEAR(TODAY()),MONTH(TODAY()),1))))*12+MONTH(EDATE(DATE(YEAR(TODAY()),MONTH(TODAY()),1),7))-MONTH(IF(ISNUMBER(Suppliers!F21),Suppliers!F21,DATE(YEAR(TODAY()),MONTH(TODAY()),1))),6)=0,1,0),IF(Suppliers!E21="Annual",IF(MOD((YEAR(EDATE(DATE(YEAR(TODAY()),MONTH(TODAY()),1),7))-YEAR(IF(ISNUMBER(Suppliers!F21),Suppliers!F21,DATE(YEAR(TODAY()),MONTH(TODAY()),1))))*12+MONTH(EDATE(DATE(YEAR(TODAY()),MONTH(TODAY()),1),7))-MONTH(IF(ISNUMBER(Suppliers!F21),Suppliers!F21,DATE(YEAR(TODAY()),MONTH(TODAY()),1))),12)=0,1,0),IF(Suppliers!E21="One-time",IF(7=0,1,0),1)))))),"")</f>
        <v/>
      </c>
      <c r="N23" s="10" t="str">
        <f ca="1">IFERROR(IF(OR(8&gt;=$B$1,Suppliers!A21="",NOT(ISNUMBER(Suppliers!D21)),Suppliers!L21="Expired",Suppliers!L21="Terminate"),"",Suppliers!D21*-1*IF(Suppliers!E21="Monthly",IF(AND(ISNUMBER(Suppliers!G21),(YEAR(EDATE(DATE(YEAR(TODAY()),MONTH(TODAY()),1),8))*12+MONTH(EDATE(DATE(YEAR(TODAY()),MONTH(TODAY()),1),8)))&gt;(YEAR(Suppliers!G21)*12+MONTH(Suppliers!G21))),"",1),IF(Suppliers!E21="Quarterly",IF(MOD((YEAR(EDATE(DATE(YEAR(TODAY()),MONTH(TODAY()),1),8))-YEAR(IF(ISNUMBER(Suppliers!F21),Suppliers!F21,DATE(YEAR(TODAY()),MONTH(TODAY()),1))))*12+MONTH(EDATE(DATE(YEAR(TODAY()),MONTH(TODAY()),1),8))-MONTH(IF(ISNUMBER(Suppliers!F21),Suppliers!F21,DATE(YEAR(TODAY()),MONTH(TODAY()),1))),3)=0,1,0),IF(Suppliers!E21="Semi-annual",IF(MOD((YEAR(EDATE(DATE(YEAR(TODAY()),MONTH(TODAY()),1),8))-YEAR(IF(ISNUMBER(Suppliers!F21),Suppliers!F21,DATE(YEAR(TODAY()),MONTH(TODAY()),1))))*12+MONTH(EDATE(DATE(YEAR(TODAY()),MONTH(TODAY()),1),8))-MONTH(IF(ISNUMBER(Suppliers!F21),Suppliers!F21,DATE(YEAR(TODAY()),MONTH(TODAY()),1))),6)=0,1,0),IF(Suppliers!E21="Annual",IF(MOD((YEAR(EDATE(DATE(YEAR(TODAY()),MONTH(TODAY()),1),8))-YEAR(IF(ISNUMBER(Suppliers!F21),Suppliers!F21,DATE(YEAR(TODAY()),MONTH(TODAY()),1))))*12+MONTH(EDATE(DATE(YEAR(TODAY()),MONTH(TODAY()),1),8))-MONTH(IF(ISNUMBER(Suppliers!F21),Suppliers!F21,DATE(YEAR(TODAY()),MONTH(TODAY()),1))),12)=0,1,0),IF(Suppliers!E21="One-time",IF(8=0,1,0),1)))))),"")</f>
        <v/>
      </c>
      <c r="O23" s="10" t="str">
        <f ca="1">IFERROR(IF(OR(9&gt;=$B$1,Suppliers!A21="",NOT(ISNUMBER(Suppliers!D21)),Suppliers!L21="Expired",Suppliers!L21="Terminate"),"",Suppliers!D21*-1*IF(Suppliers!E21="Monthly",IF(AND(ISNUMBER(Suppliers!G21),(YEAR(EDATE(DATE(YEAR(TODAY()),MONTH(TODAY()),1),9))*12+MONTH(EDATE(DATE(YEAR(TODAY()),MONTH(TODAY()),1),9)))&gt;(YEAR(Suppliers!G21)*12+MONTH(Suppliers!G21))),"",1),IF(Suppliers!E21="Quarterly",IF(MOD((YEAR(EDATE(DATE(YEAR(TODAY()),MONTH(TODAY()),1),9))-YEAR(IF(ISNUMBER(Suppliers!F21),Suppliers!F21,DATE(YEAR(TODAY()),MONTH(TODAY()),1))))*12+MONTH(EDATE(DATE(YEAR(TODAY()),MONTH(TODAY()),1),9))-MONTH(IF(ISNUMBER(Suppliers!F21),Suppliers!F21,DATE(YEAR(TODAY()),MONTH(TODAY()),1))),3)=0,1,0),IF(Suppliers!E21="Semi-annual",IF(MOD((YEAR(EDATE(DATE(YEAR(TODAY()),MONTH(TODAY()),1),9))-YEAR(IF(ISNUMBER(Suppliers!F21),Suppliers!F21,DATE(YEAR(TODAY()),MONTH(TODAY()),1))))*12+MONTH(EDATE(DATE(YEAR(TODAY()),MONTH(TODAY()),1),9))-MONTH(IF(ISNUMBER(Suppliers!F21),Suppliers!F21,DATE(YEAR(TODAY()),MONTH(TODAY()),1))),6)=0,1,0),IF(Suppliers!E21="Annual",IF(MOD((YEAR(EDATE(DATE(YEAR(TODAY()),MONTH(TODAY()),1),9))-YEAR(IF(ISNUMBER(Suppliers!F21),Suppliers!F21,DATE(YEAR(TODAY()),MONTH(TODAY()),1))))*12+MONTH(EDATE(DATE(YEAR(TODAY()),MONTH(TODAY()),1),9))-MONTH(IF(ISNUMBER(Suppliers!F21),Suppliers!F21,DATE(YEAR(TODAY()),MONTH(TODAY()),1))),12)=0,1,0),IF(Suppliers!E21="One-time",IF(9=0,1,0),1)))))),"")</f>
        <v/>
      </c>
      <c r="P23" s="10" t="str">
        <f ca="1">IFERROR(IF(OR(10&gt;=$B$1,Suppliers!A21="",NOT(ISNUMBER(Suppliers!D21)),Suppliers!L21="Expired",Suppliers!L21="Terminate"),"",Suppliers!D21*-1*IF(Suppliers!E21="Monthly",IF(AND(ISNUMBER(Suppliers!G21),(YEAR(EDATE(DATE(YEAR(TODAY()),MONTH(TODAY()),1),10))*12+MONTH(EDATE(DATE(YEAR(TODAY()),MONTH(TODAY()),1),10)))&gt;(YEAR(Suppliers!G21)*12+MONTH(Suppliers!G21))),"",1),IF(Suppliers!E21="Quarterly",IF(MOD((YEAR(EDATE(DATE(YEAR(TODAY()),MONTH(TODAY()),1),10))-YEAR(IF(ISNUMBER(Suppliers!F21),Suppliers!F21,DATE(YEAR(TODAY()),MONTH(TODAY()),1))))*12+MONTH(EDATE(DATE(YEAR(TODAY()),MONTH(TODAY()),1),10))-MONTH(IF(ISNUMBER(Suppliers!F21),Suppliers!F21,DATE(YEAR(TODAY()),MONTH(TODAY()),1))),3)=0,1,0),IF(Suppliers!E21="Semi-annual",IF(MOD((YEAR(EDATE(DATE(YEAR(TODAY()),MONTH(TODAY()),1),10))-YEAR(IF(ISNUMBER(Suppliers!F21),Suppliers!F21,DATE(YEAR(TODAY()),MONTH(TODAY()),1))))*12+MONTH(EDATE(DATE(YEAR(TODAY()),MONTH(TODAY()),1),10))-MONTH(IF(ISNUMBER(Suppliers!F21),Suppliers!F21,DATE(YEAR(TODAY()),MONTH(TODAY()),1))),6)=0,1,0),IF(Suppliers!E21="Annual",IF(MOD((YEAR(EDATE(DATE(YEAR(TODAY()),MONTH(TODAY()),1),10))-YEAR(IF(ISNUMBER(Suppliers!F21),Suppliers!F21,DATE(YEAR(TODAY()),MONTH(TODAY()),1))))*12+MONTH(EDATE(DATE(YEAR(TODAY()),MONTH(TODAY()),1),10))-MONTH(IF(ISNUMBER(Suppliers!F21),Suppliers!F21,DATE(YEAR(TODAY()),MONTH(TODAY()),1))),12)=0,1,0),IF(Suppliers!E21="One-time",IF(10=0,1,0),1)))))),"")</f>
        <v/>
      </c>
      <c r="Q23" s="10" t="str">
        <f ca="1">IFERROR(IF(OR(11&gt;=$B$1,Suppliers!A21="",NOT(ISNUMBER(Suppliers!D21)),Suppliers!L21="Expired",Suppliers!L21="Terminate"),"",Suppliers!D21*-1*IF(Suppliers!E21="Monthly",IF(AND(ISNUMBER(Suppliers!G21),(YEAR(EDATE(DATE(YEAR(TODAY()),MONTH(TODAY()),1),11))*12+MONTH(EDATE(DATE(YEAR(TODAY()),MONTH(TODAY()),1),11)))&gt;(YEAR(Suppliers!G21)*12+MONTH(Suppliers!G21))),"",1),IF(Suppliers!E21="Quarterly",IF(MOD((YEAR(EDATE(DATE(YEAR(TODAY()),MONTH(TODAY()),1),11))-YEAR(IF(ISNUMBER(Suppliers!F21),Suppliers!F21,DATE(YEAR(TODAY()),MONTH(TODAY()),1))))*12+MONTH(EDATE(DATE(YEAR(TODAY()),MONTH(TODAY()),1),11))-MONTH(IF(ISNUMBER(Suppliers!F21),Suppliers!F21,DATE(YEAR(TODAY()),MONTH(TODAY()),1))),3)=0,1,0),IF(Suppliers!E21="Semi-annual",IF(MOD((YEAR(EDATE(DATE(YEAR(TODAY()),MONTH(TODAY()),1),11))-YEAR(IF(ISNUMBER(Suppliers!F21),Suppliers!F21,DATE(YEAR(TODAY()),MONTH(TODAY()),1))))*12+MONTH(EDATE(DATE(YEAR(TODAY()),MONTH(TODAY()),1),11))-MONTH(IF(ISNUMBER(Suppliers!F21),Suppliers!F21,DATE(YEAR(TODAY()),MONTH(TODAY()),1))),6)=0,1,0),IF(Suppliers!E21="Annual",IF(MOD((YEAR(EDATE(DATE(YEAR(TODAY()),MONTH(TODAY()),1),11))-YEAR(IF(ISNUMBER(Suppliers!F21),Suppliers!F21,DATE(YEAR(TODAY()),MONTH(TODAY()),1))))*12+MONTH(EDATE(DATE(YEAR(TODAY()),MONTH(TODAY()),1),11))-MONTH(IF(ISNUMBER(Suppliers!F21),Suppliers!F21,DATE(YEAR(TODAY()),MONTH(TODAY()),1))),12)=0,1,0),IF(Suppliers!E21="One-time",IF(11=0,1,0),1)))))),"")</f>
        <v/>
      </c>
      <c r="R23" s="10" t="str">
        <f ca="1">IFERROR(IF(OR(12&gt;=$B$1,Suppliers!A21="",NOT(ISNUMBER(Suppliers!D21)),Suppliers!L21="Expired",Suppliers!L21="Terminate"),"",Suppliers!D21*-1*IF(Suppliers!E21="Monthly",IF(AND(ISNUMBER(Suppliers!G21),(YEAR(EDATE(DATE(YEAR(TODAY()),MONTH(TODAY()),1),12))*12+MONTH(EDATE(DATE(YEAR(TODAY()),MONTH(TODAY()),1),12)))&gt;(YEAR(Suppliers!G21)*12+MONTH(Suppliers!G21))),"",1),IF(Suppliers!E21="Quarterly",IF(MOD((YEAR(EDATE(DATE(YEAR(TODAY()),MONTH(TODAY()),1),12))-YEAR(IF(ISNUMBER(Suppliers!F21),Suppliers!F21,DATE(YEAR(TODAY()),MONTH(TODAY()),1))))*12+MONTH(EDATE(DATE(YEAR(TODAY()),MONTH(TODAY()),1),12))-MONTH(IF(ISNUMBER(Suppliers!F21),Suppliers!F21,DATE(YEAR(TODAY()),MONTH(TODAY()),1))),3)=0,1,0),IF(Suppliers!E21="Semi-annual",IF(MOD((YEAR(EDATE(DATE(YEAR(TODAY()),MONTH(TODAY()),1),12))-YEAR(IF(ISNUMBER(Suppliers!F21),Suppliers!F21,DATE(YEAR(TODAY()),MONTH(TODAY()),1))))*12+MONTH(EDATE(DATE(YEAR(TODAY()),MONTH(TODAY()),1),12))-MONTH(IF(ISNUMBER(Suppliers!F21),Suppliers!F21,DATE(YEAR(TODAY()),MONTH(TODAY()),1))),6)=0,1,0),IF(Suppliers!E21="Annual",IF(MOD((YEAR(EDATE(DATE(YEAR(TODAY()),MONTH(TODAY()),1),12))-YEAR(IF(ISNUMBER(Suppliers!F21),Suppliers!F21,DATE(YEAR(TODAY()),MONTH(TODAY()),1))))*12+MONTH(EDATE(DATE(YEAR(TODAY()),MONTH(TODAY()),1),12))-MONTH(IF(ISNUMBER(Suppliers!F21),Suppliers!F21,DATE(YEAR(TODAY()),MONTH(TODAY()),1))),12)=0,1,0),IF(Suppliers!E21="One-time",IF(12=0,1,0),1)))))),"")</f>
        <v/>
      </c>
      <c r="S23" s="10" t="str">
        <f ca="1">IFERROR(IF(OR(13&gt;=$B$1,Suppliers!A21="",NOT(ISNUMBER(Suppliers!D21)),Suppliers!L21="Expired",Suppliers!L21="Terminate"),"",Suppliers!D21*-1*IF(Suppliers!E21="Monthly",IF(AND(ISNUMBER(Suppliers!G21),(YEAR(EDATE(DATE(YEAR(TODAY()),MONTH(TODAY()),1),13))*12+MONTH(EDATE(DATE(YEAR(TODAY()),MONTH(TODAY()),1),13)))&gt;(YEAR(Suppliers!G21)*12+MONTH(Suppliers!G21))),"",1),IF(Suppliers!E21="Quarterly",IF(MOD((YEAR(EDATE(DATE(YEAR(TODAY()),MONTH(TODAY()),1),13))-YEAR(IF(ISNUMBER(Suppliers!F21),Suppliers!F21,DATE(YEAR(TODAY()),MONTH(TODAY()),1))))*12+MONTH(EDATE(DATE(YEAR(TODAY()),MONTH(TODAY()),1),13))-MONTH(IF(ISNUMBER(Suppliers!F21),Suppliers!F21,DATE(YEAR(TODAY()),MONTH(TODAY()),1))),3)=0,1,0),IF(Suppliers!E21="Semi-annual",IF(MOD((YEAR(EDATE(DATE(YEAR(TODAY()),MONTH(TODAY()),1),13))-YEAR(IF(ISNUMBER(Suppliers!F21),Suppliers!F21,DATE(YEAR(TODAY()),MONTH(TODAY()),1))))*12+MONTH(EDATE(DATE(YEAR(TODAY()),MONTH(TODAY()),1),13))-MONTH(IF(ISNUMBER(Suppliers!F21),Suppliers!F21,DATE(YEAR(TODAY()),MONTH(TODAY()),1))),6)=0,1,0),IF(Suppliers!E21="Annual",IF(MOD((YEAR(EDATE(DATE(YEAR(TODAY()),MONTH(TODAY()),1),13))-YEAR(IF(ISNUMBER(Suppliers!F21),Suppliers!F21,DATE(YEAR(TODAY()),MONTH(TODAY()),1))))*12+MONTH(EDATE(DATE(YEAR(TODAY()),MONTH(TODAY()),1),13))-MONTH(IF(ISNUMBER(Suppliers!F21),Suppliers!F21,DATE(YEAR(TODAY()),MONTH(TODAY()),1))),12)=0,1,0),IF(Suppliers!E21="One-time",IF(13=0,1,0),1)))))),"")</f>
        <v/>
      </c>
      <c r="T23" s="10" t="str">
        <f ca="1">IFERROR(IF(OR(14&gt;=$B$1,Suppliers!A21="",NOT(ISNUMBER(Suppliers!D21)),Suppliers!L21="Expired",Suppliers!L21="Terminate"),"",Suppliers!D21*-1*IF(Suppliers!E21="Monthly",IF(AND(ISNUMBER(Suppliers!G21),(YEAR(EDATE(DATE(YEAR(TODAY()),MONTH(TODAY()),1),14))*12+MONTH(EDATE(DATE(YEAR(TODAY()),MONTH(TODAY()),1),14)))&gt;(YEAR(Suppliers!G21)*12+MONTH(Suppliers!G21))),"",1),IF(Suppliers!E21="Quarterly",IF(MOD((YEAR(EDATE(DATE(YEAR(TODAY()),MONTH(TODAY()),1),14))-YEAR(IF(ISNUMBER(Suppliers!F21),Suppliers!F21,DATE(YEAR(TODAY()),MONTH(TODAY()),1))))*12+MONTH(EDATE(DATE(YEAR(TODAY()),MONTH(TODAY()),1),14))-MONTH(IF(ISNUMBER(Suppliers!F21),Suppliers!F21,DATE(YEAR(TODAY()),MONTH(TODAY()),1))),3)=0,1,0),IF(Suppliers!E21="Semi-annual",IF(MOD((YEAR(EDATE(DATE(YEAR(TODAY()),MONTH(TODAY()),1),14))-YEAR(IF(ISNUMBER(Suppliers!F21),Suppliers!F21,DATE(YEAR(TODAY()),MONTH(TODAY()),1))))*12+MONTH(EDATE(DATE(YEAR(TODAY()),MONTH(TODAY()),1),14))-MONTH(IF(ISNUMBER(Suppliers!F21),Suppliers!F21,DATE(YEAR(TODAY()),MONTH(TODAY()),1))),6)=0,1,0),IF(Suppliers!E21="Annual",IF(MOD((YEAR(EDATE(DATE(YEAR(TODAY()),MONTH(TODAY()),1),14))-YEAR(IF(ISNUMBER(Suppliers!F21),Suppliers!F21,DATE(YEAR(TODAY()),MONTH(TODAY()),1))))*12+MONTH(EDATE(DATE(YEAR(TODAY()),MONTH(TODAY()),1),14))-MONTH(IF(ISNUMBER(Suppliers!F21),Suppliers!F21,DATE(YEAR(TODAY()),MONTH(TODAY()),1))),12)=0,1,0),IF(Suppliers!E21="One-time",IF(14=0,1,0),1)))))),"")</f>
        <v/>
      </c>
      <c r="U23" s="10" t="str">
        <f ca="1">IFERROR(IF(OR(15&gt;=$B$1,Suppliers!A21="",NOT(ISNUMBER(Suppliers!D21)),Suppliers!L21="Expired",Suppliers!L21="Terminate"),"",Suppliers!D21*-1*IF(Suppliers!E21="Monthly",IF(AND(ISNUMBER(Suppliers!G21),(YEAR(EDATE(DATE(YEAR(TODAY()),MONTH(TODAY()),1),15))*12+MONTH(EDATE(DATE(YEAR(TODAY()),MONTH(TODAY()),1),15)))&gt;(YEAR(Suppliers!G21)*12+MONTH(Suppliers!G21))),"",1),IF(Suppliers!E21="Quarterly",IF(MOD((YEAR(EDATE(DATE(YEAR(TODAY()),MONTH(TODAY()),1),15))-YEAR(IF(ISNUMBER(Suppliers!F21),Suppliers!F21,DATE(YEAR(TODAY()),MONTH(TODAY()),1))))*12+MONTH(EDATE(DATE(YEAR(TODAY()),MONTH(TODAY()),1),15))-MONTH(IF(ISNUMBER(Suppliers!F21),Suppliers!F21,DATE(YEAR(TODAY()),MONTH(TODAY()),1))),3)=0,1,0),IF(Suppliers!E21="Semi-annual",IF(MOD((YEAR(EDATE(DATE(YEAR(TODAY()),MONTH(TODAY()),1),15))-YEAR(IF(ISNUMBER(Suppliers!F21),Suppliers!F21,DATE(YEAR(TODAY()),MONTH(TODAY()),1))))*12+MONTH(EDATE(DATE(YEAR(TODAY()),MONTH(TODAY()),1),15))-MONTH(IF(ISNUMBER(Suppliers!F21),Suppliers!F21,DATE(YEAR(TODAY()),MONTH(TODAY()),1))),6)=0,1,0),IF(Suppliers!E21="Annual",IF(MOD((YEAR(EDATE(DATE(YEAR(TODAY()),MONTH(TODAY()),1),15))-YEAR(IF(ISNUMBER(Suppliers!F21),Suppliers!F21,DATE(YEAR(TODAY()),MONTH(TODAY()),1))))*12+MONTH(EDATE(DATE(YEAR(TODAY()),MONTH(TODAY()),1),15))-MONTH(IF(ISNUMBER(Suppliers!F21),Suppliers!F21,DATE(YEAR(TODAY()),MONTH(TODAY()),1))),12)=0,1,0),IF(Suppliers!E21="One-time",IF(15=0,1,0),1)))))),"")</f>
        <v/>
      </c>
      <c r="V23" s="10" t="str">
        <f ca="1">IFERROR(IF(OR(16&gt;=$B$1,Suppliers!A21="",NOT(ISNUMBER(Suppliers!D21)),Suppliers!L21="Expired",Suppliers!L21="Terminate"),"",Suppliers!D21*-1*IF(Suppliers!E21="Monthly",IF(AND(ISNUMBER(Suppliers!G21),(YEAR(EDATE(DATE(YEAR(TODAY()),MONTH(TODAY()),1),16))*12+MONTH(EDATE(DATE(YEAR(TODAY()),MONTH(TODAY()),1),16)))&gt;(YEAR(Suppliers!G21)*12+MONTH(Suppliers!G21))),"",1),IF(Suppliers!E21="Quarterly",IF(MOD((YEAR(EDATE(DATE(YEAR(TODAY()),MONTH(TODAY()),1),16))-YEAR(IF(ISNUMBER(Suppliers!F21),Suppliers!F21,DATE(YEAR(TODAY()),MONTH(TODAY()),1))))*12+MONTH(EDATE(DATE(YEAR(TODAY()),MONTH(TODAY()),1),16))-MONTH(IF(ISNUMBER(Suppliers!F21),Suppliers!F21,DATE(YEAR(TODAY()),MONTH(TODAY()),1))),3)=0,1,0),IF(Suppliers!E21="Semi-annual",IF(MOD((YEAR(EDATE(DATE(YEAR(TODAY()),MONTH(TODAY()),1),16))-YEAR(IF(ISNUMBER(Suppliers!F21),Suppliers!F21,DATE(YEAR(TODAY()),MONTH(TODAY()),1))))*12+MONTH(EDATE(DATE(YEAR(TODAY()),MONTH(TODAY()),1),16))-MONTH(IF(ISNUMBER(Suppliers!F21),Suppliers!F21,DATE(YEAR(TODAY()),MONTH(TODAY()),1))),6)=0,1,0),IF(Suppliers!E21="Annual",IF(MOD((YEAR(EDATE(DATE(YEAR(TODAY()),MONTH(TODAY()),1),16))-YEAR(IF(ISNUMBER(Suppliers!F21),Suppliers!F21,DATE(YEAR(TODAY()),MONTH(TODAY()),1))))*12+MONTH(EDATE(DATE(YEAR(TODAY()),MONTH(TODAY()),1),16))-MONTH(IF(ISNUMBER(Suppliers!F21),Suppliers!F21,DATE(YEAR(TODAY()),MONTH(TODAY()),1))),12)=0,1,0),IF(Suppliers!E21="One-time",IF(16=0,1,0),1)))))),"")</f>
        <v/>
      </c>
      <c r="W23" s="10" t="str">
        <f ca="1">IFERROR(IF(OR(17&gt;=$B$1,Suppliers!A21="",NOT(ISNUMBER(Suppliers!D21)),Suppliers!L21="Expired",Suppliers!L21="Terminate"),"",Suppliers!D21*-1*IF(Suppliers!E21="Monthly",IF(AND(ISNUMBER(Suppliers!G21),(YEAR(EDATE(DATE(YEAR(TODAY()),MONTH(TODAY()),1),17))*12+MONTH(EDATE(DATE(YEAR(TODAY()),MONTH(TODAY()),1),17)))&gt;(YEAR(Suppliers!G21)*12+MONTH(Suppliers!G21))),"",1),IF(Suppliers!E21="Quarterly",IF(MOD((YEAR(EDATE(DATE(YEAR(TODAY()),MONTH(TODAY()),1),17))-YEAR(IF(ISNUMBER(Suppliers!F21),Suppliers!F21,DATE(YEAR(TODAY()),MONTH(TODAY()),1))))*12+MONTH(EDATE(DATE(YEAR(TODAY()),MONTH(TODAY()),1),17))-MONTH(IF(ISNUMBER(Suppliers!F21),Suppliers!F21,DATE(YEAR(TODAY()),MONTH(TODAY()),1))),3)=0,1,0),IF(Suppliers!E21="Semi-annual",IF(MOD((YEAR(EDATE(DATE(YEAR(TODAY()),MONTH(TODAY()),1),17))-YEAR(IF(ISNUMBER(Suppliers!F21),Suppliers!F21,DATE(YEAR(TODAY()),MONTH(TODAY()),1))))*12+MONTH(EDATE(DATE(YEAR(TODAY()),MONTH(TODAY()),1),17))-MONTH(IF(ISNUMBER(Suppliers!F21),Suppliers!F21,DATE(YEAR(TODAY()),MONTH(TODAY()),1))),6)=0,1,0),IF(Suppliers!E21="Annual",IF(MOD((YEAR(EDATE(DATE(YEAR(TODAY()),MONTH(TODAY()),1),17))-YEAR(IF(ISNUMBER(Suppliers!F21),Suppliers!F21,DATE(YEAR(TODAY()),MONTH(TODAY()),1))))*12+MONTH(EDATE(DATE(YEAR(TODAY()),MONTH(TODAY()),1),17))-MONTH(IF(ISNUMBER(Suppliers!F21),Suppliers!F21,DATE(YEAR(TODAY()),MONTH(TODAY()),1))),12)=0,1,0),IF(Suppliers!E21="One-time",IF(17=0,1,0),1)))))),"")</f>
        <v/>
      </c>
      <c r="X23" s="10" t="str">
        <f ca="1">IFERROR(IF(OR(18&gt;=$B$1,Suppliers!A21="",NOT(ISNUMBER(Suppliers!D21)),Suppliers!L21="Expired",Suppliers!L21="Terminate"),"",Suppliers!D21*-1*IF(Suppliers!E21="Monthly",IF(AND(ISNUMBER(Suppliers!G21),(YEAR(EDATE(DATE(YEAR(TODAY()),MONTH(TODAY()),1),18))*12+MONTH(EDATE(DATE(YEAR(TODAY()),MONTH(TODAY()),1),18)))&gt;(YEAR(Suppliers!G21)*12+MONTH(Suppliers!G21))),"",1),IF(Suppliers!E21="Quarterly",IF(MOD((YEAR(EDATE(DATE(YEAR(TODAY()),MONTH(TODAY()),1),18))-YEAR(IF(ISNUMBER(Suppliers!F21),Suppliers!F21,DATE(YEAR(TODAY()),MONTH(TODAY()),1))))*12+MONTH(EDATE(DATE(YEAR(TODAY()),MONTH(TODAY()),1),18))-MONTH(IF(ISNUMBER(Suppliers!F21),Suppliers!F21,DATE(YEAR(TODAY()),MONTH(TODAY()),1))),3)=0,1,0),IF(Suppliers!E21="Semi-annual",IF(MOD((YEAR(EDATE(DATE(YEAR(TODAY()),MONTH(TODAY()),1),18))-YEAR(IF(ISNUMBER(Suppliers!F21),Suppliers!F21,DATE(YEAR(TODAY()),MONTH(TODAY()),1))))*12+MONTH(EDATE(DATE(YEAR(TODAY()),MONTH(TODAY()),1),18))-MONTH(IF(ISNUMBER(Suppliers!F21),Suppliers!F21,DATE(YEAR(TODAY()),MONTH(TODAY()),1))),6)=0,1,0),IF(Suppliers!E21="Annual",IF(MOD((YEAR(EDATE(DATE(YEAR(TODAY()),MONTH(TODAY()),1),18))-YEAR(IF(ISNUMBER(Suppliers!F21),Suppliers!F21,DATE(YEAR(TODAY()),MONTH(TODAY()),1))))*12+MONTH(EDATE(DATE(YEAR(TODAY()),MONTH(TODAY()),1),18))-MONTH(IF(ISNUMBER(Suppliers!F21),Suppliers!F21,DATE(YEAR(TODAY()),MONTH(TODAY()),1))),12)=0,1,0),IF(Suppliers!E21="One-time",IF(18=0,1,0),1)))))),"")</f>
        <v/>
      </c>
      <c r="Y23" s="10" t="str">
        <f ca="1">IFERROR(IF(OR(19&gt;=$B$1,Suppliers!A21="",NOT(ISNUMBER(Suppliers!D21)),Suppliers!L21="Expired",Suppliers!L21="Terminate"),"",Suppliers!D21*-1*IF(Suppliers!E21="Monthly",IF(AND(ISNUMBER(Suppliers!G21),(YEAR(EDATE(DATE(YEAR(TODAY()),MONTH(TODAY()),1),19))*12+MONTH(EDATE(DATE(YEAR(TODAY()),MONTH(TODAY()),1),19)))&gt;(YEAR(Suppliers!G21)*12+MONTH(Suppliers!G21))),"",1),IF(Suppliers!E21="Quarterly",IF(MOD((YEAR(EDATE(DATE(YEAR(TODAY()),MONTH(TODAY()),1),19))-YEAR(IF(ISNUMBER(Suppliers!F21),Suppliers!F21,DATE(YEAR(TODAY()),MONTH(TODAY()),1))))*12+MONTH(EDATE(DATE(YEAR(TODAY()),MONTH(TODAY()),1),19))-MONTH(IF(ISNUMBER(Suppliers!F21),Suppliers!F21,DATE(YEAR(TODAY()),MONTH(TODAY()),1))),3)=0,1,0),IF(Suppliers!E21="Semi-annual",IF(MOD((YEAR(EDATE(DATE(YEAR(TODAY()),MONTH(TODAY()),1),19))-YEAR(IF(ISNUMBER(Suppliers!F21),Suppliers!F21,DATE(YEAR(TODAY()),MONTH(TODAY()),1))))*12+MONTH(EDATE(DATE(YEAR(TODAY()),MONTH(TODAY()),1),19))-MONTH(IF(ISNUMBER(Suppliers!F21),Suppliers!F21,DATE(YEAR(TODAY()),MONTH(TODAY()),1))),6)=0,1,0),IF(Suppliers!E21="Annual",IF(MOD((YEAR(EDATE(DATE(YEAR(TODAY()),MONTH(TODAY()),1),19))-YEAR(IF(ISNUMBER(Suppliers!F21),Suppliers!F21,DATE(YEAR(TODAY()),MONTH(TODAY()),1))))*12+MONTH(EDATE(DATE(YEAR(TODAY()),MONTH(TODAY()),1),19))-MONTH(IF(ISNUMBER(Suppliers!F21),Suppliers!F21,DATE(YEAR(TODAY()),MONTH(TODAY()),1))),12)=0,1,0),IF(Suppliers!E21="One-time",IF(19=0,1,0),1)))))),"")</f>
        <v/>
      </c>
      <c r="Z23" s="10" t="str">
        <f ca="1">IFERROR(IF(OR(20&gt;=$B$1,Suppliers!A21="",NOT(ISNUMBER(Suppliers!D21)),Suppliers!L21="Expired",Suppliers!L21="Terminate"),"",Suppliers!D21*-1*IF(Suppliers!E21="Monthly",IF(AND(ISNUMBER(Suppliers!G21),(YEAR(EDATE(DATE(YEAR(TODAY()),MONTH(TODAY()),1),20))*12+MONTH(EDATE(DATE(YEAR(TODAY()),MONTH(TODAY()),1),20)))&gt;(YEAR(Suppliers!G21)*12+MONTH(Suppliers!G21))),"",1),IF(Suppliers!E21="Quarterly",IF(MOD((YEAR(EDATE(DATE(YEAR(TODAY()),MONTH(TODAY()),1),20))-YEAR(IF(ISNUMBER(Suppliers!F21),Suppliers!F21,DATE(YEAR(TODAY()),MONTH(TODAY()),1))))*12+MONTH(EDATE(DATE(YEAR(TODAY()),MONTH(TODAY()),1),20))-MONTH(IF(ISNUMBER(Suppliers!F21),Suppliers!F21,DATE(YEAR(TODAY()),MONTH(TODAY()),1))),3)=0,1,0),IF(Suppliers!E21="Semi-annual",IF(MOD((YEAR(EDATE(DATE(YEAR(TODAY()),MONTH(TODAY()),1),20))-YEAR(IF(ISNUMBER(Suppliers!F21),Suppliers!F21,DATE(YEAR(TODAY()),MONTH(TODAY()),1))))*12+MONTH(EDATE(DATE(YEAR(TODAY()),MONTH(TODAY()),1),20))-MONTH(IF(ISNUMBER(Suppliers!F21),Suppliers!F21,DATE(YEAR(TODAY()),MONTH(TODAY()),1))),6)=0,1,0),IF(Suppliers!E21="Annual",IF(MOD((YEAR(EDATE(DATE(YEAR(TODAY()),MONTH(TODAY()),1),20))-YEAR(IF(ISNUMBER(Suppliers!F21),Suppliers!F21,DATE(YEAR(TODAY()),MONTH(TODAY()),1))))*12+MONTH(EDATE(DATE(YEAR(TODAY()),MONTH(TODAY()),1),20))-MONTH(IF(ISNUMBER(Suppliers!F21),Suppliers!F21,DATE(YEAR(TODAY()),MONTH(TODAY()),1))),12)=0,1,0),IF(Suppliers!E21="One-time",IF(20=0,1,0),1)))))),"")</f>
        <v/>
      </c>
      <c r="AA23" s="10" t="str">
        <f ca="1">IFERROR(IF(OR(21&gt;=$B$1,Suppliers!A21="",NOT(ISNUMBER(Suppliers!D21)),Suppliers!L21="Expired",Suppliers!L21="Terminate"),"",Suppliers!D21*-1*IF(Suppliers!E21="Monthly",IF(AND(ISNUMBER(Suppliers!G21),(YEAR(EDATE(DATE(YEAR(TODAY()),MONTH(TODAY()),1),21))*12+MONTH(EDATE(DATE(YEAR(TODAY()),MONTH(TODAY()),1),21)))&gt;(YEAR(Suppliers!G21)*12+MONTH(Suppliers!G21))),"",1),IF(Suppliers!E21="Quarterly",IF(MOD((YEAR(EDATE(DATE(YEAR(TODAY()),MONTH(TODAY()),1),21))-YEAR(IF(ISNUMBER(Suppliers!F21),Suppliers!F21,DATE(YEAR(TODAY()),MONTH(TODAY()),1))))*12+MONTH(EDATE(DATE(YEAR(TODAY()),MONTH(TODAY()),1),21))-MONTH(IF(ISNUMBER(Suppliers!F21),Suppliers!F21,DATE(YEAR(TODAY()),MONTH(TODAY()),1))),3)=0,1,0),IF(Suppliers!E21="Semi-annual",IF(MOD((YEAR(EDATE(DATE(YEAR(TODAY()),MONTH(TODAY()),1),21))-YEAR(IF(ISNUMBER(Suppliers!F21),Suppliers!F21,DATE(YEAR(TODAY()),MONTH(TODAY()),1))))*12+MONTH(EDATE(DATE(YEAR(TODAY()),MONTH(TODAY()),1),21))-MONTH(IF(ISNUMBER(Suppliers!F21),Suppliers!F21,DATE(YEAR(TODAY()),MONTH(TODAY()),1))),6)=0,1,0),IF(Suppliers!E21="Annual",IF(MOD((YEAR(EDATE(DATE(YEAR(TODAY()),MONTH(TODAY()),1),21))-YEAR(IF(ISNUMBER(Suppliers!F21),Suppliers!F21,DATE(YEAR(TODAY()),MONTH(TODAY()),1))))*12+MONTH(EDATE(DATE(YEAR(TODAY()),MONTH(TODAY()),1),21))-MONTH(IF(ISNUMBER(Suppliers!F21),Suppliers!F21,DATE(YEAR(TODAY()),MONTH(TODAY()),1))),12)=0,1,0),IF(Suppliers!E21="One-time",IF(21=0,1,0),1)))))),"")</f>
        <v/>
      </c>
      <c r="AB23" s="10" t="str">
        <f ca="1">IFERROR(IF(OR(22&gt;=$B$1,Suppliers!A21="",NOT(ISNUMBER(Suppliers!D21)),Suppliers!L21="Expired",Suppliers!L21="Terminate"),"",Suppliers!D21*-1*IF(Suppliers!E21="Monthly",IF(AND(ISNUMBER(Suppliers!G21),(YEAR(EDATE(DATE(YEAR(TODAY()),MONTH(TODAY()),1),22))*12+MONTH(EDATE(DATE(YEAR(TODAY()),MONTH(TODAY()),1),22)))&gt;(YEAR(Suppliers!G21)*12+MONTH(Suppliers!G21))),"",1),IF(Suppliers!E21="Quarterly",IF(MOD((YEAR(EDATE(DATE(YEAR(TODAY()),MONTH(TODAY()),1),22))-YEAR(IF(ISNUMBER(Suppliers!F21),Suppliers!F21,DATE(YEAR(TODAY()),MONTH(TODAY()),1))))*12+MONTH(EDATE(DATE(YEAR(TODAY()),MONTH(TODAY()),1),22))-MONTH(IF(ISNUMBER(Suppliers!F21),Suppliers!F21,DATE(YEAR(TODAY()),MONTH(TODAY()),1))),3)=0,1,0),IF(Suppliers!E21="Semi-annual",IF(MOD((YEAR(EDATE(DATE(YEAR(TODAY()),MONTH(TODAY()),1),22))-YEAR(IF(ISNUMBER(Suppliers!F21),Suppliers!F21,DATE(YEAR(TODAY()),MONTH(TODAY()),1))))*12+MONTH(EDATE(DATE(YEAR(TODAY()),MONTH(TODAY()),1),22))-MONTH(IF(ISNUMBER(Suppliers!F21),Suppliers!F21,DATE(YEAR(TODAY()),MONTH(TODAY()),1))),6)=0,1,0),IF(Suppliers!E21="Annual",IF(MOD((YEAR(EDATE(DATE(YEAR(TODAY()),MONTH(TODAY()),1),22))-YEAR(IF(ISNUMBER(Suppliers!F21),Suppliers!F21,DATE(YEAR(TODAY()),MONTH(TODAY()),1))))*12+MONTH(EDATE(DATE(YEAR(TODAY()),MONTH(TODAY()),1),22))-MONTH(IF(ISNUMBER(Suppliers!F21),Suppliers!F21,DATE(YEAR(TODAY()),MONTH(TODAY()),1))),12)=0,1,0),IF(Suppliers!E21="One-time",IF(22=0,1,0),1)))))),"")</f>
        <v/>
      </c>
      <c r="AC23" s="10" t="str">
        <f ca="1">IFERROR(IF(OR(23&gt;=$B$1,Suppliers!A21="",NOT(ISNUMBER(Suppliers!D21)),Suppliers!L21="Expired",Suppliers!L21="Terminate"),"",Suppliers!D21*-1*IF(Suppliers!E21="Monthly",IF(AND(ISNUMBER(Suppliers!G21),(YEAR(EDATE(DATE(YEAR(TODAY()),MONTH(TODAY()),1),23))*12+MONTH(EDATE(DATE(YEAR(TODAY()),MONTH(TODAY()),1),23)))&gt;(YEAR(Suppliers!G21)*12+MONTH(Suppliers!G21))),"",1),IF(Suppliers!E21="Quarterly",IF(MOD((YEAR(EDATE(DATE(YEAR(TODAY()),MONTH(TODAY()),1),23))-YEAR(IF(ISNUMBER(Suppliers!F21),Suppliers!F21,DATE(YEAR(TODAY()),MONTH(TODAY()),1))))*12+MONTH(EDATE(DATE(YEAR(TODAY()),MONTH(TODAY()),1),23))-MONTH(IF(ISNUMBER(Suppliers!F21),Suppliers!F21,DATE(YEAR(TODAY()),MONTH(TODAY()),1))),3)=0,1,0),IF(Suppliers!E21="Semi-annual",IF(MOD((YEAR(EDATE(DATE(YEAR(TODAY()),MONTH(TODAY()),1),23))-YEAR(IF(ISNUMBER(Suppliers!F21),Suppliers!F21,DATE(YEAR(TODAY()),MONTH(TODAY()),1))))*12+MONTH(EDATE(DATE(YEAR(TODAY()),MONTH(TODAY()),1),23))-MONTH(IF(ISNUMBER(Suppliers!F21),Suppliers!F21,DATE(YEAR(TODAY()),MONTH(TODAY()),1))),6)=0,1,0),IF(Suppliers!E21="Annual",IF(MOD((YEAR(EDATE(DATE(YEAR(TODAY()),MONTH(TODAY()),1),23))-YEAR(IF(ISNUMBER(Suppliers!F21),Suppliers!F21,DATE(YEAR(TODAY()),MONTH(TODAY()),1))))*12+MONTH(EDATE(DATE(YEAR(TODAY()),MONTH(TODAY()),1),23))-MONTH(IF(ISNUMBER(Suppliers!F21),Suppliers!F21,DATE(YEAR(TODAY()),MONTH(TODAY()),1))),12)=0,1,0),IF(Suppliers!E21="One-time",IF(23=0,1,0),1)))))),"")</f>
        <v/>
      </c>
    </row>
    <row r="24" spans="1:29" ht="15" customHeight="1" x14ac:dyDescent="0.35">
      <c r="A24" s="4" t="s">
        <v>80</v>
      </c>
      <c r="B24" s="4" t="str">
        <f>IF(Suppliers!A22="","",Suppliers!A22)</f>
        <v/>
      </c>
      <c r="C24" s="10" t="str">
        <f>IF(Suppliers!C22="","",Suppliers!C22)</f>
        <v/>
      </c>
      <c r="D24" s="10" t="str">
        <f>IF(Suppliers!D22="","",Suppliers!D22)</f>
        <v/>
      </c>
      <c r="E24" s="4" t="str">
        <f>IF(Suppliers!E22="","",Suppliers!E22)</f>
        <v/>
      </c>
      <c r="F24" s="10" t="str">
        <f ca="1">IFERROR(IF(OR(0&gt;=$B$1,Suppliers!A22="",NOT(ISNUMBER(Suppliers!D22)),Suppliers!L22="Expired",Suppliers!L22="Terminate"),"",Suppliers!D22*-1*IF(Suppliers!E22="Monthly",IF(AND(ISNUMBER(Suppliers!G22),(YEAR(EDATE(DATE(YEAR(TODAY()),MONTH(TODAY()),1),0))*12+MONTH(EDATE(DATE(YEAR(TODAY()),MONTH(TODAY()),1),0)))&gt;(YEAR(Suppliers!G22)*12+MONTH(Suppliers!G22))),"",1),IF(Suppliers!E22="Quarterly",IF(MOD((YEAR(EDATE(DATE(YEAR(TODAY()),MONTH(TODAY()),1),0))-YEAR(IF(ISNUMBER(Suppliers!F22),Suppliers!F22,DATE(YEAR(TODAY()),MONTH(TODAY()),1))))*12+MONTH(EDATE(DATE(YEAR(TODAY()),MONTH(TODAY()),1),0))-MONTH(IF(ISNUMBER(Suppliers!F22),Suppliers!F22,DATE(YEAR(TODAY()),MONTH(TODAY()),1))),3)=0,1,0),IF(Suppliers!E22="Semi-annual",IF(MOD((YEAR(EDATE(DATE(YEAR(TODAY()),MONTH(TODAY()),1),0))-YEAR(IF(ISNUMBER(Suppliers!F22),Suppliers!F22,DATE(YEAR(TODAY()),MONTH(TODAY()),1))))*12+MONTH(EDATE(DATE(YEAR(TODAY()),MONTH(TODAY()),1),0))-MONTH(IF(ISNUMBER(Suppliers!F22),Suppliers!F22,DATE(YEAR(TODAY()),MONTH(TODAY()),1))),6)=0,1,0),IF(Suppliers!E22="Annual",IF(MOD((YEAR(EDATE(DATE(YEAR(TODAY()),MONTH(TODAY()),1),0))-YEAR(IF(ISNUMBER(Suppliers!F22),Suppliers!F22,DATE(YEAR(TODAY()),MONTH(TODAY()),1))))*12+MONTH(EDATE(DATE(YEAR(TODAY()),MONTH(TODAY()),1),0))-MONTH(IF(ISNUMBER(Suppliers!F22),Suppliers!F22,DATE(YEAR(TODAY()),MONTH(TODAY()),1))),12)=0,1,0),IF(Suppliers!E22="One-time",IF(0=0,1,0),1)))))),"")</f>
        <v/>
      </c>
      <c r="G24" s="10" t="str">
        <f ca="1">IFERROR(IF(OR(1&gt;=$B$1,Suppliers!A22="",NOT(ISNUMBER(Suppliers!D22)),Suppliers!L22="Expired",Suppliers!L22="Terminate"),"",Suppliers!D22*-1*IF(Suppliers!E22="Monthly",IF(AND(ISNUMBER(Suppliers!G22),(YEAR(EDATE(DATE(YEAR(TODAY()),MONTH(TODAY()),1),1))*12+MONTH(EDATE(DATE(YEAR(TODAY()),MONTH(TODAY()),1),1)))&gt;(YEAR(Suppliers!G22)*12+MONTH(Suppliers!G22))),"",1),IF(Suppliers!E22="Quarterly",IF(MOD((YEAR(EDATE(DATE(YEAR(TODAY()),MONTH(TODAY()),1),1))-YEAR(IF(ISNUMBER(Suppliers!F22),Suppliers!F22,DATE(YEAR(TODAY()),MONTH(TODAY()),1))))*12+MONTH(EDATE(DATE(YEAR(TODAY()),MONTH(TODAY()),1),1))-MONTH(IF(ISNUMBER(Suppliers!F22),Suppliers!F22,DATE(YEAR(TODAY()),MONTH(TODAY()),1))),3)=0,1,0),IF(Suppliers!E22="Semi-annual",IF(MOD((YEAR(EDATE(DATE(YEAR(TODAY()),MONTH(TODAY()),1),1))-YEAR(IF(ISNUMBER(Suppliers!F22),Suppliers!F22,DATE(YEAR(TODAY()),MONTH(TODAY()),1))))*12+MONTH(EDATE(DATE(YEAR(TODAY()),MONTH(TODAY()),1),1))-MONTH(IF(ISNUMBER(Suppliers!F22),Suppliers!F22,DATE(YEAR(TODAY()),MONTH(TODAY()),1))),6)=0,1,0),IF(Suppliers!E22="Annual",IF(MOD((YEAR(EDATE(DATE(YEAR(TODAY()),MONTH(TODAY()),1),1))-YEAR(IF(ISNUMBER(Suppliers!F22),Suppliers!F22,DATE(YEAR(TODAY()),MONTH(TODAY()),1))))*12+MONTH(EDATE(DATE(YEAR(TODAY()),MONTH(TODAY()),1),1))-MONTH(IF(ISNUMBER(Suppliers!F22),Suppliers!F22,DATE(YEAR(TODAY()),MONTH(TODAY()),1))),12)=0,1,0),IF(Suppliers!E22="One-time",IF(1=0,1,0),1)))))),"")</f>
        <v/>
      </c>
      <c r="H24" s="10" t="str">
        <f ca="1">IFERROR(IF(OR(2&gt;=$B$1,Suppliers!A22="",NOT(ISNUMBER(Suppliers!D22)),Suppliers!L22="Expired",Suppliers!L22="Terminate"),"",Suppliers!D22*-1*IF(Suppliers!E22="Monthly",IF(AND(ISNUMBER(Suppliers!G22),(YEAR(EDATE(DATE(YEAR(TODAY()),MONTH(TODAY()),1),2))*12+MONTH(EDATE(DATE(YEAR(TODAY()),MONTH(TODAY()),1),2)))&gt;(YEAR(Suppliers!G22)*12+MONTH(Suppliers!G22))),"",1),IF(Suppliers!E22="Quarterly",IF(MOD((YEAR(EDATE(DATE(YEAR(TODAY()),MONTH(TODAY()),1),2))-YEAR(IF(ISNUMBER(Suppliers!F22),Suppliers!F22,DATE(YEAR(TODAY()),MONTH(TODAY()),1))))*12+MONTH(EDATE(DATE(YEAR(TODAY()),MONTH(TODAY()),1),2))-MONTH(IF(ISNUMBER(Suppliers!F22),Suppliers!F22,DATE(YEAR(TODAY()),MONTH(TODAY()),1))),3)=0,1,0),IF(Suppliers!E22="Semi-annual",IF(MOD((YEAR(EDATE(DATE(YEAR(TODAY()),MONTH(TODAY()),1),2))-YEAR(IF(ISNUMBER(Suppliers!F22),Suppliers!F22,DATE(YEAR(TODAY()),MONTH(TODAY()),1))))*12+MONTH(EDATE(DATE(YEAR(TODAY()),MONTH(TODAY()),1),2))-MONTH(IF(ISNUMBER(Suppliers!F22),Suppliers!F22,DATE(YEAR(TODAY()),MONTH(TODAY()),1))),6)=0,1,0),IF(Suppliers!E22="Annual",IF(MOD((YEAR(EDATE(DATE(YEAR(TODAY()),MONTH(TODAY()),1),2))-YEAR(IF(ISNUMBER(Suppliers!F22),Suppliers!F22,DATE(YEAR(TODAY()),MONTH(TODAY()),1))))*12+MONTH(EDATE(DATE(YEAR(TODAY()),MONTH(TODAY()),1),2))-MONTH(IF(ISNUMBER(Suppliers!F22),Suppliers!F22,DATE(YEAR(TODAY()),MONTH(TODAY()),1))),12)=0,1,0),IF(Suppliers!E22="One-time",IF(2=0,1,0),1)))))),"")</f>
        <v/>
      </c>
      <c r="I24" s="10" t="str">
        <f ca="1">IFERROR(IF(OR(3&gt;=$B$1,Suppliers!A22="",NOT(ISNUMBER(Suppliers!D22)),Suppliers!L22="Expired",Suppliers!L22="Terminate"),"",Suppliers!D22*-1*IF(Suppliers!E22="Monthly",IF(AND(ISNUMBER(Suppliers!G22),(YEAR(EDATE(DATE(YEAR(TODAY()),MONTH(TODAY()),1),3))*12+MONTH(EDATE(DATE(YEAR(TODAY()),MONTH(TODAY()),1),3)))&gt;(YEAR(Suppliers!G22)*12+MONTH(Suppliers!G22))),"",1),IF(Suppliers!E22="Quarterly",IF(MOD((YEAR(EDATE(DATE(YEAR(TODAY()),MONTH(TODAY()),1),3))-YEAR(IF(ISNUMBER(Suppliers!F22),Suppliers!F22,DATE(YEAR(TODAY()),MONTH(TODAY()),1))))*12+MONTH(EDATE(DATE(YEAR(TODAY()),MONTH(TODAY()),1),3))-MONTH(IF(ISNUMBER(Suppliers!F22),Suppliers!F22,DATE(YEAR(TODAY()),MONTH(TODAY()),1))),3)=0,1,0),IF(Suppliers!E22="Semi-annual",IF(MOD((YEAR(EDATE(DATE(YEAR(TODAY()),MONTH(TODAY()),1),3))-YEAR(IF(ISNUMBER(Suppliers!F22),Suppliers!F22,DATE(YEAR(TODAY()),MONTH(TODAY()),1))))*12+MONTH(EDATE(DATE(YEAR(TODAY()),MONTH(TODAY()),1),3))-MONTH(IF(ISNUMBER(Suppliers!F22),Suppliers!F22,DATE(YEAR(TODAY()),MONTH(TODAY()),1))),6)=0,1,0),IF(Suppliers!E22="Annual",IF(MOD((YEAR(EDATE(DATE(YEAR(TODAY()),MONTH(TODAY()),1),3))-YEAR(IF(ISNUMBER(Suppliers!F22),Suppliers!F22,DATE(YEAR(TODAY()),MONTH(TODAY()),1))))*12+MONTH(EDATE(DATE(YEAR(TODAY()),MONTH(TODAY()),1),3))-MONTH(IF(ISNUMBER(Suppliers!F22),Suppliers!F22,DATE(YEAR(TODAY()),MONTH(TODAY()),1))),12)=0,1,0),IF(Suppliers!E22="One-time",IF(3=0,1,0),1)))))),"")</f>
        <v/>
      </c>
      <c r="J24" s="10" t="str">
        <f ca="1">IFERROR(IF(OR(4&gt;=$B$1,Suppliers!A22="",NOT(ISNUMBER(Suppliers!D22)),Suppliers!L22="Expired",Suppliers!L22="Terminate"),"",Suppliers!D22*-1*IF(Suppliers!E22="Monthly",IF(AND(ISNUMBER(Suppliers!G22),(YEAR(EDATE(DATE(YEAR(TODAY()),MONTH(TODAY()),1),4))*12+MONTH(EDATE(DATE(YEAR(TODAY()),MONTH(TODAY()),1),4)))&gt;(YEAR(Suppliers!G22)*12+MONTH(Suppliers!G22))),"",1),IF(Suppliers!E22="Quarterly",IF(MOD((YEAR(EDATE(DATE(YEAR(TODAY()),MONTH(TODAY()),1),4))-YEAR(IF(ISNUMBER(Suppliers!F22),Suppliers!F22,DATE(YEAR(TODAY()),MONTH(TODAY()),1))))*12+MONTH(EDATE(DATE(YEAR(TODAY()),MONTH(TODAY()),1),4))-MONTH(IF(ISNUMBER(Suppliers!F22),Suppliers!F22,DATE(YEAR(TODAY()),MONTH(TODAY()),1))),3)=0,1,0),IF(Suppliers!E22="Semi-annual",IF(MOD((YEAR(EDATE(DATE(YEAR(TODAY()),MONTH(TODAY()),1),4))-YEAR(IF(ISNUMBER(Suppliers!F22),Suppliers!F22,DATE(YEAR(TODAY()),MONTH(TODAY()),1))))*12+MONTH(EDATE(DATE(YEAR(TODAY()),MONTH(TODAY()),1),4))-MONTH(IF(ISNUMBER(Suppliers!F22),Suppliers!F22,DATE(YEAR(TODAY()),MONTH(TODAY()),1))),6)=0,1,0),IF(Suppliers!E22="Annual",IF(MOD((YEAR(EDATE(DATE(YEAR(TODAY()),MONTH(TODAY()),1),4))-YEAR(IF(ISNUMBER(Suppliers!F22),Suppliers!F22,DATE(YEAR(TODAY()),MONTH(TODAY()),1))))*12+MONTH(EDATE(DATE(YEAR(TODAY()),MONTH(TODAY()),1),4))-MONTH(IF(ISNUMBER(Suppliers!F22),Suppliers!F22,DATE(YEAR(TODAY()),MONTH(TODAY()),1))),12)=0,1,0),IF(Suppliers!E22="One-time",IF(4=0,1,0),1)))))),"")</f>
        <v/>
      </c>
      <c r="K24" s="10" t="str">
        <f ca="1">IFERROR(IF(OR(5&gt;=$B$1,Suppliers!A22="",NOT(ISNUMBER(Suppliers!D22)),Suppliers!L22="Expired",Suppliers!L22="Terminate"),"",Suppliers!D22*-1*IF(Suppliers!E22="Monthly",IF(AND(ISNUMBER(Suppliers!G22),(YEAR(EDATE(DATE(YEAR(TODAY()),MONTH(TODAY()),1),5))*12+MONTH(EDATE(DATE(YEAR(TODAY()),MONTH(TODAY()),1),5)))&gt;(YEAR(Suppliers!G22)*12+MONTH(Suppliers!G22))),"",1),IF(Suppliers!E22="Quarterly",IF(MOD((YEAR(EDATE(DATE(YEAR(TODAY()),MONTH(TODAY()),1),5))-YEAR(IF(ISNUMBER(Suppliers!F22),Suppliers!F22,DATE(YEAR(TODAY()),MONTH(TODAY()),1))))*12+MONTH(EDATE(DATE(YEAR(TODAY()),MONTH(TODAY()),1),5))-MONTH(IF(ISNUMBER(Suppliers!F22),Suppliers!F22,DATE(YEAR(TODAY()),MONTH(TODAY()),1))),3)=0,1,0),IF(Suppliers!E22="Semi-annual",IF(MOD((YEAR(EDATE(DATE(YEAR(TODAY()),MONTH(TODAY()),1),5))-YEAR(IF(ISNUMBER(Suppliers!F22),Suppliers!F22,DATE(YEAR(TODAY()),MONTH(TODAY()),1))))*12+MONTH(EDATE(DATE(YEAR(TODAY()),MONTH(TODAY()),1),5))-MONTH(IF(ISNUMBER(Suppliers!F22),Suppliers!F22,DATE(YEAR(TODAY()),MONTH(TODAY()),1))),6)=0,1,0),IF(Suppliers!E22="Annual",IF(MOD((YEAR(EDATE(DATE(YEAR(TODAY()),MONTH(TODAY()),1),5))-YEAR(IF(ISNUMBER(Suppliers!F22),Suppliers!F22,DATE(YEAR(TODAY()),MONTH(TODAY()),1))))*12+MONTH(EDATE(DATE(YEAR(TODAY()),MONTH(TODAY()),1),5))-MONTH(IF(ISNUMBER(Suppliers!F22),Suppliers!F22,DATE(YEAR(TODAY()),MONTH(TODAY()),1))),12)=0,1,0),IF(Suppliers!E22="One-time",IF(5=0,1,0),1)))))),"")</f>
        <v/>
      </c>
      <c r="L24" s="10" t="str">
        <f ca="1">IFERROR(IF(OR(6&gt;=$B$1,Suppliers!A22="",NOT(ISNUMBER(Suppliers!D22)),Suppliers!L22="Expired",Suppliers!L22="Terminate"),"",Suppliers!D22*-1*IF(Suppliers!E22="Monthly",IF(AND(ISNUMBER(Suppliers!G22),(YEAR(EDATE(DATE(YEAR(TODAY()),MONTH(TODAY()),1),6))*12+MONTH(EDATE(DATE(YEAR(TODAY()),MONTH(TODAY()),1),6)))&gt;(YEAR(Suppliers!G22)*12+MONTH(Suppliers!G22))),"",1),IF(Suppliers!E22="Quarterly",IF(MOD((YEAR(EDATE(DATE(YEAR(TODAY()),MONTH(TODAY()),1),6))-YEAR(IF(ISNUMBER(Suppliers!F22),Suppliers!F22,DATE(YEAR(TODAY()),MONTH(TODAY()),1))))*12+MONTH(EDATE(DATE(YEAR(TODAY()),MONTH(TODAY()),1),6))-MONTH(IF(ISNUMBER(Suppliers!F22),Suppliers!F22,DATE(YEAR(TODAY()),MONTH(TODAY()),1))),3)=0,1,0),IF(Suppliers!E22="Semi-annual",IF(MOD((YEAR(EDATE(DATE(YEAR(TODAY()),MONTH(TODAY()),1),6))-YEAR(IF(ISNUMBER(Suppliers!F22),Suppliers!F22,DATE(YEAR(TODAY()),MONTH(TODAY()),1))))*12+MONTH(EDATE(DATE(YEAR(TODAY()),MONTH(TODAY()),1),6))-MONTH(IF(ISNUMBER(Suppliers!F22),Suppliers!F22,DATE(YEAR(TODAY()),MONTH(TODAY()),1))),6)=0,1,0),IF(Suppliers!E22="Annual",IF(MOD((YEAR(EDATE(DATE(YEAR(TODAY()),MONTH(TODAY()),1),6))-YEAR(IF(ISNUMBER(Suppliers!F22),Suppliers!F22,DATE(YEAR(TODAY()),MONTH(TODAY()),1))))*12+MONTH(EDATE(DATE(YEAR(TODAY()),MONTH(TODAY()),1),6))-MONTH(IF(ISNUMBER(Suppliers!F22),Suppliers!F22,DATE(YEAR(TODAY()),MONTH(TODAY()),1))),12)=0,1,0),IF(Suppliers!E22="One-time",IF(6=0,1,0),1)))))),"")</f>
        <v/>
      </c>
      <c r="M24" s="10" t="str">
        <f ca="1">IFERROR(IF(OR(7&gt;=$B$1,Suppliers!A22="",NOT(ISNUMBER(Suppliers!D22)),Suppliers!L22="Expired",Suppliers!L22="Terminate"),"",Suppliers!D22*-1*IF(Suppliers!E22="Monthly",IF(AND(ISNUMBER(Suppliers!G22),(YEAR(EDATE(DATE(YEAR(TODAY()),MONTH(TODAY()),1),7))*12+MONTH(EDATE(DATE(YEAR(TODAY()),MONTH(TODAY()),1),7)))&gt;(YEAR(Suppliers!G22)*12+MONTH(Suppliers!G22))),"",1),IF(Suppliers!E22="Quarterly",IF(MOD((YEAR(EDATE(DATE(YEAR(TODAY()),MONTH(TODAY()),1),7))-YEAR(IF(ISNUMBER(Suppliers!F22),Suppliers!F22,DATE(YEAR(TODAY()),MONTH(TODAY()),1))))*12+MONTH(EDATE(DATE(YEAR(TODAY()),MONTH(TODAY()),1),7))-MONTH(IF(ISNUMBER(Suppliers!F22),Suppliers!F22,DATE(YEAR(TODAY()),MONTH(TODAY()),1))),3)=0,1,0),IF(Suppliers!E22="Semi-annual",IF(MOD((YEAR(EDATE(DATE(YEAR(TODAY()),MONTH(TODAY()),1),7))-YEAR(IF(ISNUMBER(Suppliers!F22),Suppliers!F22,DATE(YEAR(TODAY()),MONTH(TODAY()),1))))*12+MONTH(EDATE(DATE(YEAR(TODAY()),MONTH(TODAY()),1),7))-MONTH(IF(ISNUMBER(Suppliers!F22),Suppliers!F22,DATE(YEAR(TODAY()),MONTH(TODAY()),1))),6)=0,1,0),IF(Suppliers!E22="Annual",IF(MOD((YEAR(EDATE(DATE(YEAR(TODAY()),MONTH(TODAY()),1),7))-YEAR(IF(ISNUMBER(Suppliers!F22),Suppliers!F22,DATE(YEAR(TODAY()),MONTH(TODAY()),1))))*12+MONTH(EDATE(DATE(YEAR(TODAY()),MONTH(TODAY()),1),7))-MONTH(IF(ISNUMBER(Suppliers!F22),Suppliers!F22,DATE(YEAR(TODAY()),MONTH(TODAY()),1))),12)=0,1,0),IF(Suppliers!E22="One-time",IF(7=0,1,0),1)))))),"")</f>
        <v/>
      </c>
      <c r="N24" s="10" t="str">
        <f ca="1">IFERROR(IF(OR(8&gt;=$B$1,Suppliers!A22="",NOT(ISNUMBER(Suppliers!D22)),Suppliers!L22="Expired",Suppliers!L22="Terminate"),"",Suppliers!D22*-1*IF(Suppliers!E22="Monthly",IF(AND(ISNUMBER(Suppliers!G22),(YEAR(EDATE(DATE(YEAR(TODAY()),MONTH(TODAY()),1),8))*12+MONTH(EDATE(DATE(YEAR(TODAY()),MONTH(TODAY()),1),8)))&gt;(YEAR(Suppliers!G22)*12+MONTH(Suppliers!G22))),"",1),IF(Suppliers!E22="Quarterly",IF(MOD((YEAR(EDATE(DATE(YEAR(TODAY()),MONTH(TODAY()),1),8))-YEAR(IF(ISNUMBER(Suppliers!F22),Suppliers!F22,DATE(YEAR(TODAY()),MONTH(TODAY()),1))))*12+MONTH(EDATE(DATE(YEAR(TODAY()),MONTH(TODAY()),1),8))-MONTH(IF(ISNUMBER(Suppliers!F22),Suppliers!F22,DATE(YEAR(TODAY()),MONTH(TODAY()),1))),3)=0,1,0),IF(Suppliers!E22="Semi-annual",IF(MOD((YEAR(EDATE(DATE(YEAR(TODAY()),MONTH(TODAY()),1),8))-YEAR(IF(ISNUMBER(Suppliers!F22),Suppliers!F22,DATE(YEAR(TODAY()),MONTH(TODAY()),1))))*12+MONTH(EDATE(DATE(YEAR(TODAY()),MONTH(TODAY()),1),8))-MONTH(IF(ISNUMBER(Suppliers!F22),Suppliers!F22,DATE(YEAR(TODAY()),MONTH(TODAY()),1))),6)=0,1,0),IF(Suppliers!E22="Annual",IF(MOD((YEAR(EDATE(DATE(YEAR(TODAY()),MONTH(TODAY()),1),8))-YEAR(IF(ISNUMBER(Suppliers!F22),Suppliers!F22,DATE(YEAR(TODAY()),MONTH(TODAY()),1))))*12+MONTH(EDATE(DATE(YEAR(TODAY()),MONTH(TODAY()),1),8))-MONTH(IF(ISNUMBER(Suppliers!F22),Suppliers!F22,DATE(YEAR(TODAY()),MONTH(TODAY()),1))),12)=0,1,0),IF(Suppliers!E22="One-time",IF(8=0,1,0),1)))))),"")</f>
        <v/>
      </c>
      <c r="O24" s="10" t="str">
        <f ca="1">IFERROR(IF(OR(9&gt;=$B$1,Suppliers!A22="",NOT(ISNUMBER(Suppliers!D22)),Suppliers!L22="Expired",Suppliers!L22="Terminate"),"",Suppliers!D22*-1*IF(Suppliers!E22="Monthly",IF(AND(ISNUMBER(Suppliers!G22),(YEAR(EDATE(DATE(YEAR(TODAY()),MONTH(TODAY()),1),9))*12+MONTH(EDATE(DATE(YEAR(TODAY()),MONTH(TODAY()),1),9)))&gt;(YEAR(Suppliers!G22)*12+MONTH(Suppliers!G22))),"",1),IF(Suppliers!E22="Quarterly",IF(MOD((YEAR(EDATE(DATE(YEAR(TODAY()),MONTH(TODAY()),1),9))-YEAR(IF(ISNUMBER(Suppliers!F22),Suppliers!F22,DATE(YEAR(TODAY()),MONTH(TODAY()),1))))*12+MONTH(EDATE(DATE(YEAR(TODAY()),MONTH(TODAY()),1),9))-MONTH(IF(ISNUMBER(Suppliers!F22),Suppliers!F22,DATE(YEAR(TODAY()),MONTH(TODAY()),1))),3)=0,1,0),IF(Suppliers!E22="Semi-annual",IF(MOD((YEAR(EDATE(DATE(YEAR(TODAY()),MONTH(TODAY()),1),9))-YEAR(IF(ISNUMBER(Suppliers!F22),Suppliers!F22,DATE(YEAR(TODAY()),MONTH(TODAY()),1))))*12+MONTH(EDATE(DATE(YEAR(TODAY()),MONTH(TODAY()),1),9))-MONTH(IF(ISNUMBER(Suppliers!F22),Suppliers!F22,DATE(YEAR(TODAY()),MONTH(TODAY()),1))),6)=0,1,0),IF(Suppliers!E22="Annual",IF(MOD((YEAR(EDATE(DATE(YEAR(TODAY()),MONTH(TODAY()),1),9))-YEAR(IF(ISNUMBER(Suppliers!F22),Suppliers!F22,DATE(YEAR(TODAY()),MONTH(TODAY()),1))))*12+MONTH(EDATE(DATE(YEAR(TODAY()),MONTH(TODAY()),1),9))-MONTH(IF(ISNUMBER(Suppliers!F22),Suppliers!F22,DATE(YEAR(TODAY()),MONTH(TODAY()),1))),12)=0,1,0),IF(Suppliers!E22="One-time",IF(9=0,1,0),1)))))),"")</f>
        <v/>
      </c>
      <c r="P24" s="10" t="str">
        <f ca="1">IFERROR(IF(OR(10&gt;=$B$1,Suppliers!A22="",NOT(ISNUMBER(Suppliers!D22)),Suppliers!L22="Expired",Suppliers!L22="Terminate"),"",Suppliers!D22*-1*IF(Suppliers!E22="Monthly",IF(AND(ISNUMBER(Suppliers!G22),(YEAR(EDATE(DATE(YEAR(TODAY()),MONTH(TODAY()),1),10))*12+MONTH(EDATE(DATE(YEAR(TODAY()),MONTH(TODAY()),1),10)))&gt;(YEAR(Suppliers!G22)*12+MONTH(Suppliers!G22))),"",1),IF(Suppliers!E22="Quarterly",IF(MOD((YEAR(EDATE(DATE(YEAR(TODAY()),MONTH(TODAY()),1),10))-YEAR(IF(ISNUMBER(Suppliers!F22),Suppliers!F22,DATE(YEAR(TODAY()),MONTH(TODAY()),1))))*12+MONTH(EDATE(DATE(YEAR(TODAY()),MONTH(TODAY()),1),10))-MONTH(IF(ISNUMBER(Suppliers!F22),Suppliers!F22,DATE(YEAR(TODAY()),MONTH(TODAY()),1))),3)=0,1,0),IF(Suppliers!E22="Semi-annual",IF(MOD((YEAR(EDATE(DATE(YEAR(TODAY()),MONTH(TODAY()),1),10))-YEAR(IF(ISNUMBER(Suppliers!F22),Suppliers!F22,DATE(YEAR(TODAY()),MONTH(TODAY()),1))))*12+MONTH(EDATE(DATE(YEAR(TODAY()),MONTH(TODAY()),1),10))-MONTH(IF(ISNUMBER(Suppliers!F22),Suppliers!F22,DATE(YEAR(TODAY()),MONTH(TODAY()),1))),6)=0,1,0),IF(Suppliers!E22="Annual",IF(MOD((YEAR(EDATE(DATE(YEAR(TODAY()),MONTH(TODAY()),1),10))-YEAR(IF(ISNUMBER(Suppliers!F22),Suppliers!F22,DATE(YEAR(TODAY()),MONTH(TODAY()),1))))*12+MONTH(EDATE(DATE(YEAR(TODAY()),MONTH(TODAY()),1),10))-MONTH(IF(ISNUMBER(Suppliers!F22),Suppliers!F22,DATE(YEAR(TODAY()),MONTH(TODAY()),1))),12)=0,1,0),IF(Suppliers!E22="One-time",IF(10=0,1,0),1)))))),"")</f>
        <v/>
      </c>
      <c r="Q24" s="10" t="str">
        <f ca="1">IFERROR(IF(OR(11&gt;=$B$1,Suppliers!A22="",NOT(ISNUMBER(Suppliers!D22)),Suppliers!L22="Expired",Suppliers!L22="Terminate"),"",Suppliers!D22*-1*IF(Suppliers!E22="Monthly",IF(AND(ISNUMBER(Suppliers!G22),(YEAR(EDATE(DATE(YEAR(TODAY()),MONTH(TODAY()),1),11))*12+MONTH(EDATE(DATE(YEAR(TODAY()),MONTH(TODAY()),1),11)))&gt;(YEAR(Suppliers!G22)*12+MONTH(Suppliers!G22))),"",1),IF(Suppliers!E22="Quarterly",IF(MOD((YEAR(EDATE(DATE(YEAR(TODAY()),MONTH(TODAY()),1),11))-YEAR(IF(ISNUMBER(Suppliers!F22),Suppliers!F22,DATE(YEAR(TODAY()),MONTH(TODAY()),1))))*12+MONTH(EDATE(DATE(YEAR(TODAY()),MONTH(TODAY()),1),11))-MONTH(IF(ISNUMBER(Suppliers!F22),Suppliers!F22,DATE(YEAR(TODAY()),MONTH(TODAY()),1))),3)=0,1,0),IF(Suppliers!E22="Semi-annual",IF(MOD((YEAR(EDATE(DATE(YEAR(TODAY()),MONTH(TODAY()),1),11))-YEAR(IF(ISNUMBER(Suppliers!F22),Suppliers!F22,DATE(YEAR(TODAY()),MONTH(TODAY()),1))))*12+MONTH(EDATE(DATE(YEAR(TODAY()),MONTH(TODAY()),1),11))-MONTH(IF(ISNUMBER(Suppliers!F22),Suppliers!F22,DATE(YEAR(TODAY()),MONTH(TODAY()),1))),6)=0,1,0),IF(Suppliers!E22="Annual",IF(MOD((YEAR(EDATE(DATE(YEAR(TODAY()),MONTH(TODAY()),1),11))-YEAR(IF(ISNUMBER(Suppliers!F22),Suppliers!F22,DATE(YEAR(TODAY()),MONTH(TODAY()),1))))*12+MONTH(EDATE(DATE(YEAR(TODAY()),MONTH(TODAY()),1),11))-MONTH(IF(ISNUMBER(Suppliers!F22),Suppliers!F22,DATE(YEAR(TODAY()),MONTH(TODAY()),1))),12)=0,1,0),IF(Suppliers!E22="One-time",IF(11=0,1,0),1)))))),"")</f>
        <v/>
      </c>
      <c r="R24" s="10" t="str">
        <f ca="1">IFERROR(IF(OR(12&gt;=$B$1,Suppliers!A22="",NOT(ISNUMBER(Suppliers!D22)),Suppliers!L22="Expired",Suppliers!L22="Terminate"),"",Suppliers!D22*-1*IF(Suppliers!E22="Monthly",IF(AND(ISNUMBER(Suppliers!G22),(YEAR(EDATE(DATE(YEAR(TODAY()),MONTH(TODAY()),1),12))*12+MONTH(EDATE(DATE(YEAR(TODAY()),MONTH(TODAY()),1),12)))&gt;(YEAR(Suppliers!G22)*12+MONTH(Suppliers!G22))),"",1),IF(Suppliers!E22="Quarterly",IF(MOD((YEAR(EDATE(DATE(YEAR(TODAY()),MONTH(TODAY()),1),12))-YEAR(IF(ISNUMBER(Suppliers!F22),Suppliers!F22,DATE(YEAR(TODAY()),MONTH(TODAY()),1))))*12+MONTH(EDATE(DATE(YEAR(TODAY()),MONTH(TODAY()),1),12))-MONTH(IF(ISNUMBER(Suppliers!F22),Suppliers!F22,DATE(YEAR(TODAY()),MONTH(TODAY()),1))),3)=0,1,0),IF(Suppliers!E22="Semi-annual",IF(MOD((YEAR(EDATE(DATE(YEAR(TODAY()),MONTH(TODAY()),1),12))-YEAR(IF(ISNUMBER(Suppliers!F22),Suppliers!F22,DATE(YEAR(TODAY()),MONTH(TODAY()),1))))*12+MONTH(EDATE(DATE(YEAR(TODAY()),MONTH(TODAY()),1),12))-MONTH(IF(ISNUMBER(Suppliers!F22),Suppliers!F22,DATE(YEAR(TODAY()),MONTH(TODAY()),1))),6)=0,1,0),IF(Suppliers!E22="Annual",IF(MOD((YEAR(EDATE(DATE(YEAR(TODAY()),MONTH(TODAY()),1),12))-YEAR(IF(ISNUMBER(Suppliers!F22),Suppliers!F22,DATE(YEAR(TODAY()),MONTH(TODAY()),1))))*12+MONTH(EDATE(DATE(YEAR(TODAY()),MONTH(TODAY()),1),12))-MONTH(IF(ISNUMBER(Suppliers!F22),Suppliers!F22,DATE(YEAR(TODAY()),MONTH(TODAY()),1))),12)=0,1,0),IF(Suppliers!E22="One-time",IF(12=0,1,0),1)))))),"")</f>
        <v/>
      </c>
      <c r="S24" s="10" t="str">
        <f ca="1">IFERROR(IF(OR(13&gt;=$B$1,Suppliers!A22="",NOT(ISNUMBER(Suppliers!D22)),Suppliers!L22="Expired",Suppliers!L22="Terminate"),"",Suppliers!D22*-1*IF(Suppliers!E22="Monthly",IF(AND(ISNUMBER(Suppliers!G22),(YEAR(EDATE(DATE(YEAR(TODAY()),MONTH(TODAY()),1),13))*12+MONTH(EDATE(DATE(YEAR(TODAY()),MONTH(TODAY()),1),13)))&gt;(YEAR(Suppliers!G22)*12+MONTH(Suppliers!G22))),"",1),IF(Suppliers!E22="Quarterly",IF(MOD((YEAR(EDATE(DATE(YEAR(TODAY()),MONTH(TODAY()),1),13))-YEAR(IF(ISNUMBER(Suppliers!F22),Suppliers!F22,DATE(YEAR(TODAY()),MONTH(TODAY()),1))))*12+MONTH(EDATE(DATE(YEAR(TODAY()),MONTH(TODAY()),1),13))-MONTH(IF(ISNUMBER(Suppliers!F22),Suppliers!F22,DATE(YEAR(TODAY()),MONTH(TODAY()),1))),3)=0,1,0),IF(Suppliers!E22="Semi-annual",IF(MOD((YEAR(EDATE(DATE(YEAR(TODAY()),MONTH(TODAY()),1),13))-YEAR(IF(ISNUMBER(Suppliers!F22),Suppliers!F22,DATE(YEAR(TODAY()),MONTH(TODAY()),1))))*12+MONTH(EDATE(DATE(YEAR(TODAY()),MONTH(TODAY()),1),13))-MONTH(IF(ISNUMBER(Suppliers!F22),Suppliers!F22,DATE(YEAR(TODAY()),MONTH(TODAY()),1))),6)=0,1,0),IF(Suppliers!E22="Annual",IF(MOD((YEAR(EDATE(DATE(YEAR(TODAY()),MONTH(TODAY()),1),13))-YEAR(IF(ISNUMBER(Suppliers!F22),Suppliers!F22,DATE(YEAR(TODAY()),MONTH(TODAY()),1))))*12+MONTH(EDATE(DATE(YEAR(TODAY()),MONTH(TODAY()),1),13))-MONTH(IF(ISNUMBER(Suppliers!F22),Suppliers!F22,DATE(YEAR(TODAY()),MONTH(TODAY()),1))),12)=0,1,0),IF(Suppliers!E22="One-time",IF(13=0,1,0),1)))))),"")</f>
        <v/>
      </c>
      <c r="T24" s="10" t="str">
        <f ca="1">IFERROR(IF(OR(14&gt;=$B$1,Suppliers!A22="",NOT(ISNUMBER(Suppliers!D22)),Suppliers!L22="Expired",Suppliers!L22="Terminate"),"",Suppliers!D22*-1*IF(Suppliers!E22="Monthly",IF(AND(ISNUMBER(Suppliers!G22),(YEAR(EDATE(DATE(YEAR(TODAY()),MONTH(TODAY()),1),14))*12+MONTH(EDATE(DATE(YEAR(TODAY()),MONTH(TODAY()),1),14)))&gt;(YEAR(Suppliers!G22)*12+MONTH(Suppliers!G22))),"",1),IF(Suppliers!E22="Quarterly",IF(MOD((YEAR(EDATE(DATE(YEAR(TODAY()),MONTH(TODAY()),1),14))-YEAR(IF(ISNUMBER(Suppliers!F22),Suppliers!F22,DATE(YEAR(TODAY()),MONTH(TODAY()),1))))*12+MONTH(EDATE(DATE(YEAR(TODAY()),MONTH(TODAY()),1),14))-MONTH(IF(ISNUMBER(Suppliers!F22),Suppliers!F22,DATE(YEAR(TODAY()),MONTH(TODAY()),1))),3)=0,1,0),IF(Suppliers!E22="Semi-annual",IF(MOD((YEAR(EDATE(DATE(YEAR(TODAY()),MONTH(TODAY()),1),14))-YEAR(IF(ISNUMBER(Suppliers!F22),Suppliers!F22,DATE(YEAR(TODAY()),MONTH(TODAY()),1))))*12+MONTH(EDATE(DATE(YEAR(TODAY()),MONTH(TODAY()),1),14))-MONTH(IF(ISNUMBER(Suppliers!F22),Suppliers!F22,DATE(YEAR(TODAY()),MONTH(TODAY()),1))),6)=0,1,0),IF(Suppliers!E22="Annual",IF(MOD((YEAR(EDATE(DATE(YEAR(TODAY()),MONTH(TODAY()),1),14))-YEAR(IF(ISNUMBER(Suppliers!F22),Suppliers!F22,DATE(YEAR(TODAY()),MONTH(TODAY()),1))))*12+MONTH(EDATE(DATE(YEAR(TODAY()),MONTH(TODAY()),1),14))-MONTH(IF(ISNUMBER(Suppliers!F22),Suppliers!F22,DATE(YEAR(TODAY()),MONTH(TODAY()),1))),12)=0,1,0),IF(Suppliers!E22="One-time",IF(14=0,1,0),1)))))),"")</f>
        <v/>
      </c>
      <c r="U24" s="10" t="str">
        <f ca="1">IFERROR(IF(OR(15&gt;=$B$1,Suppliers!A22="",NOT(ISNUMBER(Suppliers!D22)),Suppliers!L22="Expired",Suppliers!L22="Terminate"),"",Suppliers!D22*-1*IF(Suppliers!E22="Monthly",IF(AND(ISNUMBER(Suppliers!G22),(YEAR(EDATE(DATE(YEAR(TODAY()),MONTH(TODAY()),1),15))*12+MONTH(EDATE(DATE(YEAR(TODAY()),MONTH(TODAY()),1),15)))&gt;(YEAR(Suppliers!G22)*12+MONTH(Suppliers!G22))),"",1),IF(Suppliers!E22="Quarterly",IF(MOD((YEAR(EDATE(DATE(YEAR(TODAY()),MONTH(TODAY()),1),15))-YEAR(IF(ISNUMBER(Suppliers!F22),Suppliers!F22,DATE(YEAR(TODAY()),MONTH(TODAY()),1))))*12+MONTH(EDATE(DATE(YEAR(TODAY()),MONTH(TODAY()),1),15))-MONTH(IF(ISNUMBER(Suppliers!F22),Suppliers!F22,DATE(YEAR(TODAY()),MONTH(TODAY()),1))),3)=0,1,0),IF(Suppliers!E22="Semi-annual",IF(MOD((YEAR(EDATE(DATE(YEAR(TODAY()),MONTH(TODAY()),1),15))-YEAR(IF(ISNUMBER(Suppliers!F22),Suppliers!F22,DATE(YEAR(TODAY()),MONTH(TODAY()),1))))*12+MONTH(EDATE(DATE(YEAR(TODAY()),MONTH(TODAY()),1),15))-MONTH(IF(ISNUMBER(Suppliers!F22),Suppliers!F22,DATE(YEAR(TODAY()),MONTH(TODAY()),1))),6)=0,1,0),IF(Suppliers!E22="Annual",IF(MOD((YEAR(EDATE(DATE(YEAR(TODAY()),MONTH(TODAY()),1),15))-YEAR(IF(ISNUMBER(Suppliers!F22),Suppliers!F22,DATE(YEAR(TODAY()),MONTH(TODAY()),1))))*12+MONTH(EDATE(DATE(YEAR(TODAY()),MONTH(TODAY()),1),15))-MONTH(IF(ISNUMBER(Suppliers!F22),Suppliers!F22,DATE(YEAR(TODAY()),MONTH(TODAY()),1))),12)=0,1,0),IF(Suppliers!E22="One-time",IF(15=0,1,0),1)))))),"")</f>
        <v/>
      </c>
      <c r="V24" s="10" t="str">
        <f ca="1">IFERROR(IF(OR(16&gt;=$B$1,Suppliers!A22="",NOT(ISNUMBER(Suppliers!D22)),Suppliers!L22="Expired",Suppliers!L22="Terminate"),"",Suppliers!D22*-1*IF(Suppliers!E22="Monthly",IF(AND(ISNUMBER(Suppliers!G22),(YEAR(EDATE(DATE(YEAR(TODAY()),MONTH(TODAY()),1),16))*12+MONTH(EDATE(DATE(YEAR(TODAY()),MONTH(TODAY()),1),16)))&gt;(YEAR(Suppliers!G22)*12+MONTH(Suppliers!G22))),"",1),IF(Suppliers!E22="Quarterly",IF(MOD((YEAR(EDATE(DATE(YEAR(TODAY()),MONTH(TODAY()),1),16))-YEAR(IF(ISNUMBER(Suppliers!F22),Suppliers!F22,DATE(YEAR(TODAY()),MONTH(TODAY()),1))))*12+MONTH(EDATE(DATE(YEAR(TODAY()),MONTH(TODAY()),1),16))-MONTH(IF(ISNUMBER(Suppliers!F22),Suppliers!F22,DATE(YEAR(TODAY()),MONTH(TODAY()),1))),3)=0,1,0),IF(Suppliers!E22="Semi-annual",IF(MOD((YEAR(EDATE(DATE(YEAR(TODAY()),MONTH(TODAY()),1),16))-YEAR(IF(ISNUMBER(Suppliers!F22),Suppliers!F22,DATE(YEAR(TODAY()),MONTH(TODAY()),1))))*12+MONTH(EDATE(DATE(YEAR(TODAY()),MONTH(TODAY()),1),16))-MONTH(IF(ISNUMBER(Suppliers!F22),Suppliers!F22,DATE(YEAR(TODAY()),MONTH(TODAY()),1))),6)=0,1,0),IF(Suppliers!E22="Annual",IF(MOD((YEAR(EDATE(DATE(YEAR(TODAY()),MONTH(TODAY()),1),16))-YEAR(IF(ISNUMBER(Suppliers!F22),Suppliers!F22,DATE(YEAR(TODAY()),MONTH(TODAY()),1))))*12+MONTH(EDATE(DATE(YEAR(TODAY()),MONTH(TODAY()),1),16))-MONTH(IF(ISNUMBER(Suppliers!F22),Suppliers!F22,DATE(YEAR(TODAY()),MONTH(TODAY()),1))),12)=0,1,0),IF(Suppliers!E22="One-time",IF(16=0,1,0),1)))))),"")</f>
        <v/>
      </c>
      <c r="W24" s="10" t="str">
        <f ca="1">IFERROR(IF(OR(17&gt;=$B$1,Suppliers!A22="",NOT(ISNUMBER(Suppliers!D22)),Suppliers!L22="Expired",Suppliers!L22="Terminate"),"",Suppliers!D22*-1*IF(Suppliers!E22="Monthly",IF(AND(ISNUMBER(Suppliers!G22),(YEAR(EDATE(DATE(YEAR(TODAY()),MONTH(TODAY()),1),17))*12+MONTH(EDATE(DATE(YEAR(TODAY()),MONTH(TODAY()),1),17)))&gt;(YEAR(Suppliers!G22)*12+MONTH(Suppliers!G22))),"",1),IF(Suppliers!E22="Quarterly",IF(MOD((YEAR(EDATE(DATE(YEAR(TODAY()),MONTH(TODAY()),1),17))-YEAR(IF(ISNUMBER(Suppliers!F22),Suppliers!F22,DATE(YEAR(TODAY()),MONTH(TODAY()),1))))*12+MONTH(EDATE(DATE(YEAR(TODAY()),MONTH(TODAY()),1),17))-MONTH(IF(ISNUMBER(Suppliers!F22),Suppliers!F22,DATE(YEAR(TODAY()),MONTH(TODAY()),1))),3)=0,1,0),IF(Suppliers!E22="Semi-annual",IF(MOD((YEAR(EDATE(DATE(YEAR(TODAY()),MONTH(TODAY()),1),17))-YEAR(IF(ISNUMBER(Suppliers!F22),Suppliers!F22,DATE(YEAR(TODAY()),MONTH(TODAY()),1))))*12+MONTH(EDATE(DATE(YEAR(TODAY()),MONTH(TODAY()),1),17))-MONTH(IF(ISNUMBER(Suppliers!F22),Suppliers!F22,DATE(YEAR(TODAY()),MONTH(TODAY()),1))),6)=0,1,0),IF(Suppliers!E22="Annual",IF(MOD((YEAR(EDATE(DATE(YEAR(TODAY()),MONTH(TODAY()),1),17))-YEAR(IF(ISNUMBER(Suppliers!F22),Suppliers!F22,DATE(YEAR(TODAY()),MONTH(TODAY()),1))))*12+MONTH(EDATE(DATE(YEAR(TODAY()),MONTH(TODAY()),1),17))-MONTH(IF(ISNUMBER(Suppliers!F22),Suppliers!F22,DATE(YEAR(TODAY()),MONTH(TODAY()),1))),12)=0,1,0),IF(Suppliers!E22="One-time",IF(17=0,1,0),1)))))),"")</f>
        <v/>
      </c>
      <c r="X24" s="10" t="str">
        <f ca="1">IFERROR(IF(OR(18&gt;=$B$1,Suppliers!A22="",NOT(ISNUMBER(Suppliers!D22)),Suppliers!L22="Expired",Suppliers!L22="Terminate"),"",Suppliers!D22*-1*IF(Suppliers!E22="Monthly",IF(AND(ISNUMBER(Suppliers!G22),(YEAR(EDATE(DATE(YEAR(TODAY()),MONTH(TODAY()),1),18))*12+MONTH(EDATE(DATE(YEAR(TODAY()),MONTH(TODAY()),1),18)))&gt;(YEAR(Suppliers!G22)*12+MONTH(Suppliers!G22))),"",1),IF(Suppliers!E22="Quarterly",IF(MOD((YEAR(EDATE(DATE(YEAR(TODAY()),MONTH(TODAY()),1),18))-YEAR(IF(ISNUMBER(Suppliers!F22),Suppliers!F22,DATE(YEAR(TODAY()),MONTH(TODAY()),1))))*12+MONTH(EDATE(DATE(YEAR(TODAY()),MONTH(TODAY()),1),18))-MONTH(IF(ISNUMBER(Suppliers!F22),Suppliers!F22,DATE(YEAR(TODAY()),MONTH(TODAY()),1))),3)=0,1,0),IF(Suppliers!E22="Semi-annual",IF(MOD((YEAR(EDATE(DATE(YEAR(TODAY()),MONTH(TODAY()),1),18))-YEAR(IF(ISNUMBER(Suppliers!F22),Suppliers!F22,DATE(YEAR(TODAY()),MONTH(TODAY()),1))))*12+MONTH(EDATE(DATE(YEAR(TODAY()),MONTH(TODAY()),1),18))-MONTH(IF(ISNUMBER(Suppliers!F22),Suppliers!F22,DATE(YEAR(TODAY()),MONTH(TODAY()),1))),6)=0,1,0),IF(Suppliers!E22="Annual",IF(MOD((YEAR(EDATE(DATE(YEAR(TODAY()),MONTH(TODAY()),1),18))-YEAR(IF(ISNUMBER(Suppliers!F22),Suppliers!F22,DATE(YEAR(TODAY()),MONTH(TODAY()),1))))*12+MONTH(EDATE(DATE(YEAR(TODAY()),MONTH(TODAY()),1),18))-MONTH(IF(ISNUMBER(Suppliers!F22),Suppliers!F22,DATE(YEAR(TODAY()),MONTH(TODAY()),1))),12)=0,1,0),IF(Suppliers!E22="One-time",IF(18=0,1,0),1)))))),"")</f>
        <v/>
      </c>
      <c r="Y24" s="10" t="str">
        <f ca="1">IFERROR(IF(OR(19&gt;=$B$1,Suppliers!A22="",NOT(ISNUMBER(Suppliers!D22)),Suppliers!L22="Expired",Suppliers!L22="Terminate"),"",Suppliers!D22*-1*IF(Suppliers!E22="Monthly",IF(AND(ISNUMBER(Suppliers!G22),(YEAR(EDATE(DATE(YEAR(TODAY()),MONTH(TODAY()),1),19))*12+MONTH(EDATE(DATE(YEAR(TODAY()),MONTH(TODAY()),1),19)))&gt;(YEAR(Suppliers!G22)*12+MONTH(Suppliers!G22))),"",1),IF(Suppliers!E22="Quarterly",IF(MOD((YEAR(EDATE(DATE(YEAR(TODAY()),MONTH(TODAY()),1),19))-YEAR(IF(ISNUMBER(Suppliers!F22),Suppliers!F22,DATE(YEAR(TODAY()),MONTH(TODAY()),1))))*12+MONTH(EDATE(DATE(YEAR(TODAY()),MONTH(TODAY()),1),19))-MONTH(IF(ISNUMBER(Suppliers!F22),Suppliers!F22,DATE(YEAR(TODAY()),MONTH(TODAY()),1))),3)=0,1,0),IF(Suppliers!E22="Semi-annual",IF(MOD((YEAR(EDATE(DATE(YEAR(TODAY()),MONTH(TODAY()),1),19))-YEAR(IF(ISNUMBER(Suppliers!F22),Suppliers!F22,DATE(YEAR(TODAY()),MONTH(TODAY()),1))))*12+MONTH(EDATE(DATE(YEAR(TODAY()),MONTH(TODAY()),1),19))-MONTH(IF(ISNUMBER(Suppliers!F22),Suppliers!F22,DATE(YEAR(TODAY()),MONTH(TODAY()),1))),6)=0,1,0),IF(Suppliers!E22="Annual",IF(MOD((YEAR(EDATE(DATE(YEAR(TODAY()),MONTH(TODAY()),1),19))-YEAR(IF(ISNUMBER(Suppliers!F22),Suppliers!F22,DATE(YEAR(TODAY()),MONTH(TODAY()),1))))*12+MONTH(EDATE(DATE(YEAR(TODAY()),MONTH(TODAY()),1),19))-MONTH(IF(ISNUMBER(Suppliers!F22),Suppliers!F22,DATE(YEAR(TODAY()),MONTH(TODAY()),1))),12)=0,1,0),IF(Suppliers!E22="One-time",IF(19=0,1,0),1)))))),"")</f>
        <v/>
      </c>
      <c r="Z24" s="10" t="str">
        <f ca="1">IFERROR(IF(OR(20&gt;=$B$1,Suppliers!A22="",NOT(ISNUMBER(Suppliers!D22)),Suppliers!L22="Expired",Suppliers!L22="Terminate"),"",Suppliers!D22*-1*IF(Suppliers!E22="Monthly",IF(AND(ISNUMBER(Suppliers!G22),(YEAR(EDATE(DATE(YEAR(TODAY()),MONTH(TODAY()),1),20))*12+MONTH(EDATE(DATE(YEAR(TODAY()),MONTH(TODAY()),1),20)))&gt;(YEAR(Suppliers!G22)*12+MONTH(Suppliers!G22))),"",1),IF(Suppliers!E22="Quarterly",IF(MOD((YEAR(EDATE(DATE(YEAR(TODAY()),MONTH(TODAY()),1),20))-YEAR(IF(ISNUMBER(Suppliers!F22),Suppliers!F22,DATE(YEAR(TODAY()),MONTH(TODAY()),1))))*12+MONTH(EDATE(DATE(YEAR(TODAY()),MONTH(TODAY()),1),20))-MONTH(IF(ISNUMBER(Suppliers!F22),Suppliers!F22,DATE(YEAR(TODAY()),MONTH(TODAY()),1))),3)=0,1,0),IF(Suppliers!E22="Semi-annual",IF(MOD((YEAR(EDATE(DATE(YEAR(TODAY()),MONTH(TODAY()),1),20))-YEAR(IF(ISNUMBER(Suppliers!F22),Suppliers!F22,DATE(YEAR(TODAY()),MONTH(TODAY()),1))))*12+MONTH(EDATE(DATE(YEAR(TODAY()),MONTH(TODAY()),1),20))-MONTH(IF(ISNUMBER(Suppliers!F22),Suppliers!F22,DATE(YEAR(TODAY()),MONTH(TODAY()),1))),6)=0,1,0),IF(Suppliers!E22="Annual",IF(MOD((YEAR(EDATE(DATE(YEAR(TODAY()),MONTH(TODAY()),1),20))-YEAR(IF(ISNUMBER(Suppliers!F22),Suppliers!F22,DATE(YEAR(TODAY()),MONTH(TODAY()),1))))*12+MONTH(EDATE(DATE(YEAR(TODAY()),MONTH(TODAY()),1),20))-MONTH(IF(ISNUMBER(Suppliers!F22),Suppliers!F22,DATE(YEAR(TODAY()),MONTH(TODAY()),1))),12)=0,1,0),IF(Suppliers!E22="One-time",IF(20=0,1,0),1)))))),"")</f>
        <v/>
      </c>
      <c r="AA24" s="10" t="str">
        <f ca="1">IFERROR(IF(OR(21&gt;=$B$1,Suppliers!A22="",NOT(ISNUMBER(Suppliers!D22)),Suppliers!L22="Expired",Suppliers!L22="Terminate"),"",Suppliers!D22*-1*IF(Suppliers!E22="Monthly",IF(AND(ISNUMBER(Suppliers!G22),(YEAR(EDATE(DATE(YEAR(TODAY()),MONTH(TODAY()),1),21))*12+MONTH(EDATE(DATE(YEAR(TODAY()),MONTH(TODAY()),1),21)))&gt;(YEAR(Suppliers!G22)*12+MONTH(Suppliers!G22))),"",1),IF(Suppliers!E22="Quarterly",IF(MOD((YEAR(EDATE(DATE(YEAR(TODAY()),MONTH(TODAY()),1),21))-YEAR(IF(ISNUMBER(Suppliers!F22),Suppliers!F22,DATE(YEAR(TODAY()),MONTH(TODAY()),1))))*12+MONTH(EDATE(DATE(YEAR(TODAY()),MONTH(TODAY()),1),21))-MONTH(IF(ISNUMBER(Suppliers!F22),Suppliers!F22,DATE(YEAR(TODAY()),MONTH(TODAY()),1))),3)=0,1,0),IF(Suppliers!E22="Semi-annual",IF(MOD((YEAR(EDATE(DATE(YEAR(TODAY()),MONTH(TODAY()),1),21))-YEAR(IF(ISNUMBER(Suppliers!F22),Suppliers!F22,DATE(YEAR(TODAY()),MONTH(TODAY()),1))))*12+MONTH(EDATE(DATE(YEAR(TODAY()),MONTH(TODAY()),1),21))-MONTH(IF(ISNUMBER(Suppliers!F22),Suppliers!F22,DATE(YEAR(TODAY()),MONTH(TODAY()),1))),6)=0,1,0),IF(Suppliers!E22="Annual",IF(MOD((YEAR(EDATE(DATE(YEAR(TODAY()),MONTH(TODAY()),1),21))-YEAR(IF(ISNUMBER(Suppliers!F22),Suppliers!F22,DATE(YEAR(TODAY()),MONTH(TODAY()),1))))*12+MONTH(EDATE(DATE(YEAR(TODAY()),MONTH(TODAY()),1),21))-MONTH(IF(ISNUMBER(Suppliers!F22),Suppliers!F22,DATE(YEAR(TODAY()),MONTH(TODAY()),1))),12)=0,1,0),IF(Suppliers!E22="One-time",IF(21=0,1,0),1)))))),"")</f>
        <v/>
      </c>
      <c r="AB24" s="10" t="str">
        <f ca="1">IFERROR(IF(OR(22&gt;=$B$1,Suppliers!A22="",NOT(ISNUMBER(Suppliers!D22)),Suppliers!L22="Expired",Suppliers!L22="Terminate"),"",Suppliers!D22*-1*IF(Suppliers!E22="Monthly",IF(AND(ISNUMBER(Suppliers!G22),(YEAR(EDATE(DATE(YEAR(TODAY()),MONTH(TODAY()),1),22))*12+MONTH(EDATE(DATE(YEAR(TODAY()),MONTH(TODAY()),1),22)))&gt;(YEAR(Suppliers!G22)*12+MONTH(Suppliers!G22))),"",1),IF(Suppliers!E22="Quarterly",IF(MOD((YEAR(EDATE(DATE(YEAR(TODAY()),MONTH(TODAY()),1),22))-YEAR(IF(ISNUMBER(Suppliers!F22),Suppliers!F22,DATE(YEAR(TODAY()),MONTH(TODAY()),1))))*12+MONTH(EDATE(DATE(YEAR(TODAY()),MONTH(TODAY()),1),22))-MONTH(IF(ISNUMBER(Suppliers!F22),Suppliers!F22,DATE(YEAR(TODAY()),MONTH(TODAY()),1))),3)=0,1,0),IF(Suppliers!E22="Semi-annual",IF(MOD((YEAR(EDATE(DATE(YEAR(TODAY()),MONTH(TODAY()),1),22))-YEAR(IF(ISNUMBER(Suppliers!F22),Suppliers!F22,DATE(YEAR(TODAY()),MONTH(TODAY()),1))))*12+MONTH(EDATE(DATE(YEAR(TODAY()),MONTH(TODAY()),1),22))-MONTH(IF(ISNUMBER(Suppliers!F22),Suppliers!F22,DATE(YEAR(TODAY()),MONTH(TODAY()),1))),6)=0,1,0),IF(Suppliers!E22="Annual",IF(MOD((YEAR(EDATE(DATE(YEAR(TODAY()),MONTH(TODAY()),1),22))-YEAR(IF(ISNUMBER(Suppliers!F22),Suppliers!F22,DATE(YEAR(TODAY()),MONTH(TODAY()),1))))*12+MONTH(EDATE(DATE(YEAR(TODAY()),MONTH(TODAY()),1),22))-MONTH(IF(ISNUMBER(Suppliers!F22),Suppliers!F22,DATE(YEAR(TODAY()),MONTH(TODAY()),1))),12)=0,1,0),IF(Suppliers!E22="One-time",IF(22=0,1,0),1)))))),"")</f>
        <v/>
      </c>
      <c r="AC24" s="10" t="str">
        <f ca="1">IFERROR(IF(OR(23&gt;=$B$1,Suppliers!A22="",NOT(ISNUMBER(Suppliers!D22)),Suppliers!L22="Expired",Suppliers!L22="Terminate"),"",Suppliers!D22*-1*IF(Suppliers!E22="Monthly",IF(AND(ISNUMBER(Suppliers!G22),(YEAR(EDATE(DATE(YEAR(TODAY()),MONTH(TODAY()),1),23))*12+MONTH(EDATE(DATE(YEAR(TODAY()),MONTH(TODAY()),1),23)))&gt;(YEAR(Suppliers!G22)*12+MONTH(Suppliers!G22))),"",1),IF(Suppliers!E22="Quarterly",IF(MOD((YEAR(EDATE(DATE(YEAR(TODAY()),MONTH(TODAY()),1),23))-YEAR(IF(ISNUMBER(Suppliers!F22),Suppliers!F22,DATE(YEAR(TODAY()),MONTH(TODAY()),1))))*12+MONTH(EDATE(DATE(YEAR(TODAY()),MONTH(TODAY()),1),23))-MONTH(IF(ISNUMBER(Suppliers!F22),Suppliers!F22,DATE(YEAR(TODAY()),MONTH(TODAY()),1))),3)=0,1,0),IF(Suppliers!E22="Semi-annual",IF(MOD((YEAR(EDATE(DATE(YEAR(TODAY()),MONTH(TODAY()),1),23))-YEAR(IF(ISNUMBER(Suppliers!F22),Suppliers!F22,DATE(YEAR(TODAY()),MONTH(TODAY()),1))))*12+MONTH(EDATE(DATE(YEAR(TODAY()),MONTH(TODAY()),1),23))-MONTH(IF(ISNUMBER(Suppliers!F22),Suppliers!F22,DATE(YEAR(TODAY()),MONTH(TODAY()),1))),6)=0,1,0),IF(Suppliers!E22="Annual",IF(MOD((YEAR(EDATE(DATE(YEAR(TODAY()),MONTH(TODAY()),1),23))-YEAR(IF(ISNUMBER(Suppliers!F22),Suppliers!F22,DATE(YEAR(TODAY()),MONTH(TODAY()),1))))*12+MONTH(EDATE(DATE(YEAR(TODAY()),MONTH(TODAY()),1),23))-MONTH(IF(ISNUMBER(Suppliers!F22),Suppliers!F22,DATE(YEAR(TODAY()),MONTH(TODAY()),1))),12)=0,1,0),IF(Suppliers!E22="One-time",IF(23=0,1,0),1)))))),"")</f>
        <v/>
      </c>
    </row>
    <row r="25" spans="1:29" ht="15" customHeight="1" x14ac:dyDescent="0.35">
      <c r="A25" s="4" t="s">
        <v>80</v>
      </c>
      <c r="B25" s="4" t="str">
        <f>IF(Suppliers!A23="","",Suppliers!A23)</f>
        <v/>
      </c>
      <c r="C25" s="10" t="str">
        <f>IF(Suppliers!C23="","",Suppliers!C23)</f>
        <v/>
      </c>
      <c r="D25" s="10" t="str">
        <f>IF(Suppliers!D23="","",Suppliers!D23)</f>
        <v/>
      </c>
      <c r="E25" s="4" t="str">
        <f>IF(Suppliers!E23="","",Suppliers!E23)</f>
        <v/>
      </c>
      <c r="F25" s="10" t="str">
        <f ca="1">IFERROR(IF(OR(0&gt;=$B$1,Suppliers!A23="",NOT(ISNUMBER(Suppliers!D23)),Suppliers!L23="Expired",Suppliers!L23="Terminate"),"",Suppliers!D23*-1*IF(Suppliers!E23="Monthly",IF(AND(ISNUMBER(Suppliers!G23),(YEAR(EDATE(DATE(YEAR(TODAY()),MONTH(TODAY()),1),0))*12+MONTH(EDATE(DATE(YEAR(TODAY()),MONTH(TODAY()),1),0)))&gt;(YEAR(Suppliers!G23)*12+MONTH(Suppliers!G23))),"",1),IF(Suppliers!E23="Quarterly",IF(MOD((YEAR(EDATE(DATE(YEAR(TODAY()),MONTH(TODAY()),1),0))-YEAR(IF(ISNUMBER(Suppliers!F23),Suppliers!F23,DATE(YEAR(TODAY()),MONTH(TODAY()),1))))*12+MONTH(EDATE(DATE(YEAR(TODAY()),MONTH(TODAY()),1),0))-MONTH(IF(ISNUMBER(Suppliers!F23),Suppliers!F23,DATE(YEAR(TODAY()),MONTH(TODAY()),1))),3)=0,1,0),IF(Suppliers!E23="Semi-annual",IF(MOD((YEAR(EDATE(DATE(YEAR(TODAY()),MONTH(TODAY()),1),0))-YEAR(IF(ISNUMBER(Suppliers!F23),Suppliers!F23,DATE(YEAR(TODAY()),MONTH(TODAY()),1))))*12+MONTH(EDATE(DATE(YEAR(TODAY()),MONTH(TODAY()),1),0))-MONTH(IF(ISNUMBER(Suppliers!F23),Suppliers!F23,DATE(YEAR(TODAY()),MONTH(TODAY()),1))),6)=0,1,0),IF(Suppliers!E23="Annual",IF(MOD((YEAR(EDATE(DATE(YEAR(TODAY()),MONTH(TODAY()),1),0))-YEAR(IF(ISNUMBER(Suppliers!F23),Suppliers!F23,DATE(YEAR(TODAY()),MONTH(TODAY()),1))))*12+MONTH(EDATE(DATE(YEAR(TODAY()),MONTH(TODAY()),1),0))-MONTH(IF(ISNUMBER(Suppliers!F23),Suppliers!F23,DATE(YEAR(TODAY()),MONTH(TODAY()),1))),12)=0,1,0),IF(Suppliers!E23="One-time",IF(0=0,1,0),1)))))),"")</f>
        <v/>
      </c>
      <c r="G25" s="10" t="str">
        <f ca="1">IFERROR(IF(OR(1&gt;=$B$1,Suppliers!A23="",NOT(ISNUMBER(Suppliers!D23)),Suppliers!L23="Expired",Suppliers!L23="Terminate"),"",Suppliers!D23*-1*IF(Suppliers!E23="Monthly",IF(AND(ISNUMBER(Suppliers!G23),(YEAR(EDATE(DATE(YEAR(TODAY()),MONTH(TODAY()),1),1))*12+MONTH(EDATE(DATE(YEAR(TODAY()),MONTH(TODAY()),1),1)))&gt;(YEAR(Suppliers!G23)*12+MONTH(Suppliers!G23))),"",1),IF(Suppliers!E23="Quarterly",IF(MOD((YEAR(EDATE(DATE(YEAR(TODAY()),MONTH(TODAY()),1),1))-YEAR(IF(ISNUMBER(Suppliers!F23),Suppliers!F23,DATE(YEAR(TODAY()),MONTH(TODAY()),1))))*12+MONTH(EDATE(DATE(YEAR(TODAY()),MONTH(TODAY()),1),1))-MONTH(IF(ISNUMBER(Suppliers!F23),Suppliers!F23,DATE(YEAR(TODAY()),MONTH(TODAY()),1))),3)=0,1,0),IF(Suppliers!E23="Semi-annual",IF(MOD((YEAR(EDATE(DATE(YEAR(TODAY()),MONTH(TODAY()),1),1))-YEAR(IF(ISNUMBER(Suppliers!F23),Suppliers!F23,DATE(YEAR(TODAY()),MONTH(TODAY()),1))))*12+MONTH(EDATE(DATE(YEAR(TODAY()),MONTH(TODAY()),1),1))-MONTH(IF(ISNUMBER(Suppliers!F23),Suppliers!F23,DATE(YEAR(TODAY()),MONTH(TODAY()),1))),6)=0,1,0),IF(Suppliers!E23="Annual",IF(MOD((YEAR(EDATE(DATE(YEAR(TODAY()),MONTH(TODAY()),1),1))-YEAR(IF(ISNUMBER(Suppliers!F23),Suppliers!F23,DATE(YEAR(TODAY()),MONTH(TODAY()),1))))*12+MONTH(EDATE(DATE(YEAR(TODAY()),MONTH(TODAY()),1),1))-MONTH(IF(ISNUMBER(Suppliers!F23),Suppliers!F23,DATE(YEAR(TODAY()),MONTH(TODAY()),1))),12)=0,1,0),IF(Suppliers!E23="One-time",IF(1=0,1,0),1)))))),"")</f>
        <v/>
      </c>
      <c r="H25" s="10" t="str">
        <f ca="1">IFERROR(IF(OR(2&gt;=$B$1,Suppliers!A23="",NOT(ISNUMBER(Suppliers!D23)),Suppliers!L23="Expired",Suppliers!L23="Terminate"),"",Suppliers!D23*-1*IF(Suppliers!E23="Monthly",IF(AND(ISNUMBER(Suppliers!G23),(YEAR(EDATE(DATE(YEAR(TODAY()),MONTH(TODAY()),1),2))*12+MONTH(EDATE(DATE(YEAR(TODAY()),MONTH(TODAY()),1),2)))&gt;(YEAR(Suppliers!G23)*12+MONTH(Suppliers!G23))),"",1),IF(Suppliers!E23="Quarterly",IF(MOD((YEAR(EDATE(DATE(YEAR(TODAY()),MONTH(TODAY()),1),2))-YEAR(IF(ISNUMBER(Suppliers!F23),Suppliers!F23,DATE(YEAR(TODAY()),MONTH(TODAY()),1))))*12+MONTH(EDATE(DATE(YEAR(TODAY()),MONTH(TODAY()),1),2))-MONTH(IF(ISNUMBER(Suppliers!F23),Suppliers!F23,DATE(YEAR(TODAY()),MONTH(TODAY()),1))),3)=0,1,0),IF(Suppliers!E23="Semi-annual",IF(MOD((YEAR(EDATE(DATE(YEAR(TODAY()),MONTH(TODAY()),1),2))-YEAR(IF(ISNUMBER(Suppliers!F23),Suppliers!F23,DATE(YEAR(TODAY()),MONTH(TODAY()),1))))*12+MONTH(EDATE(DATE(YEAR(TODAY()),MONTH(TODAY()),1),2))-MONTH(IF(ISNUMBER(Suppliers!F23),Suppliers!F23,DATE(YEAR(TODAY()),MONTH(TODAY()),1))),6)=0,1,0),IF(Suppliers!E23="Annual",IF(MOD((YEAR(EDATE(DATE(YEAR(TODAY()),MONTH(TODAY()),1),2))-YEAR(IF(ISNUMBER(Suppliers!F23),Suppliers!F23,DATE(YEAR(TODAY()),MONTH(TODAY()),1))))*12+MONTH(EDATE(DATE(YEAR(TODAY()),MONTH(TODAY()),1),2))-MONTH(IF(ISNUMBER(Suppliers!F23),Suppliers!F23,DATE(YEAR(TODAY()),MONTH(TODAY()),1))),12)=0,1,0),IF(Suppliers!E23="One-time",IF(2=0,1,0),1)))))),"")</f>
        <v/>
      </c>
      <c r="I25" s="10" t="str">
        <f ca="1">IFERROR(IF(OR(3&gt;=$B$1,Suppliers!A23="",NOT(ISNUMBER(Suppliers!D23)),Suppliers!L23="Expired",Suppliers!L23="Terminate"),"",Suppliers!D23*-1*IF(Suppliers!E23="Monthly",IF(AND(ISNUMBER(Suppliers!G23),(YEAR(EDATE(DATE(YEAR(TODAY()),MONTH(TODAY()),1),3))*12+MONTH(EDATE(DATE(YEAR(TODAY()),MONTH(TODAY()),1),3)))&gt;(YEAR(Suppliers!G23)*12+MONTH(Suppliers!G23))),"",1),IF(Suppliers!E23="Quarterly",IF(MOD((YEAR(EDATE(DATE(YEAR(TODAY()),MONTH(TODAY()),1),3))-YEAR(IF(ISNUMBER(Suppliers!F23),Suppliers!F23,DATE(YEAR(TODAY()),MONTH(TODAY()),1))))*12+MONTH(EDATE(DATE(YEAR(TODAY()),MONTH(TODAY()),1),3))-MONTH(IF(ISNUMBER(Suppliers!F23),Suppliers!F23,DATE(YEAR(TODAY()),MONTH(TODAY()),1))),3)=0,1,0),IF(Suppliers!E23="Semi-annual",IF(MOD((YEAR(EDATE(DATE(YEAR(TODAY()),MONTH(TODAY()),1),3))-YEAR(IF(ISNUMBER(Suppliers!F23),Suppliers!F23,DATE(YEAR(TODAY()),MONTH(TODAY()),1))))*12+MONTH(EDATE(DATE(YEAR(TODAY()),MONTH(TODAY()),1),3))-MONTH(IF(ISNUMBER(Suppliers!F23),Suppliers!F23,DATE(YEAR(TODAY()),MONTH(TODAY()),1))),6)=0,1,0),IF(Suppliers!E23="Annual",IF(MOD((YEAR(EDATE(DATE(YEAR(TODAY()),MONTH(TODAY()),1),3))-YEAR(IF(ISNUMBER(Suppliers!F23),Suppliers!F23,DATE(YEAR(TODAY()),MONTH(TODAY()),1))))*12+MONTH(EDATE(DATE(YEAR(TODAY()),MONTH(TODAY()),1),3))-MONTH(IF(ISNUMBER(Suppliers!F23),Suppliers!F23,DATE(YEAR(TODAY()),MONTH(TODAY()),1))),12)=0,1,0),IF(Suppliers!E23="One-time",IF(3=0,1,0),1)))))),"")</f>
        <v/>
      </c>
      <c r="J25" s="10" t="str">
        <f ca="1">IFERROR(IF(OR(4&gt;=$B$1,Suppliers!A23="",NOT(ISNUMBER(Suppliers!D23)),Suppliers!L23="Expired",Suppliers!L23="Terminate"),"",Suppliers!D23*-1*IF(Suppliers!E23="Monthly",IF(AND(ISNUMBER(Suppliers!G23),(YEAR(EDATE(DATE(YEAR(TODAY()),MONTH(TODAY()),1),4))*12+MONTH(EDATE(DATE(YEAR(TODAY()),MONTH(TODAY()),1),4)))&gt;(YEAR(Suppliers!G23)*12+MONTH(Suppliers!G23))),"",1),IF(Suppliers!E23="Quarterly",IF(MOD((YEAR(EDATE(DATE(YEAR(TODAY()),MONTH(TODAY()),1),4))-YEAR(IF(ISNUMBER(Suppliers!F23),Suppliers!F23,DATE(YEAR(TODAY()),MONTH(TODAY()),1))))*12+MONTH(EDATE(DATE(YEAR(TODAY()),MONTH(TODAY()),1),4))-MONTH(IF(ISNUMBER(Suppliers!F23),Suppliers!F23,DATE(YEAR(TODAY()),MONTH(TODAY()),1))),3)=0,1,0),IF(Suppliers!E23="Semi-annual",IF(MOD((YEAR(EDATE(DATE(YEAR(TODAY()),MONTH(TODAY()),1),4))-YEAR(IF(ISNUMBER(Suppliers!F23),Suppliers!F23,DATE(YEAR(TODAY()),MONTH(TODAY()),1))))*12+MONTH(EDATE(DATE(YEAR(TODAY()),MONTH(TODAY()),1),4))-MONTH(IF(ISNUMBER(Suppliers!F23),Suppliers!F23,DATE(YEAR(TODAY()),MONTH(TODAY()),1))),6)=0,1,0),IF(Suppliers!E23="Annual",IF(MOD((YEAR(EDATE(DATE(YEAR(TODAY()),MONTH(TODAY()),1),4))-YEAR(IF(ISNUMBER(Suppliers!F23),Suppliers!F23,DATE(YEAR(TODAY()),MONTH(TODAY()),1))))*12+MONTH(EDATE(DATE(YEAR(TODAY()),MONTH(TODAY()),1),4))-MONTH(IF(ISNUMBER(Suppliers!F23),Suppliers!F23,DATE(YEAR(TODAY()),MONTH(TODAY()),1))),12)=0,1,0),IF(Suppliers!E23="One-time",IF(4=0,1,0),1)))))),"")</f>
        <v/>
      </c>
      <c r="K25" s="10" t="str">
        <f ca="1">IFERROR(IF(OR(5&gt;=$B$1,Suppliers!A23="",NOT(ISNUMBER(Suppliers!D23)),Suppliers!L23="Expired",Suppliers!L23="Terminate"),"",Suppliers!D23*-1*IF(Suppliers!E23="Monthly",IF(AND(ISNUMBER(Suppliers!G23),(YEAR(EDATE(DATE(YEAR(TODAY()),MONTH(TODAY()),1),5))*12+MONTH(EDATE(DATE(YEAR(TODAY()),MONTH(TODAY()),1),5)))&gt;(YEAR(Suppliers!G23)*12+MONTH(Suppliers!G23))),"",1),IF(Suppliers!E23="Quarterly",IF(MOD((YEAR(EDATE(DATE(YEAR(TODAY()),MONTH(TODAY()),1),5))-YEAR(IF(ISNUMBER(Suppliers!F23),Suppliers!F23,DATE(YEAR(TODAY()),MONTH(TODAY()),1))))*12+MONTH(EDATE(DATE(YEAR(TODAY()),MONTH(TODAY()),1),5))-MONTH(IF(ISNUMBER(Suppliers!F23),Suppliers!F23,DATE(YEAR(TODAY()),MONTH(TODAY()),1))),3)=0,1,0),IF(Suppliers!E23="Semi-annual",IF(MOD((YEAR(EDATE(DATE(YEAR(TODAY()),MONTH(TODAY()),1),5))-YEAR(IF(ISNUMBER(Suppliers!F23),Suppliers!F23,DATE(YEAR(TODAY()),MONTH(TODAY()),1))))*12+MONTH(EDATE(DATE(YEAR(TODAY()),MONTH(TODAY()),1),5))-MONTH(IF(ISNUMBER(Suppliers!F23),Suppliers!F23,DATE(YEAR(TODAY()),MONTH(TODAY()),1))),6)=0,1,0),IF(Suppliers!E23="Annual",IF(MOD((YEAR(EDATE(DATE(YEAR(TODAY()),MONTH(TODAY()),1),5))-YEAR(IF(ISNUMBER(Suppliers!F23),Suppliers!F23,DATE(YEAR(TODAY()),MONTH(TODAY()),1))))*12+MONTH(EDATE(DATE(YEAR(TODAY()),MONTH(TODAY()),1),5))-MONTH(IF(ISNUMBER(Suppliers!F23),Suppliers!F23,DATE(YEAR(TODAY()),MONTH(TODAY()),1))),12)=0,1,0),IF(Suppliers!E23="One-time",IF(5=0,1,0),1)))))),"")</f>
        <v/>
      </c>
      <c r="L25" s="10" t="str">
        <f ca="1">IFERROR(IF(OR(6&gt;=$B$1,Suppliers!A23="",NOT(ISNUMBER(Suppliers!D23)),Suppliers!L23="Expired",Suppliers!L23="Terminate"),"",Suppliers!D23*-1*IF(Suppliers!E23="Monthly",IF(AND(ISNUMBER(Suppliers!G23),(YEAR(EDATE(DATE(YEAR(TODAY()),MONTH(TODAY()),1),6))*12+MONTH(EDATE(DATE(YEAR(TODAY()),MONTH(TODAY()),1),6)))&gt;(YEAR(Suppliers!G23)*12+MONTH(Suppliers!G23))),"",1),IF(Suppliers!E23="Quarterly",IF(MOD((YEAR(EDATE(DATE(YEAR(TODAY()),MONTH(TODAY()),1),6))-YEAR(IF(ISNUMBER(Suppliers!F23),Suppliers!F23,DATE(YEAR(TODAY()),MONTH(TODAY()),1))))*12+MONTH(EDATE(DATE(YEAR(TODAY()),MONTH(TODAY()),1),6))-MONTH(IF(ISNUMBER(Suppliers!F23),Suppliers!F23,DATE(YEAR(TODAY()),MONTH(TODAY()),1))),3)=0,1,0),IF(Suppliers!E23="Semi-annual",IF(MOD((YEAR(EDATE(DATE(YEAR(TODAY()),MONTH(TODAY()),1),6))-YEAR(IF(ISNUMBER(Suppliers!F23),Suppliers!F23,DATE(YEAR(TODAY()),MONTH(TODAY()),1))))*12+MONTH(EDATE(DATE(YEAR(TODAY()),MONTH(TODAY()),1),6))-MONTH(IF(ISNUMBER(Suppliers!F23),Suppliers!F23,DATE(YEAR(TODAY()),MONTH(TODAY()),1))),6)=0,1,0),IF(Suppliers!E23="Annual",IF(MOD((YEAR(EDATE(DATE(YEAR(TODAY()),MONTH(TODAY()),1),6))-YEAR(IF(ISNUMBER(Suppliers!F23),Suppliers!F23,DATE(YEAR(TODAY()),MONTH(TODAY()),1))))*12+MONTH(EDATE(DATE(YEAR(TODAY()),MONTH(TODAY()),1),6))-MONTH(IF(ISNUMBER(Suppliers!F23),Suppliers!F23,DATE(YEAR(TODAY()),MONTH(TODAY()),1))),12)=0,1,0),IF(Suppliers!E23="One-time",IF(6=0,1,0),1)))))),"")</f>
        <v/>
      </c>
      <c r="M25" s="10" t="str">
        <f ca="1">IFERROR(IF(OR(7&gt;=$B$1,Suppliers!A23="",NOT(ISNUMBER(Suppliers!D23)),Suppliers!L23="Expired",Suppliers!L23="Terminate"),"",Suppliers!D23*-1*IF(Suppliers!E23="Monthly",IF(AND(ISNUMBER(Suppliers!G23),(YEAR(EDATE(DATE(YEAR(TODAY()),MONTH(TODAY()),1),7))*12+MONTH(EDATE(DATE(YEAR(TODAY()),MONTH(TODAY()),1),7)))&gt;(YEAR(Suppliers!G23)*12+MONTH(Suppliers!G23))),"",1),IF(Suppliers!E23="Quarterly",IF(MOD((YEAR(EDATE(DATE(YEAR(TODAY()),MONTH(TODAY()),1),7))-YEAR(IF(ISNUMBER(Suppliers!F23),Suppliers!F23,DATE(YEAR(TODAY()),MONTH(TODAY()),1))))*12+MONTH(EDATE(DATE(YEAR(TODAY()),MONTH(TODAY()),1),7))-MONTH(IF(ISNUMBER(Suppliers!F23),Suppliers!F23,DATE(YEAR(TODAY()),MONTH(TODAY()),1))),3)=0,1,0),IF(Suppliers!E23="Semi-annual",IF(MOD((YEAR(EDATE(DATE(YEAR(TODAY()),MONTH(TODAY()),1),7))-YEAR(IF(ISNUMBER(Suppliers!F23),Suppliers!F23,DATE(YEAR(TODAY()),MONTH(TODAY()),1))))*12+MONTH(EDATE(DATE(YEAR(TODAY()),MONTH(TODAY()),1),7))-MONTH(IF(ISNUMBER(Suppliers!F23),Suppliers!F23,DATE(YEAR(TODAY()),MONTH(TODAY()),1))),6)=0,1,0),IF(Suppliers!E23="Annual",IF(MOD((YEAR(EDATE(DATE(YEAR(TODAY()),MONTH(TODAY()),1),7))-YEAR(IF(ISNUMBER(Suppliers!F23),Suppliers!F23,DATE(YEAR(TODAY()),MONTH(TODAY()),1))))*12+MONTH(EDATE(DATE(YEAR(TODAY()),MONTH(TODAY()),1),7))-MONTH(IF(ISNUMBER(Suppliers!F23),Suppliers!F23,DATE(YEAR(TODAY()),MONTH(TODAY()),1))),12)=0,1,0),IF(Suppliers!E23="One-time",IF(7=0,1,0),1)))))),"")</f>
        <v/>
      </c>
      <c r="N25" s="10" t="str">
        <f ca="1">IFERROR(IF(OR(8&gt;=$B$1,Suppliers!A23="",NOT(ISNUMBER(Suppliers!D23)),Suppliers!L23="Expired",Suppliers!L23="Terminate"),"",Suppliers!D23*-1*IF(Suppliers!E23="Monthly",IF(AND(ISNUMBER(Suppliers!G23),(YEAR(EDATE(DATE(YEAR(TODAY()),MONTH(TODAY()),1),8))*12+MONTH(EDATE(DATE(YEAR(TODAY()),MONTH(TODAY()),1),8)))&gt;(YEAR(Suppliers!G23)*12+MONTH(Suppliers!G23))),"",1),IF(Suppliers!E23="Quarterly",IF(MOD((YEAR(EDATE(DATE(YEAR(TODAY()),MONTH(TODAY()),1),8))-YEAR(IF(ISNUMBER(Suppliers!F23),Suppliers!F23,DATE(YEAR(TODAY()),MONTH(TODAY()),1))))*12+MONTH(EDATE(DATE(YEAR(TODAY()),MONTH(TODAY()),1),8))-MONTH(IF(ISNUMBER(Suppliers!F23),Suppliers!F23,DATE(YEAR(TODAY()),MONTH(TODAY()),1))),3)=0,1,0),IF(Suppliers!E23="Semi-annual",IF(MOD((YEAR(EDATE(DATE(YEAR(TODAY()),MONTH(TODAY()),1),8))-YEAR(IF(ISNUMBER(Suppliers!F23),Suppliers!F23,DATE(YEAR(TODAY()),MONTH(TODAY()),1))))*12+MONTH(EDATE(DATE(YEAR(TODAY()),MONTH(TODAY()),1),8))-MONTH(IF(ISNUMBER(Suppliers!F23),Suppliers!F23,DATE(YEAR(TODAY()),MONTH(TODAY()),1))),6)=0,1,0),IF(Suppliers!E23="Annual",IF(MOD((YEAR(EDATE(DATE(YEAR(TODAY()),MONTH(TODAY()),1),8))-YEAR(IF(ISNUMBER(Suppliers!F23),Suppliers!F23,DATE(YEAR(TODAY()),MONTH(TODAY()),1))))*12+MONTH(EDATE(DATE(YEAR(TODAY()),MONTH(TODAY()),1),8))-MONTH(IF(ISNUMBER(Suppliers!F23),Suppliers!F23,DATE(YEAR(TODAY()),MONTH(TODAY()),1))),12)=0,1,0),IF(Suppliers!E23="One-time",IF(8=0,1,0),1)))))),"")</f>
        <v/>
      </c>
      <c r="O25" s="10" t="str">
        <f ca="1">IFERROR(IF(OR(9&gt;=$B$1,Suppliers!A23="",NOT(ISNUMBER(Suppliers!D23)),Suppliers!L23="Expired",Suppliers!L23="Terminate"),"",Suppliers!D23*-1*IF(Suppliers!E23="Monthly",IF(AND(ISNUMBER(Suppliers!G23),(YEAR(EDATE(DATE(YEAR(TODAY()),MONTH(TODAY()),1),9))*12+MONTH(EDATE(DATE(YEAR(TODAY()),MONTH(TODAY()),1),9)))&gt;(YEAR(Suppliers!G23)*12+MONTH(Suppliers!G23))),"",1),IF(Suppliers!E23="Quarterly",IF(MOD((YEAR(EDATE(DATE(YEAR(TODAY()),MONTH(TODAY()),1),9))-YEAR(IF(ISNUMBER(Suppliers!F23),Suppliers!F23,DATE(YEAR(TODAY()),MONTH(TODAY()),1))))*12+MONTH(EDATE(DATE(YEAR(TODAY()),MONTH(TODAY()),1),9))-MONTH(IF(ISNUMBER(Suppliers!F23),Suppliers!F23,DATE(YEAR(TODAY()),MONTH(TODAY()),1))),3)=0,1,0),IF(Suppliers!E23="Semi-annual",IF(MOD((YEAR(EDATE(DATE(YEAR(TODAY()),MONTH(TODAY()),1),9))-YEAR(IF(ISNUMBER(Suppliers!F23),Suppliers!F23,DATE(YEAR(TODAY()),MONTH(TODAY()),1))))*12+MONTH(EDATE(DATE(YEAR(TODAY()),MONTH(TODAY()),1),9))-MONTH(IF(ISNUMBER(Suppliers!F23),Suppliers!F23,DATE(YEAR(TODAY()),MONTH(TODAY()),1))),6)=0,1,0),IF(Suppliers!E23="Annual",IF(MOD((YEAR(EDATE(DATE(YEAR(TODAY()),MONTH(TODAY()),1),9))-YEAR(IF(ISNUMBER(Suppliers!F23),Suppliers!F23,DATE(YEAR(TODAY()),MONTH(TODAY()),1))))*12+MONTH(EDATE(DATE(YEAR(TODAY()),MONTH(TODAY()),1),9))-MONTH(IF(ISNUMBER(Suppliers!F23),Suppliers!F23,DATE(YEAR(TODAY()),MONTH(TODAY()),1))),12)=0,1,0),IF(Suppliers!E23="One-time",IF(9=0,1,0),1)))))),"")</f>
        <v/>
      </c>
      <c r="P25" s="10" t="str">
        <f ca="1">IFERROR(IF(OR(10&gt;=$B$1,Suppliers!A23="",NOT(ISNUMBER(Suppliers!D23)),Suppliers!L23="Expired",Suppliers!L23="Terminate"),"",Suppliers!D23*-1*IF(Suppliers!E23="Monthly",IF(AND(ISNUMBER(Suppliers!G23),(YEAR(EDATE(DATE(YEAR(TODAY()),MONTH(TODAY()),1),10))*12+MONTH(EDATE(DATE(YEAR(TODAY()),MONTH(TODAY()),1),10)))&gt;(YEAR(Suppliers!G23)*12+MONTH(Suppliers!G23))),"",1),IF(Suppliers!E23="Quarterly",IF(MOD((YEAR(EDATE(DATE(YEAR(TODAY()),MONTH(TODAY()),1),10))-YEAR(IF(ISNUMBER(Suppliers!F23),Suppliers!F23,DATE(YEAR(TODAY()),MONTH(TODAY()),1))))*12+MONTH(EDATE(DATE(YEAR(TODAY()),MONTH(TODAY()),1),10))-MONTH(IF(ISNUMBER(Suppliers!F23),Suppliers!F23,DATE(YEAR(TODAY()),MONTH(TODAY()),1))),3)=0,1,0),IF(Suppliers!E23="Semi-annual",IF(MOD((YEAR(EDATE(DATE(YEAR(TODAY()),MONTH(TODAY()),1),10))-YEAR(IF(ISNUMBER(Suppliers!F23),Suppliers!F23,DATE(YEAR(TODAY()),MONTH(TODAY()),1))))*12+MONTH(EDATE(DATE(YEAR(TODAY()),MONTH(TODAY()),1),10))-MONTH(IF(ISNUMBER(Suppliers!F23),Suppliers!F23,DATE(YEAR(TODAY()),MONTH(TODAY()),1))),6)=0,1,0),IF(Suppliers!E23="Annual",IF(MOD((YEAR(EDATE(DATE(YEAR(TODAY()),MONTH(TODAY()),1),10))-YEAR(IF(ISNUMBER(Suppliers!F23),Suppliers!F23,DATE(YEAR(TODAY()),MONTH(TODAY()),1))))*12+MONTH(EDATE(DATE(YEAR(TODAY()),MONTH(TODAY()),1),10))-MONTH(IF(ISNUMBER(Suppliers!F23),Suppliers!F23,DATE(YEAR(TODAY()),MONTH(TODAY()),1))),12)=0,1,0),IF(Suppliers!E23="One-time",IF(10=0,1,0),1)))))),"")</f>
        <v/>
      </c>
      <c r="Q25" s="10" t="str">
        <f ca="1">IFERROR(IF(OR(11&gt;=$B$1,Suppliers!A23="",NOT(ISNUMBER(Suppliers!D23)),Suppliers!L23="Expired",Suppliers!L23="Terminate"),"",Suppliers!D23*-1*IF(Suppliers!E23="Monthly",IF(AND(ISNUMBER(Suppliers!G23),(YEAR(EDATE(DATE(YEAR(TODAY()),MONTH(TODAY()),1),11))*12+MONTH(EDATE(DATE(YEAR(TODAY()),MONTH(TODAY()),1),11)))&gt;(YEAR(Suppliers!G23)*12+MONTH(Suppliers!G23))),"",1),IF(Suppliers!E23="Quarterly",IF(MOD((YEAR(EDATE(DATE(YEAR(TODAY()),MONTH(TODAY()),1),11))-YEAR(IF(ISNUMBER(Suppliers!F23),Suppliers!F23,DATE(YEAR(TODAY()),MONTH(TODAY()),1))))*12+MONTH(EDATE(DATE(YEAR(TODAY()),MONTH(TODAY()),1),11))-MONTH(IF(ISNUMBER(Suppliers!F23),Suppliers!F23,DATE(YEAR(TODAY()),MONTH(TODAY()),1))),3)=0,1,0),IF(Suppliers!E23="Semi-annual",IF(MOD((YEAR(EDATE(DATE(YEAR(TODAY()),MONTH(TODAY()),1),11))-YEAR(IF(ISNUMBER(Suppliers!F23),Suppliers!F23,DATE(YEAR(TODAY()),MONTH(TODAY()),1))))*12+MONTH(EDATE(DATE(YEAR(TODAY()),MONTH(TODAY()),1),11))-MONTH(IF(ISNUMBER(Suppliers!F23),Suppliers!F23,DATE(YEAR(TODAY()),MONTH(TODAY()),1))),6)=0,1,0),IF(Suppliers!E23="Annual",IF(MOD((YEAR(EDATE(DATE(YEAR(TODAY()),MONTH(TODAY()),1),11))-YEAR(IF(ISNUMBER(Suppliers!F23),Suppliers!F23,DATE(YEAR(TODAY()),MONTH(TODAY()),1))))*12+MONTH(EDATE(DATE(YEAR(TODAY()),MONTH(TODAY()),1),11))-MONTH(IF(ISNUMBER(Suppliers!F23),Suppliers!F23,DATE(YEAR(TODAY()),MONTH(TODAY()),1))),12)=0,1,0),IF(Suppliers!E23="One-time",IF(11=0,1,0),1)))))),"")</f>
        <v/>
      </c>
      <c r="R25" s="10" t="str">
        <f ca="1">IFERROR(IF(OR(12&gt;=$B$1,Suppliers!A23="",NOT(ISNUMBER(Suppliers!D23)),Suppliers!L23="Expired",Suppliers!L23="Terminate"),"",Suppliers!D23*-1*IF(Suppliers!E23="Monthly",IF(AND(ISNUMBER(Suppliers!G23),(YEAR(EDATE(DATE(YEAR(TODAY()),MONTH(TODAY()),1),12))*12+MONTH(EDATE(DATE(YEAR(TODAY()),MONTH(TODAY()),1),12)))&gt;(YEAR(Suppliers!G23)*12+MONTH(Suppliers!G23))),"",1),IF(Suppliers!E23="Quarterly",IF(MOD((YEAR(EDATE(DATE(YEAR(TODAY()),MONTH(TODAY()),1),12))-YEAR(IF(ISNUMBER(Suppliers!F23),Suppliers!F23,DATE(YEAR(TODAY()),MONTH(TODAY()),1))))*12+MONTH(EDATE(DATE(YEAR(TODAY()),MONTH(TODAY()),1),12))-MONTH(IF(ISNUMBER(Suppliers!F23),Suppliers!F23,DATE(YEAR(TODAY()),MONTH(TODAY()),1))),3)=0,1,0),IF(Suppliers!E23="Semi-annual",IF(MOD((YEAR(EDATE(DATE(YEAR(TODAY()),MONTH(TODAY()),1),12))-YEAR(IF(ISNUMBER(Suppliers!F23),Suppliers!F23,DATE(YEAR(TODAY()),MONTH(TODAY()),1))))*12+MONTH(EDATE(DATE(YEAR(TODAY()),MONTH(TODAY()),1),12))-MONTH(IF(ISNUMBER(Suppliers!F23),Suppliers!F23,DATE(YEAR(TODAY()),MONTH(TODAY()),1))),6)=0,1,0),IF(Suppliers!E23="Annual",IF(MOD((YEAR(EDATE(DATE(YEAR(TODAY()),MONTH(TODAY()),1),12))-YEAR(IF(ISNUMBER(Suppliers!F23),Suppliers!F23,DATE(YEAR(TODAY()),MONTH(TODAY()),1))))*12+MONTH(EDATE(DATE(YEAR(TODAY()),MONTH(TODAY()),1),12))-MONTH(IF(ISNUMBER(Suppliers!F23),Suppliers!F23,DATE(YEAR(TODAY()),MONTH(TODAY()),1))),12)=0,1,0),IF(Suppliers!E23="One-time",IF(12=0,1,0),1)))))),"")</f>
        <v/>
      </c>
      <c r="S25" s="10" t="str">
        <f ca="1">IFERROR(IF(OR(13&gt;=$B$1,Suppliers!A23="",NOT(ISNUMBER(Suppliers!D23)),Suppliers!L23="Expired",Suppliers!L23="Terminate"),"",Suppliers!D23*-1*IF(Suppliers!E23="Monthly",IF(AND(ISNUMBER(Suppliers!G23),(YEAR(EDATE(DATE(YEAR(TODAY()),MONTH(TODAY()),1),13))*12+MONTH(EDATE(DATE(YEAR(TODAY()),MONTH(TODAY()),1),13)))&gt;(YEAR(Suppliers!G23)*12+MONTH(Suppliers!G23))),"",1),IF(Suppliers!E23="Quarterly",IF(MOD((YEAR(EDATE(DATE(YEAR(TODAY()),MONTH(TODAY()),1),13))-YEAR(IF(ISNUMBER(Suppliers!F23),Suppliers!F23,DATE(YEAR(TODAY()),MONTH(TODAY()),1))))*12+MONTH(EDATE(DATE(YEAR(TODAY()),MONTH(TODAY()),1),13))-MONTH(IF(ISNUMBER(Suppliers!F23),Suppliers!F23,DATE(YEAR(TODAY()),MONTH(TODAY()),1))),3)=0,1,0),IF(Suppliers!E23="Semi-annual",IF(MOD((YEAR(EDATE(DATE(YEAR(TODAY()),MONTH(TODAY()),1),13))-YEAR(IF(ISNUMBER(Suppliers!F23),Suppliers!F23,DATE(YEAR(TODAY()),MONTH(TODAY()),1))))*12+MONTH(EDATE(DATE(YEAR(TODAY()),MONTH(TODAY()),1),13))-MONTH(IF(ISNUMBER(Suppliers!F23),Suppliers!F23,DATE(YEAR(TODAY()),MONTH(TODAY()),1))),6)=0,1,0),IF(Suppliers!E23="Annual",IF(MOD((YEAR(EDATE(DATE(YEAR(TODAY()),MONTH(TODAY()),1),13))-YEAR(IF(ISNUMBER(Suppliers!F23),Suppliers!F23,DATE(YEAR(TODAY()),MONTH(TODAY()),1))))*12+MONTH(EDATE(DATE(YEAR(TODAY()),MONTH(TODAY()),1),13))-MONTH(IF(ISNUMBER(Suppliers!F23),Suppliers!F23,DATE(YEAR(TODAY()),MONTH(TODAY()),1))),12)=0,1,0),IF(Suppliers!E23="One-time",IF(13=0,1,0),1)))))),"")</f>
        <v/>
      </c>
      <c r="T25" s="10" t="str">
        <f ca="1">IFERROR(IF(OR(14&gt;=$B$1,Suppliers!A23="",NOT(ISNUMBER(Suppliers!D23)),Suppliers!L23="Expired",Suppliers!L23="Terminate"),"",Suppliers!D23*-1*IF(Suppliers!E23="Monthly",IF(AND(ISNUMBER(Suppliers!G23),(YEAR(EDATE(DATE(YEAR(TODAY()),MONTH(TODAY()),1),14))*12+MONTH(EDATE(DATE(YEAR(TODAY()),MONTH(TODAY()),1),14)))&gt;(YEAR(Suppliers!G23)*12+MONTH(Suppliers!G23))),"",1),IF(Suppliers!E23="Quarterly",IF(MOD((YEAR(EDATE(DATE(YEAR(TODAY()),MONTH(TODAY()),1),14))-YEAR(IF(ISNUMBER(Suppliers!F23),Suppliers!F23,DATE(YEAR(TODAY()),MONTH(TODAY()),1))))*12+MONTH(EDATE(DATE(YEAR(TODAY()),MONTH(TODAY()),1),14))-MONTH(IF(ISNUMBER(Suppliers!F23),Suppliers!F23,DATE(YEAR(TODAY()),MONTH(TODAY()),1))),3)=0,1,0),IF(Suppliers!E23="Semi-annual",IF(MOD((YEAR(EDATE(DATE(YEAR(TODAY()),MONTH(TODAY()),1),14))-YEAR(IF(ISNUMBER(Suppliers!F23),Suppliers!F23,DATE(YEAR(TODAY()),MONTH(TODAY()),1))))*12+MONTH(EDATE(DATE(YEAR(TODAY()),MONTH(TODAY()),1),14))-MONTH(IF(ISNUMBER(Suppliers!F23),Suppliers!F23,DATE(YEAR(TODAY()),MONTH(TODAY()),1))),6)=0,1,0),IF(Suppliers!E23="Annual",IF(MOD((YEAR(EDATE(DATE(YEAR(TODAY()),MONTH(TODAY()),1),14))-YEAR(IF(ISNUMBER(Suppliers!F23),Suppliers!F23,DATE(YEAR(TODAY()),MONTH(TODAY()),1))))*12+MONTH(EDATE(DATE(YEAR(TODAY()),MONTH(TODAY()),1),14))-MONTH(IF(ISNUMBER(Suppliers!F23),Suppliers!F23,DATE(YEAR(TODAY()),MONTH(TODAY()),1))),12)=0,1,0),IF(Suppliers!E23="One-time",IF(14=0,1,0),1)))))),"")</f>
        <v/>
      </c>
      <c r="U25" s="10" t="str">
        <f ca="1">IFERROR(IF(OR(15&gt;=$B$1,Suppliers!A23="",NOT(ISNUMBER(Suppliers!D23)),Suppliers!L23="Expired",Suppliers!L23="Terminate"),"",Suppliers!D23*-1*IF(Suppliers!E23="Monthly",IF(AND(ISNUMBER(Suppliers!G23),(YEAR(EDATE(DATE(YEAR(TODAY()),MONTH(TODAY()),1),15))*12+MONTH(EDATE(DATE(YEAR(TODAY()),MONTH(TODAY()),1),15)))&gt;(YEAR(Suppliers!G23)*12+MONTH(Suppliers!G23))),"",1),IF(Suppliers!E23="Quarterly",IF(MOD((YEAR(EDATE(DATE(YEAR(TODAY()),MONTH(TODAY()),1),15))-YEAR(IF(ISNUMBER(Suppliers!F23),Suppliers!F23,DATE(YEAR(TODAY()),MONTH(TODAY()),1))))*12+MONTH(EDATE(DATE(YEAR(TODAY()),MONTH(TODAY()),1),15))-MONTH(IF(ISNUMBER(Suppliers!F23),Suppliers!F23,DATE(YEAR(TODAY()),MONTH(TODAY()),1))),3)=0,1,0),IF(Suppliers!E23="Semi-annual",IF(MOD((YEAR(EDATE(DATE(YEAR(TODAY()),MONTH(TODAY()),1),15))-YEAR(IF(ISNUMBER(Suppliers!F23),Suppliers!F23,DATE(YEAR(TODAY()),MONTH(TODAY()),1))))*12+MONTH(EDATE(DATE(YEAR(TODAY()),MONTH(TODAY()),1),15))-MONTH(IF(ISNUMBER(Suppliers!F23),Suppliers!F23,DATE(YEAR(TODAY()),MONTH(TODAY()),1))),6)=0,1,0),IF(Suppliers!E23="Annual",IF(MOD((YEAR(EDATE(DATE(YEAR(TODAY()),MONTH(TODAY()),1),15))-YEAR(IF(ISNUMBER(Suppliers!F23),Suppliers!F23,DATE(YEAR(TODAY()),MONTH(TODAY()),1))))*12+MONTH(EDATE(DATE(YEAR(TODAY()),MONTH(TODAY()),1),15))-MONTH(IF(ISNUMBER(Suppliers!F23),Suppliers!F23,DATE(YEAR(TODAY()),MONTH(TODAY()),1))),12)=0,1,0),IF(Suppliers!E23="One-time",IF(15=0,1,0),1)))))),"")</f>
        <v/>
      </c>
      <c r="V25" s="10" t="str">
        <f ca="1">IFERROR(IF(OR(16&gt;=$B$1,Suppliers!A23="",NOT(ISNUMBER(Suppliers!D23)),Suppliers!L23="Expired",Suppliers!L23="Terminate"),"",Suppliers!D23*-1*IF(Suppliers!E23="Monthly",IF(AND(ISNUMBER(Suppliers!G23),(YEAR(EDATE(DATE(YEAR(TODAY()),MONTH(TODAY()),1),16))*12+MONTH(EDATE(DATE(YEAR(TODAY()),MONTH(TODAY()),1),16)))&gt;(YEAR(Suppliers!G23)*12+MONTH(Suppliers!G23))),"",1),IF(Suppliers!E23="Quarterly",IF(MOD((YEAR(EDATE(DATE(YEAR(TODAY()),MONTH(TODAY()),1),16))-YEAR(IF(ISNUMBER(Suppliers!F23),Suppliers!F23,DATE(YEAR(TODAY()),MONTH(TODAY()),1))))*12+MONTH(EDATE(DATE(YEAR(TODAY()),MONTH(TODAY()),1),16))-MONTH(IF(ISNUMBER(Suppliers!F23),Suppliers!F23,DATE(YEAR(TODAY()),MONTH(TODAY()),1))),3)=0,1,0),IF(Suppliers!E23="Semi-annual",IF(MOD((YEAR(EDATE(DATE(YEAR(TODAY()),MONTH(TODAY()),1),16))-YEAR(IF(ISNUMBER(Suppliers!F23),Suppliers!F23,DATE(YEAR(TODAY()),MONTH(TODAY()),1))))*12+MONTH(EDATE(DATE(YEAR(TODAY()),MONTH(TODAY()),1),16))-MONTH(IF(ISNUMBER(Suppliers!F23),Suppliers!F23,DATE(YEAR(TODAY()),MONTH(TODAY()),1))),6)=0,1,0),IF(Suppliers!E23="Annual",IF(MOD((YEAR(EDATE(DATE(YEAR(TODAY()),MONTH(TODAY()),1),16))-YEAR(IF(ISNUMBER(Suppliers!F23),Suppliers!F23,DATE(YEAR(TODAY()),MONTH(TODAY()),1))))*12+MONTH(EDATE(DATE(YEAR(TODAY()),MONTH(TODAY()),1),16))-MONTH(IF(ISNUMBER(Suppliers!F23),Suppliers!F23,DATE(YEAR(TODAY()),MONTH(TODAY()),1))),12)=0,1,0),IF(Suppliers!E23="One-time",IF(16=0,1,0),1)))))),"")</f>
        <v/>
      </c>
      <c r="W25" s="10" t="str">
        <f ca="1">IFERROR(IF(OR(17&gt;=$B$1,Suppliers!A23="",NOT(ISNUMBER(Suppliers!D23)),Suppliers!L23="Expired",Suppliers!L23="Terminate"),"",Suppliers!D23*-1*IF(Suppliers!E23="Monthly",IF(AND(ISNUMBER(Suppliers!G23),(YEAR(EDATE(DATE(YEAR(TODAY()),MONTH(TODAY()),1),17))*12+MONTH(EDATE(DATE(YEAR(TODAY()),MONTH(TODAY()),1),17)))&gt;(YEAR(Suppliers!G23)*12+MONTH(Suppliers!G23))),"",1),IF(Suppliers!E23="Quarterly",IF(MOD((YEAR(EDATE(DATE(YEAR(TODAY()),MONTH(TODAY()),1),17))-YEAR(IF(ISNUMBER(Suppliers!F23),Suppliers!F23,DATE(YEAR(TODAY()),MONTH(TODAY()),1))))*12+MONTH(EDATE(DATE(YEAR(TODAY()),MONTH(TODAY()),1),17))-MONTH(IF(ISNUMBER(Suppliers!F23),Suppliers!F23,DATE(YEAR(TODAY()),MONTH(TODAY()),1))),3)=0,1,0),IF(Suppliers!E23="Semi-annual",IF(MOD((YEAR(EDATE(DATE(YEAR(TODAY()),MONTH(TODAY()),1),17))-YEAR(IF(ISNUMBER(Suppliers!F23),Suppliers!F23,DATE(YEAR(TODAY()),MONTH(TODAY()),1))))*12+MONTH(EDATE(DATE(YEAR(TODAY()),MONTH(TODAY()),1),17))-MONTH(IF(ISNUMBER(Suppliers!F23),Suppliers!F23,DATE(YEAR(TODAY()),MONTH(TODAY()),1))),6)=0,1,0),IF(Suppliers!E23="Annual",IF(MOD((YEAR(EDATE(DATE(YEAR(TODAY()),MONTH(TODAY()),1),17))-YEAR(IF(ISNUMBER(Suppliers!F23),Suppliers!F23,DATE(YEAR(TODAY()),MONTH(TODAY()),1))))*12+MONTH(EDATE(DATE(YEAR(TODAY()),MONTH(TODAY()),1),17))-MONTH(IF(ISNUMBER(Suppliers!F23),Suppliers!F23,DATE(YEAR(TODAY()),MONTH(TODAY()),1))),12)=0,1,0),IF(Suppliers!E23="One-time",IF(17=0,1,0),1)))))),"")</f>
        <v/>
      </c>
      <c r="X25" s="10" t="str">
        <f ca="1">IFERROR(IF(OR(18&gt;=$B$1,Suppliers!A23="",NOT(ISNUMBER(Suppliers!D23)),Suppliers!L23="Expired",Suppliers!L23="Terminate"),"",Suppliers!D23*-1*IF(Suppliers!E23="Monthly",IF(AND(ISNUMBER(Suppliers!G23),(YEAR(EDATE(DATE(YEAR(TODAY()),MONTH(TODAY()),1),18))*12+MONTH(EDATE(DATE(YEAR(TODAY()),MONTH(TODAY()),1),18)))&gt;(YEAR(Suppliers!G23)*12+MONTH(Suppliers!G23))),"",1),IF(Suppliers!E23="Quarterly",IF(MOD((YEAR(EDATE(DATE(YEAR(TODAY()),MONTH(TODAY()),1),18))-YEAR(IF(ISNUMBER(Suppliers!F23),Suppliers!F23,DATE(YEAR(TODAY()),MONTH(TODAY()),1))))*12+MONTH(EDATE(DATE(YEAR(TODAY()),MONTH(TODAY()),1),18))-MONTH(IF(ISNUMBER(Suppliers!F23),Suppliers!F23,DATE(YEAR(TODAY()),MONTH(TODAY()),1))),3)=0,1,0),IF(Suppliers!E23="Semi-annual",IF(MOD((YEAR(EDATE(DATE(YEAR(TODAY()),MONTH(TODAY()),1),18))-YEAR(IF(ISNUMBER(Suppliers!F23),Suppliers!F23,DATE(YEAR(TODAY()),MONTH(TODAY()),1))))*12+MONTH(EDATE(DATE(YEAR(TODAY()),MONTH(TODAY()),1),18))-MONTH(IF(ISNUMBER(Suppliers!F23),Suppliers!F23,DATE(YEAR(TODAY()),MONTH(TODAY()),1))),6)=0,1,0),IF(Suppliers!E23="Annual",IF(MOD((YEAR(EDATE(DATE(YEAR(TODAY()),MONTH(TODAY()),1),18))-YEAR(IF(ISNUMBER(Suppliers!F23),Suppliers!F23,DATE(YEAR(TODAY()),MONTH(TODAY()),1))))*12+MONTH(EDATE(DATE(YEAR(TODAY()),MONTH(TODAY()),1),18))-MONTH(IF(ISNUMBER(Suppliers!F23),Suppliers!F23,DATE(YEAR(TODAY()),MONTH(TODAY()),1))),12)=0,1,0),IF(Suppliers!E23="One-time",IF(18=0,1,0),1)))))),"")</f>
        <v/>
      </c>
      <c r="Y25" s="10" t="str">
        <f ca="1">IFERROR(IF(OR(19&gt;=$B$1,Suppliers!A23="",NOT(ISNUMBER(Suppliers!D23)),Suppliers!L23="Expired",Suppliers!L23="Terminate"),"",Suppliers!D23*-1*IF(Suppliers!E23="Monthly",IF(AND(ISNUMBER(Suppliers!G23),(YEAR(EDATE(DATE(YEAR(TODAY()),MONTH(TODAY()),1),19))*12+MONTH(EDATE(DATE(YEAR(TODAY()),MONTH(TODAY()),1),19)))&gt;(YEAR(Suppliers!G23)*12+MONTH(Suppliers!G23))),"",1),IF(Suppliers!E23="Quarterly",IF(MOD((YEAR(EDATE(DATE(YEAR(TODAY()),MONTH(TODAY()),1),19))-YEAR(IF(ISNUMBER(Suppliers!F23),Suppliers!F23,DATE(YEAR(TODAY()),MONTH(TODAY()),1))))*12+MONTH(EDATE(DATE(YEAR(TODAY()),MONTH(TODAY()),1),19))-MONTH(IF(ISNUMBER(Suppliers!F23),Suppliers!F23,DATE(YEAR(TODAY()),MONTH(TODAY()),1))),3)=0,1,0),IF(Suppliers!E23="Semi-annual",IF(MOD((YEAR(EDATE(DATE(YEAR(TODAY()),MONTH(TODAY()),1),19))-YEAR(IF(ISNUMBER(Suppliers!F23),Suppliers!F23,DATE(YEAR(TODAY()),MONTH(TODAY()),1))))*12+MONTH(EDATE(DATE(YEAR(TODAY()),MONTH(TODAY()),1),19))-MONTH(IF(ISNUMBER(Suppliers!F23),Suppliers!F23,DATE(YEAR(TODAY()),MONTH(TODAY()),1))),6)=0,1,0),IF(Suppliers!E23="Annual",IF(MOD((YEAR(EDATE(DATE(YEAR(TODAY()),MONTH(TODAY()),1),19))-YEAR(IF(ISNUMBER(Suppliers!F23),Suppliers!F23,DATE(YEAR(TODAY()),MONTH(TODAY()),1))))*12+MONTH(EDATE(DATE(YEAR(TODAY()),MONTH(TODAY()),1),19))-MONTH(IF(ISNUMBER(Suppliers!F23),Suppliers!F23,DATE(YEAR(TODAY()),MONTH(TODAY()),1))),12)=0,1,0),IF(Suppliers!E23="One-time",IF(19=0,1,0),1)))))),"")</f>
        <v/>
      </c>
      <c r="Z25" s="10" t="str">
        <f ca="1">IFERROR(IF(OR(20&gt;=$B$1,Suppliers!A23="",NOT(ISNUMBER(Suppliers!D23)),Suppliers!L23="Expired",Suppliers!L23="Terminate"),"",Suppliers!D23*-1*IF(Suppliers!E23="Monthly",IF(AND(ISNUMBER(Suppliers!G23),(YEAR(EDATE(DATE(YEAR(TODAY()),MONTH(TODAY()),1),20))*12+MONTH(EDATE(DATE(YEAR(TODAY()),MONTH(TODAY()),1),20)))&gt;(YEAR(Suppliers!G23)*12+MONTH(Suppliers!G23))),"",1),IF(Suppliers!E23="Quarterly",IF(MOD((YEAR(EDATE(DATE(YEAR(TODAY()),MONTH(TODAY()),1),20))-YEAR(IF(ISNUMBER(Suppliers!F23),Suppliers!F23,DATE(YEAR(TODAY()),MONTH(TODAY()),1))))*12+MONTH(EDATE(DATE(YEAR(TODAY()),MONTH(TODAY()),1),20))-MONTH(IF(ISNUMBER(Suppliers!F23),Suppliers!F23,DATE(YEAR(TODAY()),MONTH(TODAY()),1))),3)=0,1,0),IF(Suppliers!E23="Semi-annual",IF(MOD((YEAR(EDATE(DATE(YEAR(TODAY()),MONTH(TODAY()),1),20))-YEAR(IF(ISNUMBER(Suppliers!F23),Suppliers!F23,DATE(YEAR(TODAY()),MONTH(TODAY()),1))))*12+MONTH(EDATE(DATE(YEAR(TODAY()),MONTH(TODAY()),1),20))-MONTH(IF(ISNUMBER(Suppliers!F23),Suppliers!F23,DATE(YEAR(TODAY()),MONTH(TODAY()),1))),6)=0,1,0),IF(Suppliers!E23="Annual",IF(MOD((YEAR(EDATE(DATE(YEAR(TODAY()),MONTH(TODAY()),1),20))-YEAR(IF(ISNUMBER(Suppliers!F23),Suppliers!F23,DATE(YEAR(TODAY()),MONTH(TODAY()),1))))*12+MONTH(EDATE(DATE(YEAR(TODAY()),MONTH(TODAY()),1),20))-MONTH(IF(ISNUMBER(Suppliers!F23),Suppliers!F23,DATE(YEAR(TODAY()),MONTH(TODAY()),1))),12)=0,1,0),IF(Suppliers!E23="One-time",IF(20=0,1,0),1)))))),"")</f>
        <v/>
      </c>
      <c r="AA25" s="10" t="str">
        <f ca="1">IFERROR(IF(OR(21&gt;=$B$1,Suppliers!A23="",NOT(ISNUMBER(Suppliers!D23)),Suppliers!L23="Expired",Suppliers!L23="Terminate"),"",Suppliers!D23*-1*IF(Suppliers!E23="Monthly",IF(AND(ISNUMBER(Suppliers!G23),(YEAR(EDATE(DATE(YEAR(TODAY()),MONTH(TODAY()),1),21))*12+MONTH(EDATE(DATE(YEAR(TODAY()),MONTH(TODAY()),1),21)))&gt;(YEAR(Suppliers!G23)*12+MONTH(Suppliers!G23))),"",1),IF(Suppliers!E23="Quarterly",IF(MOD((YEAR(EDATE(DATE(YEAR(TODAY()),MONTH(TODAY()),1),21))-YEAR(IF(ISNUMBER(Suppliers!F23),Suppliers!F23,DATE(YEAR(TODAY()),MONTH(TODAY()),1))))*12+MONTH(EDATE(DATE(YEAR(TODAY()),MONTH(TODAY()),1),21))-MONTH(IF(ISNUMBER(Suppliers!F23),Suppliers!F23,DATE(YEAR(TODAY()),MONTH(TODAY()),1))),3)=0,1,0),IF(Suppliers!E23="Semi-annual",IF(MOD((YEAR(EDATE(DATE(YEAR(TODAY()),MONTH(TODAY()),1),21))-YEAR(IF(ISNUMBER(Suppliers!F23),Suppliers!F23,DATE(YEAR(TODAY()),MONTH(TODAY()),1))))*12+MONTH(EDATE(DATE(YEAR(TODAY()),MONTH(TODAY()),1),21))-MONTH(IF(ISNUMBER(Suppliers!F23),Suppliers!F23,DATE(YEAR(TODAY()),MONTH(TODAY()),1))),6)=0,1,0),IF(Suppliers!E23="Annual",IF(MOD((YEAR(EDATE(DATE(YEAR(TODAY()),MONTH(TODAY()),1),21))-YEAR(IF(ISNUMBER(Suppliers!F23),Suppliers!F23,DATE(YEAR(TODAY()),MONTH(TODAY()),1))))*12+MONTH(EDATE(DATE(YEAR(TODAY()),MONTH(TODAY()),1),21))-MONTH(IF(ISNUMBER(Suppliers!F23),Suppliers!F23,DATE(YEAR(TODAY()),MONTH(TODAY()),1))),12)=0,1,0),IF(Suppliers!E23="One-time",IF(21=0,1,0),1)))))),"")</f>
        <v/>
      </c>
      <c r="AB25" s="10" t="str">
        <f ca="1">IFERROR(IF(OR(22&gt;=$B$1,Suppliers!A23="",NOT(ISNUMBER(Suppliers!D23)),Suppliers!L23="Expired",Suppliers!L23="Terminate"),"",Suppliers!D23*-1*IF(Suppliers!E23="Monthly",IF(AND(ISNUMBER(Suppliers!G23),(YEAR(EDATE(DATE(YEAR(TODAY()),MONTH(TODAY()),1),22))*12+MONTH(EDATE(DATE(YEAR(TODAY()),MONTH(TODAY()),1),22)))&gt;(YEAR(Suppliers!G23)*12+MONTH(Suppliers!G23))),"",1),IF(Suppliers!E23="Quarterly",IF(MOD((YEAR(EDATE(DATE(YEAR(TODAY()),MONTH(TODAY()),1),22))-YEAR(IF(ISNUMBER(Suppliers!F23),Suppliers!F23,DATE(YEAR(TODAY()),MONTH(TODAY()),1))))*12+MONTH(EDATE(DATE(YEAR(TODAY()),MONTH(TODAY()),1),22))-MONTH(IF(ISNUMBER(Suppliers!F23),Suppliers!F23,DATE(YEAR(TODAY()),MONTH(TODAY()),1))),3)=0,1,0),IF(Suppliers!E23="Semi-annual",IF(MOD((YEAR(EDATE(DATE(YEAR(TODAY()),MONTH(TODAY()),1),22))-YEAR(IF(ISNUMBER(Suppliers!F23),Suppliers!F23,DATE(YEAR(TODAY()),MONTH(TODAY()),1))))*12+MONTH(EDATE(DATE(YEAR(TODAY()),MONTH(TODAY()),1),22))-MONTH(IF(ISNUMBER(Suppliers!F23),Suppliers!F23,DATE(YEAR(TODAY()),MONTH(TODAY()),1))),6)=0,1,0),IF(Suppliers!E23="Annual",IF(MOD((YEAR(EDATE(DATE(YEAR(TODAY()),MONTH(TODAY()),1),22))-YEAR(IF(ISNUMBER(Suppliers!F23),Suppliers!F23,DATE(YEAR(TODAY()),MONTH(TODAY()),1))))*12+MONTH(EDATE(DATE(YEAR(TODAY()),MONTH(TODAY()),1),22))-MONTH(IF(ISNUMBER(Suppliers!F23),Suppliers!F23,DATE(YEAR(TODAY()),MONTH(TODAY()),1))),12)=0,1,0),IF(Suppliers!E23="One-time",IF(22=0,1,0),1)))))),"")</f>
        <v/>
      </c>
      <c r="AC25" s="10" t="str">
        <f ca="1">IFERROR(IF(OR(23&gt;=$B$1,Suppliers!A23="",NOT(ISNUMBER(Suppliers!D23)),Suppliers!L23="Expired",Suppliers!L23="Terminate"),"",Suppliers!D23*-1*IF(Suppliers!E23="Monthly",IF(AND(ISNUMBER(Suppliers!G23),(YEAR(EDATE(DATE(YEAR(TODAY()),MONTH(TODAY()),1),23))*12+MONTH(EDATE(DATE(YEAR(TODAY()),MONTH(TODAY()),1),23)))&gt;(YEAR(Suppliers!G23)*12+MONTH(Suppliers!G23))),"",1),IF(Suppliers!E23="Quarterly",IF(MOD((YEAR(EDATE(DATE(YEAR(TODAY()),MONTH(TODAY()),1),23))-YEAR(IF(ISNUMBER(Suppliers!F23),Suppliers!F23,DATE(YEAR(TODAY()),MONTH(TODAY()),1))))*12+MONTH(EDATE(DATE(YEAR(TODAY()),MONTH(TODAY()),1),23))-MONTH(IF(ISNUMBER(Suppliers!F23),Suppliers!F23,DATE(YEAR(TODAY()),MONTH(TODAY()),1))),3)=0,1,0),IF(Suppliers!E23="Semi-annual",IF(MOD((YEAR(EDATE(DATE(YEAR(TODAY()),MONTH(TODAY()),1),23))-YEAR(IF(ISNUMBER(Suppliers!F23),Suppliers!F23,DATE(YEAR(TODAY()),MONTH(TODAY()),1))))*12+MONTH(EDATE(DATE(YEAR(TODAY()),MONTH(TODAY()),1),23))-MONTH(IF(ISNUMBER(Suppliers!F23),Suppliers!F23,DATE(YEAR(TODAY()),MONTH(TODAY()),1))),6)=0,1,0),IF(Suppliers!E23="Annual",IF(MOD((YEAR(EDATE(DATE(YEAR(TODAY()),MONTH(TODAY()),1),23))-YEAR(IF(ISNUMBER(Suppliers!F23),Suppliers!F23,DATE(YEAR(TODAY()),MONTH(TODAY()),1))))*12+MONTH(EDATE(DATE(YEAR(TODAY()),MONTH(TODAY()),1),23))-MONTH(IF(ISNUMBER(Suppliers!F23),Suppliers!F23,DATE(YEAR(TODAY()),MONTH(TODAY()),1))),12)=0,1,0),IF(Suppliers!E23="One-time",IF(23=0,1,0),1)))))),"")</f>
        <v/>
      </c>
    </row>
    <row r="26" spans="1:29" ht="15" customHeight="1" x14ac:dyDescent="0.35">
      <c r="A26" s="4" t="s">
        <v>80</v>
      </c>
      <c r="B26" s="4" t="str">
        <f>IF(Suppliers!A24="","",Suppliers!A24)</f>
        <v/>
      </c>
      <c r="C26" s="10" t="str">
        <f>IF(Suppliers!C24="","",Suppliers!C24)</f>
        <v/>
      </c>
      <c r="D26" s="10" t="str">
        <f>IF(Suppliers!D24="","",Suppliers!D24)</f>
        <v/>
      </c>
      <c r="E26" s="4" t="str">
        <f>IF(Suppliers!E24="","",Suppliers!E24)</f>
        <v/>
      </c>
      <c r="F26" s="10" t="str">
        <f ca="1">IFERROR(IF(OR(0&gt;=$B$1,Suppliers!A24="",NOT(ISNUMBER(Suppliers!D24)),Suppliers!L24="Expired",Suppliers!L24="Terminate"),"",Suppliers!D24*-1*IF(Suppliers!E24="Monthly",IF(AND(ISNUMBER(Suppliers!G24),(YEAR(EDATE(DATE(YEAR(TODAY()),MONTH(TODAY()),1),0))*12+MONTH(EDATE(DATE(YEAR(TODAY()),MONTH(TODAY()),1),0)))&gt;(YEAR(Suppliers!G24)*12+MONTH(Suppliers!G24))),"",1),IF(Suppliers!E24="Quarterly",IF(MOD((YEAR(EDATE(DATE(YEAR(TODAY()),MONTH(TODAY()),1),0))-YEAR(IF(ISNUMBER(Suppliers!F24),Suppliers!F24,DATE(YEAR(TODAY()),MONTH(TODAY()),1))))*12+MONTH(EDATE(DATE(YEAR(TODAY()),MONTH(TODAY()),1),0))-MONTH(IF(ISNUMBER(Suppliers!F24),Suppliers!F24,DATE(YEAR(TODAY()),MONTH(TODAY()),1))),3)=0,1,0),IF(Suppliers!E24="Semi-annual",IF(MOD((YEAR(EDATE(DATE(YEAR(TODAY()),MONTH(TODAY()),1),0))-YEAR(IF(ISNUMBER(Suppliers!F24),Suppliers!F24,DATE(YEAR(TODAY()),MONTH(TODAY()),1))))*12+MONTH(EDATE(DATE(YEAR(TODAY()),MONTH(TODAY()),1),0))-MONTH(IF(ISNUMBER(Suppliers!F24),Suppliers!F24,DATE(YEAR(TODAY()),MONTH(TODAY()),1))),6)=0,1,0),IF(Suppliers!E24="Annual",IF(MOD((YEAR(EDATE(DATE(YEAR(TODAY()),MONTH(TODAY()),1),0))-YEAR(IF(ISNUMBER(Suppliers!F24),Suppliers!F24,DATE(YEAR(TODAY()),MONTH(TODAY()),1))))*12+MONTH(EDATE(DATE(YEAR(TODAY()),MONTH(TODAY()),1),0))-MONTH(IF(ISNUMBER(Suppliers!F24),Suppliers!F24,DATE(YEAR(TODAY()),MONTH(TODAY()),1))),12)=0,1,0),IF(Suppliers!E24="One-time",IF(0=0,1,0),1)))))),"")</f>
        <v/>
      </c>
      <c r="G26" s="10" t="str">
        <f ca="1">IFERROR(IF(OR(1&gt;=$B$1,Suppliers!A24="",NOT(ISNUMBER(Suppliers!D24)),Suppliers!L24="Expired",Suppliers!L24="Terminate"),"",Suppliers!D24*-1*IF(Suppliers!E24="Monthly",IF(AND(ISNUMBER(Suppliers!G24),(YEAR(EDATE(DATE(YEAR(TODAY()),MONTH(TODAY()),1),1))*12+MONTH(EDATE(DATE(YEAR(TODAY()),MONTH(TODAY()),1),1)))&gt;(YEAR(Suppliers!G24)*12+MONTH(Suppliers!G24))),"",1),IF(Suppliers!E24="Quarterly",IF(MOD((YEAR(EDATE(DATE(YEAR(TODAY()),MONTH(TODAY()),1),1))-YEAR(IF(ISNUMBER(Suppliers!F24),Suppliers!F24,DATE(YEAR(TODAY()),MONTH(TODAY()),1))))*12+MONTH(EDATE(DATE(YEAR(TODAY()),MONTH(TODAY()),1),1))-MONTH(IF(ISNUMBER(Suppliers!F24),Suppliers!F24,DATE(YEAR(TODAY()),MONTH(TODAY()),1))),3)=0,1,0),IF(Suppliers!E24="Semi-annual",IF(MOD((YEAR(EDATE(DATE(YEAR(TODAY()),MONTH(TODAY()),1),1))-YEAR(IF(ISNUMBER(Suppliers!F24),Suppliers!F24,DATE(YEAR(TODAY()),MONTH(TODAY()),1))))*12+MONTH(EDATE(DATE(YEAR(TODAY()),MONTH(TODAY()),1),1))-MONTH(IF(ISNUMBER(Suppliers!F24),Suppliers!F24,DATE(YEAR(TODAY()),MONTH(TODAY()),1))),6)=0,1,0),IF(Suppliers!E24="Annual",IF(MOD((YEAR(EDATE(DATE(YEAR(TODAY()),MONTH(TODAY()),1),1))-YEAR(IF(ISNUMBER(Suppliers!F24),Suppliers!F24,DATE(YEAR(TODAY()),MONTH(TODAY()),1))))*12+MONTH(EDATE(DATE(YEAR(TODAY()),MONTH(TODAY()),1),1))-MONTH(IF(ISNUMBER(Suppliers!F24),Suppliers!F24,DATE(YEAR(TODAY()),MONTH(TODAY()),1))),12)=0,1,0),IF(Suppliers!E24="One-time",IF(1=0,1,0),1)))))),"")</f>
        <v/>
      </c>
      <c r="H26" s="10" t="str">
        <f ca="1">IFERROR(IF(OR(2&gt;=$B$1,Suppliers!A24="",NOT(ISNUMBER(Suppliers!D24)),Suppliers!L24="Expired",Suppliers!L24="Terminate"),"",Suppliers!D24*-1*IF(Suppliers!E24="Monthly",IF(AND(ISNUMBER(Suppliers!G24),(YEAR(EDATE(DATE(YEAR(TODAY()),MONTH(TODAY()),1),2))*12+MONTH(EDATE(DATE(YEAR(TODAY()),MONTH(TODAY()),1),2)))&gt;(YEAR(Suppliers!G24)*12+MONTH(Suppliers!G24))),"",1),IF(Suppliers!E24="Quarterly",IF(MOD((YEAR(EDATE(DATE(YEAR(TODAY()),MONTH(TODAY()),1),2))-YEAR(IF(ISNUMBER(Suppliers!F24),Suppliers!F24,DATE(YEAR(TODAY()),MONTH(TODAY()),1))))*12+MONTH(EDATE(DATE(YEAR(TODAY()),MONTH(TODAY()),1),2))-MONTH(IF(ISNUMBER(Suppliers!F24),Suppliers!F24,DATE(YEAR(TODAY()),MONTH(TODAY()),1))),3)=0,1,0),IF(Suppliers!E24="Semi-annual",IF(MOD((YEAR(EDATE(DATE(YEAR(TODAY()),MONTH(TODAY()),1),2))-YEAR(IF(ISNUMBER(Suppliers!F24),Suppliers!F24,DATE(YEAR(TODAY()),MONTH(TODAY()),1))))*12+MONTH(EDATE(DATE(YEAR(TODAY()),MONTH(TODAY()),1),2))-MONTH(IF(ISNUMBER(Suppliers!F24),Suppliers!F24,DATE(YEAR(TODAY()),MONTH(TODAY()),1))),6)=0,1,0),IF(Suppliers!E24="Annual",IF(MOD((YEAR(EDATE(DATE(YEAR(TODAY()),MONTH(TODAY()),1),2))-YEAR(IF(ISNUMBER(Suppliers!F24),Suppliers!F24,DATE(YEAR(TODAY()),MONTH(TODAY()),1))))*12+MONTH(EDATE(DATE(YEAR(TODAY()),MONTH(TODAY()),1),2))-MONTH(IF(ISNUMBER(Suppliers!F24),Suppliers!F24,DATE(YEAR(TODAY()),MONTH(TODAY()),1))),12)=0,1,0),IF(Suppliers!E24="One-time",IF(2=0,1,0),1)))))),"")</f>
        <v/>
      </c>
      <c r="I26" s="10" t="str">
        <f ca="1">IFERROR(IF(OR(3&gt;=$B$1,Suppliers!A24="",NOT(ISNUMBER(Suppliers!D24)),Suppliers!L24="Expired",Suppliers!L24="Terminate"),"",Suppliers!D24*-1*IF(Suppliers!E24="Monthly",IF(AND(ISNUMBER(Suppliers!G24),(YEAR(EDATE(DATE(YEAR(TODAY()),MONTH(TODAY()),1),3))*12+MONTH(EDATE(DATE(YEAR(TODAY()),MONTH(TODAY()),1),3)))&gt;(YEAR(Suppliers!G24)*12+MONTH(Suppliers!G24))),"",1),IF(Suppliers!E24="Quarterly",IF(MOD((YEAR(EDATE(DATE(YEAR(TODAY()),MONTH(TODAY()),1),3))-YEAR(IF(ISNUMBER(Suppliers!F24),Suppliers!F24,DATE(YEAR(TODAY()),MONTH(TODAY()),1))))*12+MONTH(EDATE(DATE(YEAR(TODAY()),MONTH(TODAY()),1),3))-MONTH(IF(ISNUMBER(Suppliers!F24),Suppliers!F24,DATE(YEAR(TODAY()),MONTH(TODAY()),1))),3)=0,1,0),IF(Suppliers!E24="Semi-annual",IF(MOD((YEAR(EDATE(DATE(YEAR(TODAY()),MONTH(TODAY()),1),3))-YEAR(IF(ISNUMBER(Suppliers!F24),Suppliers!F24,DATE(YEAR(TODAY()),MONTH(TODAY()),1))))*12+MONTH(EDATE(DATE(YEAR(TODAY()),MONTH(TODAY()),1),3))-MONTH(IF(ISNUMBER(Suppliers!F24),Suppliers!F24,DATE(YEAR(TODAY()),MONTH(TODAY()),1))),6)=0,1,0),IF(Suppliers!E24="Annual",IF(MOD((YEAR(EDATE(DATE(YEAR(TODAY()),MONTH(TODAY()),1),3))-YEAR(IF(ISNUMBER(Suppliers!F24),Suppliers!F24,DATE(YEAR(TODAY()),MONTH(TODAY()),1))))*12+MONTH(EDATE(DATE(YEAR(TODAY()),MONTH(TODAY()),1),3))-MONTH(IF(ISNUMBER(Suppliers!F24),Suppliers!F24,DATE(YEAR(TODAY()),MONTH(TODAY()),1))),12)=0,1,0),IF(Suppliers!E24="One-time",IF(3=0,1,0),1)))))),"")</f>
        <v/>
      </c>
      <c r="J26" s="10" t="str">
        <f ca="1">IFERROR(IF(OR(4&gt;=$B$1,Suppliers!A24="",NOT(ISNUMBER(Suppliers!D24)),Suppliers!L24="Expired",Suppliers!L24="Terminate"),"",Suppliers!D24*-1*IF(Suppliers!E24="Monthly",IF(AND(ISNUMBER(Suppliers!G24),(YEAR(EDATE(DATE(YEAR(TODAY()),MONTH(TODAY()),1),4))*12+MONTH(EDATE(DATE(YEAR(TODAY()),MONTH(TODAY()),1),4)))&gt;(YEAR(Suppliers!G24)*12+MONTH(Suppliers!G24))),"",1),IF(Suppliers!E24="Quarterly",IF(MOD((YEAR(EDATE(DATE(YEAR(TODAY()),MONTH(TODAY()),1),4))-YEAR(IF(ISNUMBER(Suppliers!F24),Suppliers!F24,DATE(YEAR(TODAY()),MONTH(TODAY()),1))))*12+MONTH(EDATE(DATE(YEAR(TODAY()),MONTH(TODAY()),1),4))-MONTH(IF(ISNUMBER(Suppliers!F24),Suppliers!F24,DATE(YEAR(TODAY()),MONTH(TODAY()),1))),3)=0,1,0),IF(Suppliers!E24="Semi-annual",IF(MOD((YEAR(EDATE(DATE(YEAR(TODAY()),MONTH(TODAY()),1),4))-YEAR(IF(ISNUMBER(Suppliers!F24),Suppliers!F24,DATE(YEAR(TODAY()),MONTH(TODAY()),1))))*12+MONTH(EDATE(DATE(YEAR(TODAY()),MONTH(TODAY()),1),4))-MONTH(IF(ISNUMBER(Suppliers!F24),Suppliers!F24,DATE(YEAR(TODAY()),MONTH(TODAY()),1))),6)=0,1,0),IF(Suppliers!E24="Annual",IF(MOD((YEAR(EDATE(DATE(YEAR(TODAY()),MONTH(TODAY()),1),4))-YEAR(IF(ISNUMBER(Suppliers!F24),Suppliers!F24,DATE(YEAR(TODAY()),MONTH(TODAY()),1))))*12+MONTH(EDATE(DATE(YEAR(TODAY()),MONTH(TODAY()),1),4))-MONTH(IF(ISNUMBER(Suppliers!F24),Suppliers!F24,DATE(YEAR(TODAY()),MONTH(TODAY()),1))),12)=0,1,0),IF(Suppliers!E24="One-time",IF(4=0,1,0),1)))))),"")</f>
        <v/>
      </c>
      <c r="K26" s="10" t="str">
        <f ca="1">IFERROR(IF(OR(5&gt;=$B$1,Suppliers!A24="",NOT(ISNUMBER(Suppliers!D24)),Suppliers!L24="Expired",Suppliers!L24="Terminate"),"",Suppliers!D24*-1*IF(Suppliers!E24="Monthly",IF(AND(ISNUMBER(Suppliers!G24),(YEAR(EDATE(DATE(YEAR(TODAY()),MONTH(TODAY()),1),5))*12+MONTH(EDATE(DATE(YEAR(TODAY()),MONTH(TODAY()),1),5)))&gt;(YEAR(Suppliers!G24)*12+MONTH(Suppliers!G24))),"",1),IF(Suppliers!E24="Quarterly",IF(MOD((YEAR(EDATE(DATE(YEAR(TODAY()),MONTH(TODAY()),1),5))-YEAR(IF(ISNUMBER(Suppliers!F24),Suppliers!F24,DATE(YEAR(TODAY()),MONTH(TODAY()),1))))*12+MONTH(EDATE(DATE(YEAR(TODAY()),MONTH(TODAY()),1),5))-MONTH(IF(ISNUMBER(Suppliers!F24),Suppliers!F24,DATE(YEAR(TODAY()),MONTH(TODAY()),1))),3)=0,1,0),IF(Suppliers!E24="Semi-annual",IF(MOD((YEAR(EDATE(DATE(YEAR(TODAY()),MONTH(TODAY()),1),5))-YEAR(IF(ISNUMBER(Suppliers!F24),Suppliers!F24,DATE(YEAR(TODAY()),MONTH(TODAY()),1))))*12+MONTH(EDATE(DATE(YEAR(TODAY()),MONTH(TODAY()),1),5))-MONTH(IF(ISNUMBER(Suppliers!F24),Suppliers!F24,DATE(YEAR(TODAY()),MONTH(TODAY()),1))),6)=0,1,0),IF(Suppliers!E24="Annual",IF(MOD((YEAR(EDATE(DATE(YEAR(TODAY()),MONTH(TODAY()),1),5))-YEAR(IF(ISNUMBER(Suppliers!F24),Suppliers!F24,DATE(YEAR(TODAY()),MONTH(TODAY()),1))))*12+MONTH(EDATE(DATE(YEAR(TODAY()),MONTH(TODAY()),1),5))-MONTH(IF(ISNUMBER(Suppliers!F24),Suppliers!F24,DATE(YEAR(TODAY()),MONTH(TODAY()),1))),12)=0,1,0),IF(Suppliers!E24="One-time",IF(5=0,1,0),1)))))),"")</f>
        <v/>
      </c>
      <c r="L26" s="10" t="str">
        <f ca="1">IFERROR(IF(OR(6&gt;=$B$1,Suppliers!A24="",NOT(ISNUMBER(Suppliers!D24)),Suppliers!L24="Expired",Suppliers!L24="Terminate"),"",Suppliers!D24*-1*IF(Suppliers!E24="Monthly",IF(AND(ISNUMBER(Suppliers!G24),(YEAR(EDATE(DATE(YEAR(TODAY()),MONTH(TODAY()),1),6))*12+MONTH(EDATE(DATE(YEAR(TODAY()),MONTH(TODAY()),1),6)))&gt;(YEAR(Suppliers!G24)*12+MONTH(Suppliers!G24))),"",1),IF(Suppliers!E24="Quarterly",IF(MOD((YEAR(EDATE(DATE(YEAR(TODAY()),MONTH(TODAY()),1),6))-YEAR(IF(ISNUMBER(Suppliers!F24),Suppliers!F24,DATE(YEAR(TODAY()),MONTH(TODAY()),1))))*12+MONTH(EDATE(DATE(YEAR(TODAY()),MONTH(TODAY()),1),6))-MONTH(IF(ISNUMBER(Suppliers!F24),Suppliers!F24,DATE(YEAR(TODAY()),MONTH(TODAY()),1))),3)=0,1,0),IF(Suppliers!E24="Semi-annual",IF(MOD((YEAR(EDATE(DATE(YEAR(TODAY()),MONTH(TODAY()),1),6))-YEAR(IF(ISNUMBER(Suppliers!F24),Suppliers!F24,DATE(YEAR(TODAY()),MONTH(TODAY()),1))))*12+MONTH(EDATE(DATE(YEAR(TODAY()),MONTH(TODAY()),1),6))-MONTH(IF(ISNUMBER(Suppliers!F24),Suppliers!F24,DATE(YEAR(TODAY()),MONTH(TODAY()),1))),6)=0,1,0),IF(Suppliers!E24="Annual",IF(MOD((YEAR(EDATE(DATE(YEAR(TODAY()),MONTH(TODAY()),1),6))-YEAR(IF(ISNUMBER(Suppliers!F24),Suppliers!F24,DATE(YEAR(TODAY()),MONTH(TODAY()),1))))*12+MONTH(EDATE(DATE(YEAR(TODAY()),MONTH(TODAY()),1),6))-MONTH(IF(ISNUMBER(Suppliers!F24),Suppliers!F24,DATE(YEAR(TODAY()),MONTH(TODAY()),1))),12)=0,1,0),IF(Suppliers!E24="One-time",IF(6=0,1,0),1)))))),"")</f>
        <v/>
      </c>
      <c r="M26" s="10" t="str">
        <f ca="1">IFERROR(IF(OR(7&gt;=$B$1,Suppliers!A24="",NOT(ISNUMBER(Suppliers!D24)),Suppliers!L24="Expired",Suppliers!L24="Terminate"),"",Suppliers!D24*-1*IF(Suppliers!E24="Monthly",IF(AND(ISNUMBER(Suppliers!G24),(YEAR(EDATE(DATE(YEAR(TODAY()),MONTH(TODAY()),1),7))*12+MONTH(EDATE(DATE(YEAR(TODAY()),MONTH(TODAY()),1),7)))&gt;(YEAR(Suppliers!G24)*12+MONTH(Suppliers!G24))),"",1),IF(Suppliers!E24="Quarterly",IF(MOD((YEAR(EDATE(DATE(YEAR(TODAY()),MONTH(TODAY()),1),7))-YEAR(IF(ISNUMBER(Suppliers!F24),Suppliers!F24,DATE(YEAR(TODAY()),MONTH(TODAY()),1))))*12+MONTH(EDATE(DATE(YEAR(TODAY()),MONTH(TODAY()),1),7))-MONTH(IF(ISNUMBER(Suppliers!F24),Suppliers!F24,DATE(YEAR(TODAY()),MONTH(TODAY()),1))),3)=0,1,0),IF(Suppliers!E24="Semi-annual",IF(MOD((YEAR(EDATE(DATE(YEAR(TODAY()),MONTH(TODAY()),1),7))-YEAR(IF(ISNUMBER(Suppliers!F24),Suppliers!F24,DATE(YEAR(TODAY()),MONTH(TODAY()),1))))*12+MONTH(EDATE(DATE(YEAR(TODAY()),MONTH(TODAY()),1),7))-MONTH(IF(ISNUMBER(Suppliers!F24),Suppliers!F24,DATE(YEAR(TODAY()),MONTH(TODAY()),1))),6)=0,1,0),IF(Suppliers!E24="Annual",IF(MOD((YEAR(EDATE(DATE(YEAR(TODAY()),MONTH(TODAY()),1),7))-YEAR(IF(ISNUMBER(Suppliers!F24),Suppliers!F24,DATE(YEAR(TODAY()),MONTH(TODAY()),1))))*12+MONTH(EDATE(DATE(YEAR(TODAY()),MONTH(TODAY()),1),7))-MONTH(IF(ISNUMBER(Suppliers!F24),Suppliers!F24,DATE(YEAR(TODAY()),MONTH(TODAY()),1))),12)=0,1,0),IF(Suppliers!E24="One-time",IF(7=0,1,0),1)))))),"")</f>
        <v/>
      </c>
      <c r="N26" s="10" t="str">
        <f ca="1">IFERROR(IF(OR(8&gt;=$B$1,Suppliers!A24="",NOT(ISNUMBER(Suppliers!D24)),Suppliers!L24="Expired",Suppliers!L24="Terminate"),"",Suppliers!D24*-1*IF(Suppliers!E24="Monthly",IF(AND(ISNUMBER(Suppliers!G24),(YEAR(EDATE(DATE(YEAR(TODAY()),MONTH(TODAY()),1),8))*12+MONTH(EDATE(DATE(YEAR(TODAY()),MONTH(TODAY()),1),8)))&gt;(YEAR(Suppliers!G24)*12+MONTH(Suppliers!G24))),"",1),IF(Suppliers!E24="Quarterly",IF(MOD((YEAR(EDATE(DATE(YEAR(TODAY()),MONTH(TODAY()),1),8))-YEAR(IF(ISNUMBER(Suppliers!F24),Suppliers!F24,DATE(YEAR(TODAY()),MONTH(TODAY()),1))))*12+MONTH(EDATE(DATE(YEAR(TODAY()),MONTH(TODAY()),1),8))-MONTH(IF(ISNUMBER(Suppliers!F24),Suppliers!F24,DATE(YEAR(TODAY()),MONTH(TODAY()),1))),3)=0,1,0),IF(Suppliers!E24="Semi-annual",IF(MOD((YEAR(EDATE(DATE(YEAR(TODAY()),MONTH(TODAY()),1),8))-YEAR(IF(ISNUMBER(Suppliers!F24),Suppliers!F24,DATE(YEAR(TODAY()),MONTH(TODAY()),1))))*12+MONTH(EDATE(DATE(YEAR(TODAY()),MONTH(TODAY()),1),8))-MONTH(IF(ISNUMBER(Suppliers!F24),Suppliers!F24,DATE(YEAR(TODAY()),MONTH(TODAY()),1))),6)=0,1,0),IF(Suppliers!E24="Annual",IF(MOD((YEAR(EDATE(DATE(YEAR(TODAY()),MONTH(TODAY()),1),8))-YEAR(IF(ISNUMBER(Suppliers!F24),Suppliers!F24,DATE(YEAR(TODAY()),MONTH(TODAY()),1))))*12+MONTH(EDATE(DATE(YEAR(TODAY()),MONTH(TODAY()),1),8))-MONTH(IF(ISNUMBER(Suppliers!F24),Suppliers!F24,DATE(YEAR(TODAY()),MONTH(TODAY()),1))),12)=0,1,0),IF(Suppliers!E24="One-time",IF(8=0,1,0),1)))))),"")</f>
        <v/>
      </c>
      <c r="O26" s="10" t="str">
        <f ca="1">IFERROR(IF(OR(9&gt;=$B$1,Suppliers!A24="",NOT(ISNUMBER(Suppliers!D24)),Suppliers!L24="Expired",Suppliers!L24="Terminate"),"",Suppliers!D24*-1*IF(Suppliers!E24="Monthly",IF(AND(ISNUMBER(Suppliers!G24),(YEAR(EDATE(DATE(YEAR(TODAY()),MONTH(TODAY()),1),9))*12+MONTH(EDATE(DATE(YEAR(TODAY()),MONTH(TODAY()),1),9)))&gt;(YEAR(Suppliers!G24)*12+MONTH(Suppliers!G24))),"",1),IF(Suppliers!E24="Quarterly",IF(MOD((YEAR(EDATE(DATE(YEAR(TODAY()),MONTH(TODAY()),1),9))-YEAR(IF(ISNUMBER(Suppliers!F24),Suppliers!F24,DATE(YEAR(TODAY()),MONTH(TODAY()),1))))*12+MONTH(EDATE(DATE(YEAR(TODAY()),MONTH(TODAY()),1),9))-MONTH(IF(ISNUMBER(Suppliers!F24),Suppliers!F24,DATE(YEAR(TODAY()),MONTH(TODAY()),1))),3)=0,1,0),IF(Suppliers!E24="Semi-annual",IF(MOD((YEAR(EDATE(DATE(YEAR(TODAY()),MONTH(TODAY()),1),9))-YEAR(IF(ISNUMBER(Suppliers!F24),Suppliers!F24,DATE(YEAR(TODAY()),MONTH(TODAY()),1))))*12+MONTH(EDATE(DATE(YEAR(TODAY()),MONTH(TODAY()),1),9))-MONTH(IF(ISNUMBER(Suppliers!F24),Suppliers!F24,DATE(YEAR(TODAY()),MONTH(TODAY()),1))),6)=0,1,0),IF(Suppliers!E24="Annual",IF(MOD((YEAR(EDATE(DATE(YEAR(TODAY()),MONTH(TODAY()),1),9))-YEAR(IF(ISNUMBER(Suppliers!F24),Suppliers!F24,DATE(YEAR(TODAY()),MONTH(TODAY()),1))))*12+MONTH(EDATE(DATE(YEAR(TODAY()),MONTH(TODAY()),1),9))-MONTH(IF(ISNUMBER(Suppliers!F24),Suppliers!F24,DATE(YEAR(TODAY()),MONTH(TODAY()),1))),12)=0,1,0),IF(Suppliers!E24="One-time",IF(9=0,1,0),1)))))),"")</f>
        <v/>
      </c>
      <c r="P26" s="10" t="str">
        <f ca="1">IFERROR(IF(OR(10&gt;=$B$1,Suppliers!A24="",NOT(ISNUMBER(Suppliers!D24)),Suppliers!L24="Expired",Suppliers!L24="Terminate"),"",Suppliers!D24*-1*IF(Suppliers!E24="Monthly",IF(AND(ISNUMBER(Suppliers!G24),(YEAR(EDATE(DATE(YEAR(TODAY()),MONTH(TODAY()),1),10))*12+MONTH(EDATE(DATE(YEAR(TODAY()),MONTH(TODAY()),1),10)))&gt;(YEAR(Suppliers!G24)*12+MONTH(Suppliers!G24))),"",1),IF(Suppliers!E24="Quarterly",IF(MOD((YEAR(EDATE(DATE(YEAR(TODAY()),MONTH(TODAY()),1),10))-YEAR(IF(ISNUMBER(Suppliers!F24),Suppliers!F24,DATE(YEAR(TODAY()),MONTH(TODAY()),1))))*12+MONTH(EDATE(DATE(YEAR(TODAY()),MONTH(TODAY()),1),10))-MONTH(IF(ISNUMBER(Suppliers!F24),Suppliers!F24,DATE(YEAR(TODAY()),MONTH(TODAY()),1))),3)=0,1,0),IF(Suppliers!E24="Semi-annual",IF(MOD((YEAR(EDATE(DATE(YEAR(TODAY()),MONTH(TODAY()),1),10))-YEAR(IF(ISNUMBER(Suppliers!F24),Suppliers!F24,DATE(YEAR(TODAY()),MONTH(TODAY()),1))))*12+MONTH(EDATE(DATE(YEAR(TODAY()),MONTH(TODAY()),1),10))-MONTH(IF(ISNUMBER(Suppliers!F24),Suppliers!F24,DATE(YEAR(TODAY()),MONTH(TODAY()),1))),6)=0,1,0),IF(Suppliers!E24="Annual",IF(MOD((YEAR(EDATE(DATE(YEAR(TODAY()),MONTH(TODAY()),1),10))-YEAR(IF(ISNUMBER(Suppliers!F24),Suppliers!F24,DATE(YEAR(TODAY()),MONTH(TODAY()),1))))*12+MONTH(EDATE(DATE(YEAR(TODAY()),MONTH(TODAY()),1),10))-MONTH(IF(ISNUMBER(Suppliers!F24),Suppliers!F24,DATE(YEAR(TODAY()),MONTH(TODAY()),1))),12)=0,1,0),IF(Suppliers!E24="One-time",IF(10=0,1,0),1)))))),"")</f>
        <v/>
      </c>
      <c r="Q26" s="10" t="str">
        <f ca="1">IFERROR(IF(OR(11&gt;=$B$1,Suppliers!A24="",NOT(ISNUMBER(Suppliers!D24)),Suppliers!L24="Expired",Suppliers!L24="Terminate"),"",Suppliers!D24*-1*IF(Suppliers!E24="Monthly",IF(AND(ISNUMBER(Suppliers!G24),(YEAR(EDATE(DATE(YEAR(TODAY()),MONTH(TODAY()),1),11))*12+MONTH(EDATE(DATE(YEAR(TODAY()),MONTH(TODAY()),1),11)))&gt;(YEAR(Suppliers!G24)*12+MONTH(Suppliers!G24))),"",1),IF(Suppliers!E24="Quarterly",IF(MOD((YEAR(EDATE(DATE(YEAR(TODAY()),MONTH(TODAY()),1),11))-YEAR(IF(ISNUMBER(Suppliers!F24),Suppliers!F24,DATE(YEAR(TODAY()),MONTH(TODAY()),1))))*12+MONTH(EDATE(DATE(YEAR(TODAY()),MONTH(TODAY()),1),11))-MONTH(IF(ISNUMBER(Suppliers!F24),Suppliers!F24,DATE(YEAR(TODAY()),MONTH(TODAY()),1))),3)=0,1,0),IF(Suppliers!E24="Semi-annual",IF(MOD((YEAR(EDATE(DATE(YEAR(TODAY()),MONTH(TODAY()),1),11))-YEAR(IF(ISNUMBER(Suppliers!F24),Suppliers!F24,DATE(YEAR(TODAY()),MONTH(TODAY()),1))))*12+MONTH(EDATE(DATE(YEAR(TODAY()),MONTH(TODAY()),1),11))-MONTH(IF(ISNUMBER(Suppliers!F24),Suppliers!F24,DATE(YEAR(TODAY()),MONTH(TODAY()),1))),6)=0,1,0),IF(Suppliers!E24="Annual",IF(MOD((YEAR(EDATE(DATE(YEAR(TODAY()),MONTH(TODAY()),1),11))-YEAR(IF(ISNUMBER(Suppliers!F24),Suppliers!F24,DATE(YEAR(TODAY()),MONTH(TODAY()),1))))*12+MONTH(EDATE(DATE(YEAR(TODAY()),MONTH(TODAY()),1),11))-MONTH(IF(ISNUMBER(Suppliers!F24),Suppliers!F24,DATE(YEAR(TODAY()),MONTH(TODAY()),1))),12)=0,1,0),IF(Suppliers!E24="One-time",IF(11=0,1,0),1)))))),"")</f>
        <v/>
      </c>
      <c r="R26" s="10" t="str">
        <f ca="1">IFERROR(IF(OR(12&gt;=$B$1,Suppliers!A24="",NOT(ISNUMBER(Suppliers!D24)),Suppliers!L24="Expired",Suppliers!L24="Terminate"),"",Suppliers!D24*-1*IF(Suppliers!E24="Monthly",IF(AND(ISNUMBER(Suppliers!G24),(YEAR(EDATE(DATE(YEAR(TODAY()),MONTH(TODAY()),1),12))*12+MONTH(EDATE(DATE(YEAR(TODAY()),MONTH(TODAY()),1),12)))&gt;(YEAR(Suppliers!G24)*12+MONTH(Suppliers!G24))),"",1),IF(Suppliers!E24="Quarterly",IF(MOD((YEAR(EDATE(DATE(YEAR(TODAY()),MONTH(TODAY()),1),12))-YEAR(IF(ISNUMBER(Suppliers!F24),Suppliers!F24,DATE(YEAR(TODAY()),MONTH(TODAY()),1))))*12+MONTH(EDATE(DATE(YEAR(TODAY()),MONTH(TODAY()),1),12))-MONTH(IF(ISNUMBER(Suppliers!F24),Suppliers!F24,DATE(YEAR(TODAY()),MONTH(TODAY()),1))),3)=0,1,0),IF(Suppliers!E24="Semi-annual",IF(MOD((YEAR(EDATE(DATE(YEAR(TODAY()),MONTH(TODAY()),1),12))-YEAR(IF(ISNUMBER(Suppliers!F24),Suppliers!F24,DATE(YEAR(TODAY()),MONTH(TODAY()),1))))*12+MONTH(EDATE(DATE(YEAR(TODAY()),MONTH(TODAY()),1),12))-MONTH(IF(ISNUMBER(Suppliers!F24),Suppliers!F24,DATE(YEAR(TODAY()),MONTH(TODAY()),1))),6)=0,1,0),IF(Suppliers!E24="Annual",IF(MOD((YEAR(EDATE(DATE(YEAR(TODAY()),MONTH(TODAY()),1),12))-YEAR(IF(ISNUMBER(Suppliers!F24),Suppliers!F24,DATE(YEAR(TODAY()),MONTH(TODAY()),1))))*12+MONTH(EDATE(DATE(YEAR(TODAY()),MONTH(TODAY()),1),12))-MONTH(IF(ISNUMBER(Suppliers!F24),Suppliers!F24,DATE(YEAR(TODAY()),MONTH(TODAY()),1))),12)=0,1,0),IF(Suppliers!E24="One-time",IF(12=0,1,0),1)))))),"")</f>
        <v/>
      </c>
      <c r="S26" s="10" t="str">
        <f ca="1">IFERROR(IF(OR(13&gt;=$B$1,Suppliers!A24="",NOT(ISNUMBER(Suppliers!D24)),Suppliers!L24="Expired",Suppliers!L24="Terminate"),"",Suppliers!D24*-1*IF(Suppliers!E24="Monthly",IF(AND(ISNUMBER(Suppliers!G24),(YEAR(EDATE(DATE(YEAR(TODAY()),MONTH(TODAY()),1),13))*12+MONTH(EDATE(DATE(YEAR(TODAY()),MONTH(TODAY()),1),13)))&gt;(YEAR(Suppliers!G24)*12+MONTH(Suppliers!G24))),"",1),IF(Suppliers!E24="Quarterly",IF(MOD((YEAR(EDATE(DATE(YEAR(TODAY()),MONTH(TODAY()),1),13))-YEAR(IF(ISNUMBER(Suppliers!F24),Suppliers!F24,DATE(YEAR(TODAY()),MONTH(TODAY()),1))))*12+MONTH(EDATE(DATE(YEAR(TODAY()),MONTH(TODAY()),1),13))-MONTH(IF(ISNUMBER(Suppliers!F24),Suppliers!F24,DATE(YEAR(TODAY()),MONTH(TODAY()),1))),3)=0,1,0),IF(Suppliers!E24="Semi-annual",IF(MOD((YEAR(EDATE(DATE(YEAR(TODAY()),MONTH(TODAY()),1),13))-YEAR(IF(ISNUMBER(Suppliers!F24),Suppliers!F24,DATE(YEAR(TODAY()),MONTH(TODAY()),1))))*12+MONTH(EDATE(DATE(YEAR(TODAY()),MONTH(TODAY()),1),13))-MONTH(IF(ISNUMBER(Suppliers!F24),Suppliers!F24,DATE(YEAR(TODAY()),MONTH(TODAY()),1))),6)=0,1,0),IF(Suppliers!E24="Annual",IF(MOD((YEAR(EDATE(DATE(YEAR(TODAY()),MONTH(TODAY()),1),13))-YEAR(IF(ISNUMBER(Suppliers!F24),Suppliers!F24,DATE(YEAR(TODAY()),MONTH(TODAY()),1))))*12+MONTH(EDATE(DATE(YEAR(TODAY()),MONTH(TODAY()),1),13))-MONTH(IF(ISNUMBER(Suppliers!F24),Suppliers!F24,DATE(YEAR(TODAY()),MONTH(TODAY()),1))),12)=0,1,0),IF(Suppliers!E24="One-time",IF(13=0,1,0),1)))))),"")</f>
        <v/>
      </c>
      <c r="T26" s="10" t="str">
        <f ca="1">IFERROR(IF(OR(14&gt;=$B$1,Suppliers!A24="",NOT(ISNUMBER(Suppliers!D24)),Suppliers!L24="Expired",Suppliers!L24="Terminate"),"",Suppliers!D24*-1*IF(Suppliers!E24="Monthly",IF(AND(ISNUMBER(Suppliers!G24),(YEAR(EDATE(DATE(YEAR(TODAY()),MONTH(TODAY()),1),14))*12+MONTH(EDATE(DATE(YEAR(TODAY()),MONTH(TODAY()),1),14)))&gt;(YEAR(Suppliers!G24)*12+MONTH(Suppliers!G24))),"",1),IF(Suppliers!E24="Quarterly",IF(MOD((YEAR(EDATE(DATE(YEAR(TODAY()),MONTH(TODAY()),1),14))-YEAR(IF(ISNUMBER(Suppliers!F24),Suppliers!F24,DATE(YEAR(TODAY()),MONTH(TODAY()),1))))*12+MONTH(EDATE(DATE(YEAR(TODAY()),MONTH(TODAY()),1),14))-MONTH(IF(ISNUMBER(Suppliers!F24),Suppliers!F24,DATE(YEAR(TODAY()),MONTH(TODAY()),1))),3)=0,1,0),IF(Suppliers!E24="Semi-annual",IF(MOD((YEAR(EDATE(DATE(YEAR(TODAY()),MONTH(TODAY()),1),14))-YEAR(IF(ISNUMBER(Suppliers!F24),Suppliers!F24,DATE(YEAR(TODAY()),MONTH(TODAY()),1))))*12+MONTH(EDATE(DATE(YEAR(TODAY()),MONTH(TODAY()),1),14))-MONTH(IF(ISNUMBER(Suppliers!F24),Suppliers!F24,DATE(YEAR(TODAY()),MONTH(TODAY()),1))),6)=0,1,0),IF(Suppliers!E24="Annual",IF(MOD((YEAR(EDATE(DATE(YEAR(TODAY()),MONTH(TODAY()),1),14))-YEAR(IF(ISNUMBER(Suppliers!F24),Suppliers!F24,DATE(YEAR(TODAY()),MONTH(TODAY()),1))))*12+MONTH(EDATE(DATE(YEAR(TODAY()),MONTH(TODAY()),1),14))-MONTH(IF(ISNUMBER(Suppliers!F24),Suppliers!F24,DATE(YEAR(TODAY()),MONTH(TODAY()),1))),12)=0,1,0),IF(Suppliers!E24="One-time",IF(14=0,1,0),1)))))),"")</f>
        <v/>
      </c>
      <c r="U26" s="10" t="str">
        <f ca="1">IFERROR(IF(OR(15&gt;=$B$1,Suppliers!A24="",NOT(ISNUMBER(Suppliers!D24)),Suppliers!L24="Expired",Suppliers!L24="Terminate"),"",Suppliers!D24*-1*IF(Suppliers!E24="Monthly",IF(AND(ISNUMBER(Suppliers!G24),(YEAR(EDATE(DATE(YEAR(TODAY()),MONTH(TODAY()),1),15))*12+MONTH(EDATE(DATE(YEAR(TODAY()),MONTH(TODAY()),1),15)))&gt;(YEAR(Suppliers!G24)*12+MONTH(Suppliers!G24))),"",1),IF(Suppliers!E24="Quarterly",IF(MOD((YEAR(EDATE(DATE(YEAR(TODAY()),MONTH(TODAY()),1),15))-YEAR(IF(ISNUMBER(Suppliers!F24),Suppliers!F24,DATE(YEAR(TODAY()),MONTH(TODAY()),1))))*12+MONTH(EDATE(DATE(YEAR(TODAY()),MONTH(TODAY()),1),15))-MONTH(IF(ISNUMBER(Suppliers!F24),Suppliers!F24,DATE(YEAR(TODAY()),MONTH(TODAY()),1))),3)=0,1,0),IF(Suppliers!E24="Semi-annual",IF(MOD((YEAR(EDATE(DATE(YEAR(TODAY()),MONTH(TODAY()),1),15))-YEAR(IF(ISNUMBER(Suppliers!F24),Suppliers!F24,DATE(YEAR(TODAY()),MONTH(TODAY()),1))))*12+MONTH(EDATE(DATE(YEAR(TODAY()),MONTH(TODAY()),1),15))-MONTH(IF(ISNUMBER(Suppliers!F24),Suppliers!F24,DATE(YEAR(TODAY()),MONTH(TODAY()),1))),6)=0,1,0),IF(Suppliers!E24="Annual",IF(MOD((YEAR(EDATE(DATE(YEAR(TODAY()),MONTH(TODAY()),1),15))-YEAR(IF(ISNUMBER(Suppliers!F24),Suppliers!F24,DATE(YEAR(TODAY()),MONTH(TODAY()),1))))*12+MONTH(EDATE(DATE(YEAR(TODAY()),MONTH(TODAY()),1),15))-MONTH(IF(ISNUMBER(Suppliers!F24),Suppliers!F24,DATE(YEAR(TODAY()),MONTH(TODAY()),1))),12)=0,1,0),IF(Suppliers!E24="One-time",IF(15=0,1,0),1)))))),"")</f>
        <v/>
      </c>
      <c r="V26" s="10" t="str">
        <f ca="1">IFERROR(IF(OR(16&gt;=$B$1,Suppliers!A24="",NOT(ISNUMBER(Suppliers!D24)),Suppliers!L24="Expired",Suppliers!L24="Terminate"),"",Suppliers!D24*-1*IF(Suppliers!E24="Monthly",IF(AND(ISNUMBER(Suppliers!G24),(YEAR(EDATE(DATE(YEAR(TODAY()),MONTH(TODAY()),1),16))*12+MONTH(EDATE(DATE(YEAR(TODAY()),MONTH(TODAY()),1),16)))&gt;(YEAR(Suppliers!G24)*12+MONTH(Suppliers!G24))),"",1),IF(Suppliers!E24="Quarterly",IF(MOD((YEAR(EDATE(DATE(YEAR(TODAY()),MONTH(TODAY()),1),16))-YEAR(IF(ISNUMBER(Suppliers!F24),Suppliers!F24,DATE(YEAR(TODAY()),MONTH(TODAY()),1))))*12+MONTH(EDATE(DATE(YEAR(TODAY()),MONTH(TODAY()),1),16))-MONTH(IF(ISNUMBER(Suppliers!F24),Suppliers!F24,DATE(YEAR(TODAY()),MONTH(TODAY()),1))),3)=0,1,0),IF(Suppliers!E24="Semi-annual",IF(MOD((YEAR(EDATE(DATE(YEAR(TODAY()),MONTH(TODAY()),1),16))-YEAR(IF(ISNUMBER(Suppliers!F24),Suppliers!F24,DATE(YEAR(TODAY()),MONTH(TODAY()),1))))*12+MONTH(EDATE(DATE(YEAR(TODAY()),MONTH(TODAY()),1),16))-MONTH(IF(ISNUMBER(Suppliers!F24),Suppliers!F24,DATE(YEAR(TODAY()),MONTH(TODAY()),1))),6)=0,1,0),IF(Suppliers!E24="Annual",IF(MOD((YEAR(EDATE(DATE(YEAR(TODAY()),MONTH(TODAY()),1),16))-YEAR(IF(ISNUMBER(Suppliers!F24),Suppliers!F24,DATE(YEAR(TODAY()),MONTH(TODAY()),1))))*12+MONTH(EDATE(DATE(YEAR(TODAY()),MONTH(TODAY()),1),16))-MONTH(IF(ISNUMBER(Suppliers!F24),Suppliers!F24,DATE(YEAR(TODAY()),MONTH(TODAY()),1))),12)=0,1,0),IF(Suppliers!E24="One-time",IF(16=0,1,0),1)))))),"")</f>
        <v/>
      </c>
      <c r="W26" s="10" t="str">
        <f ca="1">IFERROR(IF(OR(17&gt;=$B$1,Suppliers!A24="",NOT(ISNUMBER(Suppliers!D24)),Suppliers!L24="Expired",Suppliers!L24="Terminate"),"",Suppliers!D24*-1*IF(Suppliers!E24="Monthly",IF(AND(ISNUMBER(Suppliers!G24),(YEAR(EDATE(DATE(YEAR(TODAY()),MONTH(TODAY()),1),17))*12+MONTH(EDATE(DATE(YEAR(TODAY()),MONTH(TODAY()),1),17)))&gt;(YEAR(Suppliers!G24)*12+MONTH(Suppliers!G24))),"",1),IF(Suppliers!E24="Quarterly",IF(MOD((YEAR(EDATE(DATE(YEAR(TODAY()),MONTH(TODAY()),1),17))-YEAR(IF(ISNUMBER(Suppliers!F24),Suppliers!F24,DATE(YEAR(TODAY()),MONTH(TODAY()),1))))*12+MONTH(EDATE(DATE(YEAR(TODAY()),MONTH(TODAY()),1),17))-MONTH(IF(ISNUMBER(Suppliers!F24),Suppliers!F24,DATE(YEAR(TODAY()),MONTH(TODAY()),1))),3)=0,1,0),IF(Suppliers!E24="Semi-annual",IF(MOD((YEAR(EDATE(DATE(YEAR(TODAY()),MONTH(TODAY()),1),17))-YEAR(IF(ISNUMBER(Suppliers!F24),Suppliers!F24,DATE(YEAR(TODAY()),MONTH(TODAY()),1))))*12+MONTH(EDATE(DATE(YEAR(TODAY()),MONTH(TODAY()),1),17))-MONTH(IF(ISNUMBER(Suppliers!F24),Suppliers!F24,DATE(YEAR(TODAY()),MONTH(TODAY()),1))),6)=0,1,0),IF(Suppliers!E24="Annual",IF(MOD((YEAR(EDATE(DATE(YEAR(TODAY()),MONTH(TODAY()),1),17))-YEAR(IF(ISNUMBER(Suppliers!F24),Suppliers!F24,DATE(YEAR(TODAY()),MONTH(TODAY()),1))))*12+MONTH(EDATE(DATE(YEAR(TODAY()),MONTH(TODAY()),1),17))-MONTH(IF(ISNUMBER(Suppliers!F24),Suppliers!F24,DATE(YEAR(TODAY()),MONTH(TODAY()),1))),12)=0,1,0),IF(Suppliers!E24="One-time",IF(17=0,1,0),1)))))),"")</f>
        <v/>
      </c>
      <c r="X26" s="10" t="str">
        <f ca="1">IFERROR(IF(OR(18&gt;=$B$1,Suppliers!A24="",NOT(ISNUMBER(Suppliers!D24)),Suppliers!L24="Expired",Suppliers!L24="Terminate"),"",Suppliers!D24*-1*IF(Suppliers!E24="Monthly",IF(AND(ISNUMBER(Suppliers!G24),(YEAR(EDATE(DATE(YEAR(TODAY()),MONTH(TODAY()),1),18))*12+MONTH(EDATE(DATE(YEAR(TODAY()),MONTH(TODAY()),1),18)))&gt;(YEAR(Suppliers!G24)*12+MONTH(Suppliers!G24))),"",1),IF(Suppliers!E24="Quarterly",IF(MOD((YEAR(EDATE(DATE(YEAR(TODAY()),MONTH(TODAY()),1),18))-YEAR(IF(ISNUMBER(Suppliers!F24),Suppliers!F24,DATE(YEAR(TODAY()),MONTH(TODAY()),1))))*12+MONTH(EDATE(DATE(YEAR(TODAY()),MONTH(TODAY()),1),18))-MONTH(IF(ISNUMBER(Suppliers!F24),Suppliers!F24,DATE(YEAR(TODAY()),MONTH(TODAY()),1))),3)=0,1,0),IF(Suppliers!E24="Semi-annual",IF(MOD((YEAR(EDATE(DATE(YEAR(TODAY()),MONTH(TODAY()),1),18))-YEAR(IF(ISNUMBER(Suppliers!F24),Suppliers!F24,DATE(YEAR(TODAY()),MONTH(TODAY()),1))))*12+MONTH(EDATE(DATE(YEAR(TODAY()),MONTH(TODAY()),1),18))-MONTH(IF(ISNUMBER(Suppliers!F24),Suppliers!F24,DATE(YEAR(TODAY()),MONTH(TODAY()),1))),6)=0,1,0),IF(Suppliers!E24="Annual",IF(MOD((YEAR(EDATE(DATE(YEAR(TODAY()),MONTH(TODAY()),1),18))-YEAR(IF(ISNUMBER(Suppliers!F24),Suppliers!F24,DATE(YEAR(TODAY()),MONTH(TODAY()),1))))*12+MONTH(EDATE(DATE(YEAR(TODAY()),MONTH(TODAY()),1),18))-MONTH(IF(ISNUMBER(Suppliers!F24),Suppliers!F24,DATE(YEAR(TODAY()),MONTH(TODAY()),1))),12)=0,1,0),IF(Suppliers!E24="One-time",IF(18=0,1,0),1)))))),"")</f>
        <v/>
      </c>
      <c r="Y26" s="10" t="str">
        <f ca="1">IFERROR(IF(OR(19&gt;=$B$1,Suppliers!A24="",NOT(ISNUMBER(Suppliers!D24)),Suppliers!L24="Expired",Suppliers!L24="Terminate"),"",Suppliers!D24*-1*IF(Suppliers!E24="Monthly",IF(AND(ISNUMBER(Suppliers!G24),(YEAR(EDATE(DATE(YEAR(TODAY()),MONTH(TODAY()),1),19))*12+MONTH(EDATE(DATE(YEAR(TODAY()),MONTH(TODAY()),1),19)))&gt;(YEAR(Suppliers!G24)*12+MONTH(Suppliers!G24))),"",1),IF(Suppliers!E24="Quarterly",IF(MOD((YEAR(EDATE(DATE(YEAR(TODAY()),MONTH(TODAY()),1),19))-YEAR(IF(ISNUMBER(Suppliers!F24),Suppliers!F24,DATE(YEAR(TODAY()),MONTH(TODAY()),1))))*12+MONTH(EDATE(DATE(YEAR(TODAY()),MONTH(TODAY()),1),19))-MONTH(IF(ISNUMBER(Suppliers!F24),Suppliers!F24,DATE(YEAR(TODAY()),MONTH(TODAY()),1))),3)=0,1,0),IF(Suppliers!E24="Semi-annual",IF(MOD((YEAR(EDATE(DATE(YEAR(TODAY()),MONTH(TODAY()),1),19))-YEAR(IF(ISNUMBER(Suppliers!F24),Suppliers!F24,DATE(YEAR(TODAY()),MONTH(TODAY()),1))))*12+MONTH(EDATE(DATE(YEAR(TODAY()),MONTH(TODAY()),1),19))-MONTH(IF(ISNUMBER(Suppliers!F24),Suppliers!F24,DATE(YEAR(TODAY()),MONTH(TODAY()),1))),6)=0,1,0),IF(Suppliers!E24="Annual",IF(MOD((YEAR(EDATE(DATE(YEAR(TODAY()),MONTH(TODAY()),1),19))-YEAR(IF(ISNUMBER(Suppliers!F24),Suppliers!F24,DATE(YEAR(TODAY()),MONTH(TODAY()),1))))*12+MONTH(EDATE(DATE(YEAR(TODAY()),MONTH(TODAY()),1),19))-MONTH(IF(ISNUMBER(Suppliers!F24),Suppliers!F24,DATE(YEAR(TODAY()),MONTH(TODAY()),1))),12)=0,1,0),IF(Suppliers!E24="One-time",IF(19=0,1,0),1)))))),"")</f>
        <v/>
      </c>
      <c r="Z26" s="10" t="str">
        <f ca="1">IFERROR(IF(OR(20&gt;=$B$1,Suppliers!A24="",NOT(ISNUMBER(Suppliers!D24)),Suppliers!L24="Expired",Suppliers!L24="Terminate"),"",Suppliers!D24*-1*IF(Suppliers!E24="Monthly",IF(AND(ISNUMBER(Suppliers!G24),(YEAR(EDATE(DATE(YEAR(TODAY()),MONTH(TODAY()),1),20))*12+MONTH(EDATE(DATE(YEAR(TODAY()),MONTH(TODAY()),1),20)))&gt;(YEAR(Suppliers!G24)*12+MONTH(Suppliers!G24))),"",1),IF(Suppliers!E24="Quarterly",IF(MOD((YEAR(EDATE(DATE(YEAR(TODAY()),MONTH(TODAY()),1),20))-YEAR(IF(ISNUMBER(Suppliers!F24),Suppliers!F24,DATE(YEAR(TODAY()),MONTH(TODAY()),1))))*12+MONTH(EDATE(DATE(YEAR(TODAY()),MONTH(TODAY()),1),20))-MONTH(IF(ISNUMBER(Suppliers!F24),Suppliers!F24,DATE(YEAR(TODAY()),MONTH(TODAY()),1))),3)=0,1,0),IF(Suppliers!E24="Semi-annual",IF(MOD((YEAR(EDATE(DATE(YEAR(TODAY()),MONTH(TODAY()),1),20))-YEAR(IF(ISNUMBER(Suppliers!F24),Suppliers!F24,DATE(YEAR(TODAY()),MONTH(TODAY()),1))))*12+MONTH(EDATE(DATE(YEAR(TODAY()),MONTH(TODAY()),1),20))-MONTH(IF(ISNUMBER(Suppliers!F24),Suppliers!F24,DATE(YEAR(TODAY()),MONTH(TODAY()),1))),6)=0,1,0),IF(Suppliers!E24="Annual",IF(MOD((YEAR(EDATE(DATE(YEAR(TODAY()),MONTH(TODAY()),1),20))-YEAR(IF(ISNUMBER(Suppliers!F24),Suppliers!F24,DATE(YEAR(TODAY()),MONTH(TODAY()),1))))*12+MONTH(EDATE(DATE(YEAR(TODAY()),MONTH(TODAY()),1),20))-MONTH(IF(ISNUMBER(Suppliers!F24),Suppliers!F24,DATE(YEAR(TODAY()),MONTH(TODAY()),1))),12)=0,1,0),IF(Suppliers!E24="One-time",IF(20=0,1,0),1)))))),"")</f>
        <v/>
      </c>
      <c r="AA26" s="10" t="str">
        <f ca="1">IFERROR(IF(OR(21&gt;=$B$1,Suppliers!A24="",NOT(ISNUMBER(Suppliers!D24)),Suppliers!L24="Expired",Suppliers!L24="Terminate"),"",Suppliers!D24*-1*IF(Suppliers!E24="Monthly",IF(AND(ISNUMBER(Suppliers!G24),(YEAR(EDATE(DATE(YEAR(TODAY()),MONTH(TODAY()),1),21))*12+MONTH(EDATE(DATE(YEAR(TODAY()),MONTH(TODAY()),1),21)))&gt;(YEAR(Suppliers!G24)*12+MONTH(Suppliers!G24))),"",1),IF(Suppliers!E24="Quarterly",IF(MOD((YEAR(EDATE(DATE(YEAR(TODAY()),MONTH(TODAY()),1),21))-YEAR(IF(ISNUMBER(Suppliers!F24),Suppliers!F24,DATE(YEAR(TODAY()),MONTH(TODAY()),1))))*12+MONTH(EDATE(DATE(YEAR(TODAY()),MONTH(TODAY()),1),21))-MONTH(IF(ISNUMBER(Suppliers!F24),Suppliers!F24,DATE(YEAR(TODAY()),MONTH(TODAY()),1))),3)=0,1,0),IF(Suppliers!E24="Semi-annual",IF(MOD((YEAR(EDATE(DATE(YEAR(TODAY()),MONTH(TODAY()),1),21))-YEAR(IF(ISNUMBER(Suppliers!F24),Suppliers!F24,DATE(YEAR(TODAY()),MONTH(TODAY()),1))))*12+MONTH(EDATE(DATE(YEAR(TODAY()),MONTH(TODAY()),1),21))-MONTH(IF(ISNUMBER(Suppliers!F24),Suppliers!F24,DATE(YEAR(TODAY()),MONTH(TODAY()),1))),6)=0,1,0),IF(Suppliers!E24="Annual",IF(MOD((YEAR(EDATE(DATE(YEAR(TODAY()),MONTH(TODAY()),1),21))-YEAR(IF(ISNUMBER(Suppliers!F24),Suppliers!F24,DATE(YEAR(TODAY()),MONTH(TODAY()),1))))*12+MONTH(EDATE(DATE(YEAR(TODAY()),MONTH(TODAY()),1),21))-MONTH(IF(ISNUMBER(Suppliers!F24),Suppliers!F24,DATE(YEAR(TODAY()),MONTH(TODAY()),1))),12)=0,1,0),IF(Suppliers!E24="One-time",IF(21=0,1,0),1)))))),"")</f>
        <v/>
      </c>
      <c r="AB26" s="10" t="str">
        <f ca="1">IFERROR(IF(OR(22&gt;=$B$1,Suppliers!A24="",NOT(ISNUMBER(Suppliers!D24)),Suppliers!L24="Expired",Suppliers!L24="Terminate"),"",Suppliers!D24*-1*IF(Suppliers!E24="Monthly",IF(AND(ISNUMBER(Suppliers!G24),(YEAR(EDATE(DATE(YEAR(TODAY()),MONTH(TODAY()),1),22))*12+MONTH(EDATE(DATE(YEAR(TODAY()),MONTH(TODAY()),1),22)))&gt;(YEAR(Suppliers!G24)*12+MONTH(Suppliers!G24))),"",1),IF(Suppliers!E24="Quarterly",IF(MOD((YEAR(EDATE(DATE(YEAR(TODAY()),MONTH(TODAY()),1),22))-YEAR(IF(ISNUMBER(Suppliers!F24),Suppliers!F24,DATE(YEAR(TODAY()),MONTH(TODAY()),1))))*12+MONTH(EDATE(DATE(YEAR(TODAY()),MONTH(TODAY()),1),22))-MONTH(IF(ISNUMBER(Suppliers!F24),Suppliers!F24,DATE(YEAR(TODAY()),MONTH(TODAY()),1))),3)=0,1,0),IF(Suppliers!E24="Semi-annual",IF(MOD((YEAR(EDATE(DATE(YEAR(TODAY()),MONTH(TODAY()),1),22))-YEAR(IF(ISNUMBER(Suppliers!F24),Suppliers!F24,DATE(YEAR(TODAY()),MONTH(TODAY()),1))))*12+MONTH(EDATE(DATE(YEAR(TODAY()),MONTH(TODAY()),1),22))-MONTH(IF(ISNUMBER(Suppliers!F24),Suppliers!F24,DATE(YEAR(TODAY()),MONTH(TODAY()),1))),6)=0,1,0),IF(Suppliers!E24="Annual",IF(MOD((YEAR(EDATE(DATE(YEAR(TODAY()),MONTH(TODAY()),1),22))-YEAR(IF(ISNUMBER(Suppliers!F24),Suppliers!F24,DATE(YEAR(TODAY()),MONTH(TODAY()),1))))*12+MONTH(EDATE(DATE(YEAR(TODAY()),MONTH(TODAY()),1),22))-MONTH(IF(ISNUMBER(Suppliers!F24),Suppliers!F24,DATE(YEAR(TODAY()),MONTH(TODAY()),1))),12)=0,1,0),IF(Suppliers!E24="One-time",IF(22=0,1,0),1)))))),"")</f>
        <v/>
      </c>
      <c r="AC26" s="10" t="str">
        <f ca="1">IFERROR(IF(OR(23&gt;=$B$1,Suppliers!A24="",NOT(ISNUMBER(Suppliers!D24)),Suppliers!L24="Expired",Suppliers!L24="Terminate"),"",Suppliers!D24*-1*IF(Suppliers!E24="Monthly",IF(AND(ISNUMBER(Suppliers!G24),(YEAR(EDATE(DATE(YEAR(TODAY()),MONTH(TODAY()),1),23))*12+MONTH(EDATE(DATE(YEAR(TODAY()),MONTH(TODAY()),1),23)))&gt;(YEAR(Suppliers!G24)*12+MONTH(Suppliers!G24))),"",1),IF(Suppliers!E24="Quarterly",IF(MOD((YEAR(EDATE(DATE(YEAR(TODAY()),MONTH(TODAY()),1),23))-YEAR(IF(ISNUMBER(Suppliers!F24),Suppliers!F24,DATE(YEAR(TODAY()),MONTH(TODAY()),1))))*12+MONTH(EDATE(DATE(YEAR(TODAY()),MONTH(TODAY()),1),23))-MONTH(IF(ISNUMBER(Suppliers!F24),Suppliers!F24,DATE(YEAR(TODAY()),MONTH(TODAY()),1))),3)=0,1,0),IF(Suppliers!E24="Semi-annual",IF(MOD((YEAR(EDATE(DATE(YEAR(TODAY()),MONTH(TODAY()),1),23))-YEAR(IF(ISNUMBER(Suppliers!F24),Suppliers!F24,DATE(YEAR(TODAY()),MONTH(TODAY()),1))))*12+MONTH(EDATE(DATE(YEAR(TODAY()),MONTH(TODAY()),1),23))-MONTH(IF(ISNUMBER(Suppliers!F24),Suppliers!F24,DATE(YEAR(TODAY()),MONTH(TODAY()),1))),6)=0,1,0),IF(Suppliers!E24="Annual",IF(MOD((YEAR(EDATE(DATE(YEAR(TODAY()),MONTH(TODAY()),1),23))-YEAR(IF(ISNUMBER(Suppliers!F24),Suppliers!F24,DATE(YEAR(TODAY()),MONTH(TODAY()),1))))*12+MONTH(EDATE(DATE(YEAR(TODAY()),MONTH(TODAY()),1),23))-MONTH(IF(ISNUMBER(Suppliers!F24),Suppliers!F24,DATE(YEAR(TODAY()),MONTH(TODAY()),1))),12)=0,1,0),IF(Suppliers!E24="One-time",IF(23=0,1,0),1)))))),"")</f>
        <v/>
      </c>
    </row>
    <row r="27" spans="1:29" ht="15" customHeight="1" x14ac:dyDescent="0.35">
      <c r="A27" s="4" t="s">
        <v>80</v>
      </c>
      <c r="B27" s="4" t="str">
        <f>IF(Suppliers!A25="","",Suppliers!A25)</f>
        <v/>
      </c>
      <c r="C27" s="10" t="str">
        <f>IF(Suppliers!C25="","",Suppliers!C25)</f>
        <v/>
      </c>
      <c r="D27" s="10" t="str">
        <f>IF(Suppliers!D25="","",Suppliers!D25)</f>
        <v/>
      </c>
      <c r="E27" s="4" t="str">
        <f>IF(Suppliers!E25="","",Suppliers!E25)</f>
        <v/>
      </c>
      <c r="F27" s="10" t="str">
        <f ca="1">IFERROR(IF(OR(0&gt;=$B$1,Suppliers!A25="",NOT(ISNUMBER(Suppliers!D25)),Suppliers!L25="Expired",Suppliers!L25="Terminate"),"",Suppliers!D25*-1*IF(Suppliers!E25="Monthly",IF(AND(ISNUMBER(Suppliers!G25),(YEAR(EDATE(DATE(YEAR(TODAY()),MONTH(TODAY()),1),0))*12+MONTH(EDATE(DATE(YEAR(TODAY()),MONTH(TODAY()),1),0)))&gt;(YEAR(Suppliers!G25)*12+MONTH(Suppliers!G25))),"",1),IF(Suppliers!E25="Quarterly",IF(MOD((YEAR(EDATE(DATE(YEAR(TODAY()),MONTH(TODAY()),1),0))-YEAR(IF(ISNUMBER(Suppliers!F25),Suppliers!F25,DATE(YEAR(TODAY()),MONTH(TODAY()),1))))*12+MONTH(EDATE(DATE(YEAR(TODAY()),MONTH(TODAY()),1),0))-MONTH(IF(ISNUMBER(Suppliers!F25),Suppliers!F25,DATE(YEAR(TODAY()),MONTH(TODAY()),1))),3)=0,1,0),IF(Suppliers!E25="Semi-annual",IF(MOD((YEAR(EDATE(DATE(YEAR(TODAY()),MONTH(TODAY()),1),0))-YEAR(IF(ISNUMBER(Suppliers!F25),Suppliers!F25,DATE(YEAR(TODAY()),MONTH(TODAY()),1))))*12+MONTH(EDATE(DATE(YEAR(TODAY()),MONTH(TODAY()),1),0))-MONTH(IF(ISNUMBER(Suppliers!F25),Suppliers!F25,DATE(YEAR(TODAY()),MONTH(TODAY()),1))),6)=0,1,0),IF(Suppliers!E25="Annual",IF(MOD((YEAR(EDATE(DATE(YEAR(TODAY()),MONTH(TODAY()),1),0))-YEAR(IF(ISNUMBER(Suppliers!F25),Suppliers!F25,DATE(YEAR(TODAY()),MONTH(TODAY()),1))))*12+MONTH(EDATE(DATE(YEAR(TODAY()),MONTH(TODAY()),1),0))-MONTH(IF(ISNUMBER(Suppliers!F25),Suppliers!F25,DATE(YEAR(TODAY()),MONTH(TODAY()),1))),12)=0,1,0),IF(Suppliers!E25="One-time",IF(0=0,1,0),1)))))),"")</f>
        <v/>
      </c>
      <c r="G27" s="10" t="str">
        <f ca="1">IFERROR(IF(OR(1&gt;=$B$1,Suppliers!A25="",NOT(ISNUMBER(Suppliers!D25)),Suppliers!L25="Expired",Suppliers!L25="Terminate"),"",Suppliers!D25*-1*IF(Suppliers!E25="Monthly",IF(AND(ISNUMBER(Suppliers!G25),(YEAR(EDATE(DATE(YEAR(TODAY()),MONTH(TODAY()),1),1))*12+MONTH(EDATE(DATE(YEAR(TODAY()),MONTH(TODAY()),1),1)))&gt;(YEAR(Suppliers!G25)*12+MONTH(Suppliers!G25))),"",1),IF(Suppliers!E25="Quarterly",IF(MOD((YEAR(EDATE(DATE(YEAR(TODAY()),MONTH(TODAY()),1),1))-YEAR(IF(ISNUMBER(Suppliers!F25),Suppliers!F25,DATE(YEAR(TODAY()),MONTH(TODAY()),1))))*12+MONTH(EDATE(DATE(YEAR(TODAY()),MONTH(TODAY()),1),1))-MONTH(IF(ISNUMBER(Suppliers!F25),Suppliers!F25,DATE(YEAR(TODAY()),MONTH(TODAY()),1))),3)=0,1,0),IF(Suppliers!E25="Semi-annual",IF(MOD((YEAR(EDATE(DATE(YEAR(TODAY()),MONTH(TODAY()),1),1))-YEAR(IF(ISNUMBER(Suppliers!F25),Suppliers!F25,DATE(YEAR(TODAY()),MONTH(TODAY()),1))))*12+MONTH(EDATE(DATE(YEAR(TODAY()),MONTH(TODAY()),1),1))-MONTH(IF(ISNUMBER(Suppliers!F25),Suppliers!F25,DATE(YEAR(TODAY()),MONTH(TODAY()),1))),6)=0,1,0),IF(Suppliers!E25="Annual",IF(MOD((YEAR(EDATE(DATE(YEAR(TODAY()),MONTH(TODAY()),1),1))-YEAR(IF(ISNUMBER(Suppliers!F25),Suppliers!F25,DATE(YEAR(TODAY()),MONTH(TODAY()),1))))*12+MONTH(EDATE(DATE(YEAR(TODAY()),MONTH(TODAY()),1),1))-MONTH(IF(ISNUMBER(Suppliers!F25),Suppliers!F25,DATE(YEAR(TODAY()),MONTH(TODAY()),1))),12)=0,1,0),IF(Suppliers!E25="One-time",IF(1=0,1,0),1)))))),"")</f>
        <v/>
      </c>
      <c r="H27" s="10" t="str">
        <f ca="1">IFERROR(IF(OR(2&gt;=$B$1,Suppliers!A25="",NOT(ISNUMBER(Suppliers!D25)),Suppliers!L25="Expired",Suppliers!L25="Terminate"),"",Suppliers!D25*-1*IF(Suppliers!E25="Monthly",IF(AND(ISNUMBER(Suppliers!G25),(YEAR(EDATE(DATE(YEAR(TODAY()),MONTH(TODAY()),1),2))*12+MONTH(EDATE(DATE(YEAR(TODAY()),MONTH(TODAY()),1),2)))&gt;(YEAR(Suppliers!G25)*12+MONTH(Suppliers!G25))),"",1),IF(Suppliers!E25="Quarterly",IF(MOD((YEAR(EDATE(DATE(YEAR(TODAY()),MONTH(TODAY()),1),2))-YEAR(IF(ISNUMBER(Suppliers!F25),Suppliers!F25,DATE(YEAR(TODAY()),MONTH(TODAY()),1))))*12+MONTH(EDATE(DATE(YEAR(TODAY()),MONTH(TODAY()),1),2))-MONTH(IF(ISNUMBER(Suppliers!F25),Suppliers!F25,DATE(YEAR(TODAY()),MONTH(TODAY()),1))),3)=0,1,0),IF(Suppliers!E25="Semi-annual",IF(MOD((YEAR(EDATE(DATE(YEAR(TODAY()),MONTH(TODAY()),1),2))-YEAR(IF(ISNUMBER(Suppliers!F25),Suppliers!F25,DATE(YEAR(TODAY()),MONTH(TODAY()),1))))*12+MONTH(EDATE(DATE(YEAR(TODAY()),MONTH(TODAY()),1),2))-MONTH(IF(ISNUMBER(Suppliers!F25),Suppliers!F25,DATE(YEAR(TODAY()),MONTH(TODAY()),1))),6)=0,1,0),IF(Suppliers!E25="Annual",IF(MOD((YEAR(EDATE(DATE(YEAR(TODAY()),MONTH(TODAY()),1),2))-YEAR(IF(ISNUMBER(Suppliers!F25),Suppliers!F25,DATE(YEAR(TODAY()),MONTH(TODAY()),1))))*12+MONTH(EDATE(DATE(YEAR(TODAY()),MONTH(TODAY()),1),2))-MONTH(IF(ISNUMBER(Suppliers!F25),Suppliers!F25,DATE(YEAR(TODAY()),MONTH(TODAY()),1))),12)=0,1,0),IF(Suppliers!E25="One-time",IF(2=0,1,0),1)))))),"")</f>
        <v/>
      </c>
      <c r="I27" s="10" t="str">
        <f ca="1">IFERROR(IF(OR(3&gt;=$B$1,Suppliers!A25="",NOT(ISNUMBER(Suppliers!D25)),Suppliers!L25="Expired",Suppliers!L25="Terminate"),"",Suppliers!D25*-1*IF(Suppliers!E25="Monthly",IF(AND(ISNUMBER(Suppliers!G25),(YEAR(EDATE(DATE(YEAR(TODAY()),MONTH(TODAY()),1),3))*12+MONTH(EDATE(DATE(YEAR(TODAY()),MONTH(TODAY()),1),3)))&gt;(YEAR(Suppliers!G25)*12+MONTH(Suppliers!G25))),"",1),IF(Suppliers!E25="Quarterly",IF(MOD((YEAR(EDATE(DATE(YEAR(TODAY()),MONTH(TODAY()),1),3))-YEAR(IF(ISNUMBER(Suppliers!F25),Suppliers!F25,DATE(YEAR(TODAY()),MONTH(TODAY()),1))))*12+MONTH(EDATE(DATE(YEAR(TODAY()),MONTH(TODAY()),1),3))-MONTH(IF(ISNUMBER(Suppliers!F25),Suppliers!F25,DATE(YEAR(TODAY()),MONTH(TODAY()),1))),3)=0,1,0),IF(Suppliers!E25="Semi-annual",IF(MOD((YEAR(EDATE(DATE(YEAR(TODAY()),MONTH(TODAY()),1),3))-YEAR(IF(ISNUMBER(Suppliers!F25),Suppliers!F25,DATE(YEAR(TODAY()),MONTH(TODAY()),1))))*12+MONTH(EDATE(DATE(YEAR(TODAY()),MONTH(TODAY()),1),3))-MONTH(IF(ISNUMBER(Suppliers!F25),Suppliers!F25,DATE(YEAR(TODAY()),MONTH(TODAY()),1))),6)=0,1,0),IF(Suppliers!E25="Annual",IF(MOD((YEAR(EDATE(DATE(YEAR(TODAY()),MONTH(TODAY()),1),3))-YEAR(IF(ISNUMBER(Suppliers!F25),Suppliers!F25,DATE(YEAR(TODAY()),MONTH(TODAY()),1))))*12+MONTH(EDATE(DATE(YEAR(TODAY()),MONTH(TODAY()),1),3))-MONTH(IF(ISNUMBER(Suppliers!F25),Suppliers!F25,DATE(YEAR(TODAY()),MONTH(TODAY()),1))),12)=0,1,0),IF(Suppliers!E25="One-time",IF(3=0,1,0),1)))))),"")</f>
        <v/>
      </c>
      <c r="J27" s="10" t="str">
        <f ca="1">IFERROR(IF(OR(4&gt;=$B$1,Suppliers!A25="",NOT(ISNUMBER(Suppliers!D25)),Suppliers!L25="Expired",Suppliers!L25="Terminate"),"",Suppliers!D25*-1*IF(Suppliers!E25="Monthly",IF(AND(ISNUMBER(Suppliers!G25),(YEAR(EDATE(DATE(YEAR(TODAY()),MONTH(TODAY()),1),4))*12+MONTH(EDATE(DATE(YEAR(TODAY()),MONTH(TODAY()),1),4)))&gt;(YEAR(Suppliers!G25)*12+MONTH(Suppliers!G25))),"",1),IF(Suppliers!E25="Quarterly",IF(MOD((YEAR(EDATE(DATE(YEAR(TODAY()),MONTH(TODAY()),1),4))-YEAR(IF(ISNUMBER(Suppliers!F25),Suppliers!F25,DATE(YEAR(TODAY()),MONTH(TODAY()),1))))*12+MONTH(EDATE(DATE(YEAR(TODAY()),MONTH(TODAY()),1),4))-MONTH(IF(ISNUMBER(Suppliers!F25),Suppliers!F25,DATE(YEAR(TODAY()),MONTH(TODAY()),1))),3)=0,1,0),IF(Suppliers!E25="Semi-annual",IF(MOD((YEAR(EDATE(DATE(YEAR(TODAY()),MONTH(TODAY()),1),4))-YEAR(IF(ISNUMBER(Suppliers!F25),Suppliers!F25,DATE(YEAR(TODAY()),MONTH(TODAY()),1))))*12+MONTH(EDATE(DATE(YEAR(TODAY()),MONTH(TODAY()),1),4))-MONTH(IF(ISNUMBER(Suppliers!F25),Suppliers!F25,DATE(YEAR(TODAY()),MONTH(TODAY()),1))),6)=0,1,0),IF(Suppliers!E25="Annual",IF(MOD((YEAR(EDATE(DATE(YEAR(TODAY()),MONTH(TODAY()),1),4))-YEAR(IF(ISNUMBER(Suppliers!F25),Suppliers!F25,DATE(YEAR(TODAY()),MONTH(TODAY()),1))))*12+MONTH(EDATE(DATE(YEAR(TODAY()),MONTH(TODAY()),1),4))-MONTH(IF(ISNUMBER(Suppliers!F25),Suppliers!F25,DATE(YEAR(TODAY()),MONTH(TODAY()),1))),12)=0,1,0),IF(Suppliers!E25="One-time",IF(4=0,1,0),1)))))),"")</f>
        <v/>
      </c>
      <c r="K27" s="10" t="str">
        <f ca="1">IFERROR(IF(OR(5&gt;=$B$1,Suppliers!A25="",NOT(ISNUMBER(Suppliers!D25)),Suppliers!L25="Expired",Suppliers!L25="Terminate"),"",Suppliers!D25*-1*IF(Suppliers!E25="Monthly",IF(AND(ISNUMBER(Suppliers!G25),(YEAR(EDATE(DATE(YEAR(TODAY()),MONTH(TODAY()),1),5))*12+MONTH(EDATE(DATE(YEAR(TODAY()),MONTH(TODAY()),1),5)))&gt;(YEAR(Suppliers!G25)*12+MONTH(Suppliers!G25))),"",1),IF(Suppliers!E25="Quarterly",IF(MOD((YEAR(EDATE(DATE(YEAR(TODAY()),MONTH(TODAY()),1),5))-YEAR(IF(ISNUMBER(Suppliers!F25),Suppliers!F25,DATE(YEAR(TODAY()),MONTH(TODAY()),1))))*12+MONTH(EDATE(DATE(YEAR(TODAY()),MONTH(TODAY()),1),5))-MONTH(IF(ISNUMBER(Suppliers!F25),Suppliers!F25,DATE(YEAR(TODAY()),MONTH(TODAY()),1))),3)=0,1,0),IF(Suppliers!E25="Semi-annual",IF(MOD((YEAR(EDATE(DATE(YEAR(TODAY()),MONTH(TODAY()),1),5))-YEAR(IF(ISNUMBER(Suppliers!F25),Suppliers!F25,DATE(YEAR(TODAY()),MONTH(TODAY()),1))))*12+MONTH(EDATE(DATE(YEAR(TODAY()),MONTH(TODAY()),1),5))-MONTH(IF(ISNUMBER(Suppliers!F25),Suppliers!F25,DATE(YEAR(TODAY()),MONTH(TODAY()),1))),6)=0,1,0),IF(Suppliers!E25="Annual",IF(MOD((YEAR(EDATE(DATE(YEAR(TODAY()),MONTH(TODAY()),1),5))-YEAR(IF(ISNUMBER(Suppliers!F25),Suppliers!F25,DATE(YEAR(TODAY()),MONTH(TODAY()),1))))*12+MONTH(EDATE(DATE(YEAR(TODAY()),MONTH(TODAY()),1),5))-MONTH(IF(ISNUMBER(Suppliers!F25),Suppliers!F25,DATE(YEAR(TODAY()),MONTH(TODAY()),1))),12)=0,1,0),IF(Suppliers!E25="One-time",IF(5=0,1,0),1)))))),"")</f>
        <v/>
      </c>
      <c r="L27" s="10" t="str">
        <f ca="1">IFERROR(IF(OR(6&gt;=$B$1,Suppliers!A25="",NOT(ISNUMBER(Suppliers!D25)),Suppliers!L25="Expired",Suppliers!L25="Terminate"),"",Suppliers!D25*-1*IF(Suppliers!E25="Monthly",IF(AND(ISNUMBER(Suppliers!G25),(YEAR(EDATE(DATE(YEAR(TODAY()),MONTH(TODAY()),1),6))*12+MONTH(EDATE(DATE(YEAR(TODAY()),MONTH(TODAY()),1),6)))&gt;(YEAR(Suppliers!G25)*12+MONTH(Suppliers!G25))),"",1),IF(Suppliers!E25="Quarterly",IF(MOD((YEAR(EDATE(DATE(YEAR(TODAY()),MONTH(TODAY()),1),6))-YEAR(IF(ISNUMBER(Suppliers!F25),Suppliers!F25,DATE(YEAR(TODAY()),MONTH(TODAY()),1))))*12+MONTH(EDATE(DATE(YEAR(TODAY()),MONTH(TODAY()),1),6))-MONTH(IF(ISNUMBER(Suppliers!F25),Suppliers!F25,DATE(YEAR(TODAY()),MONTH(TODAY()),1))),3)=0,1,0),IF(Suppliers!E25="Semi-annual",IF(MOD((YEAR(EDATE(DATE(YEAR(TODAY()),MONTH(TODAY()),1),6))-YEAR(IF(ISNUMBER(Suppliers!F25),Suppliers!F25,DATE(YEAR(TODAY()),MONTH(TODAY()),1))))*12+MONTH(EDATE(DATE(YEAR(TODAY()),MONTH(TODAY()),1),6))-MONTH(IF(ISNUMBER(Suppliers!F25),Suppliers!F25,DATE(YEAR(TODAY()),MONTH(TODAY()),1))),6)=0,1,0),IF(Suppliers!E25="Annual",IF(MOD((YEAR(EDATE(DATE(YEAR(TODAY()),MONTH(TODAY()),1),6))-YEAR(IF(ISNUMBER(Suppliers!F25),Suppliers!F25,DATE(YEAR(TODAY()),MONTH(TODAY()),1))))*12+MONTH(EDATE(DATE(YEAR(TODAY()),MONTH(TODAY()),1),6))-MONTH(IF(ISNUMBER(Suppliers!F25),Suppliers!F25,DATE(YEAR(TODAY()),MONTH(TODAY()),1))),12)=0,1,0),IF(Suppliers!E25="One-time",IF(6=0,1,0),1)))))),"")</f>
        <v/>
      </c>
      <c r="M27" s="10" t="str">
        <f ca="1">IFERROR(IF(OR(7&gt;=$B$1,Suppliers!A25="",NOT(ISNUMBER(Suppliers!D25)),Suppliers!L25="Expired",Suppliers!L25="Terminate"),"",Suppliers!D25*-1*IF(Suppliers!E25="Monthly",IF(AND(ISNUMBER(Suppliers!G25),(YEAR(EDATE(DATE(YEAR(TODAY()),MONTH(TODAY()),1),7))*12+MONTH(EDATE(DATE(YEAR(TODAY()),MONTH(TODAY()),1),7)))&gt;(YEAR(Suppliers!G25)*12+MONTH(Suppliers!G25))),"",1),IF(Suppliers!E25="Quarterly",IF(MOD((YEAR(EDATE(DATE(YEAR(TODAY()),MONTH(TODAY()),1),7))-YEAR(IF(ISNUMBER(Suppliers!F25),Suppliers!F25,DATE(YEAR(TODAY()),MONTH(TODAY()),1))))*12+MONTH(EDATE(DATE(YEAR(TODAY()),MONTH(TODAY()),1),7))-MONTH(IF(ISNUMBER(Suppliers!F25),Suppliers!F25,DATE(YEAR(TODAY()),MONTH(TODAY()),1))),3)=0,1,0),IF(Suppliers!E25="Semi-annual",IF(MOD((YEAR(EDATE(DATE(YEAR(TODAY()),MONTH(TODAY()),1),7))-YEAR(IF(ISNUMBER(Suppliers!F25),Suppliers!F25,DATE(YEAR(TODAY()),MONTH(TODAY()),1))))*12+MONTH(EDATE(DATE(YEAR(TODAY()),MONTH(TODAY()),1),7))-MONTH(IF(ISNUMBER(Suppliers!F25),Suppliers!F25,DATE(YEAR(TODAY()),MONTH(TODAY()),1))),6)=0,1,0),IF(Suppliers!E25="Annual",IF(MOD((YEAR(EDATE(DATE(YEAR(TODAY()),MONTH(TODAY()),1),7))-YEAR(IF(ISNUMBER(Suppliers!F25),Suppliers!F25,DATE(YEAR(TODAY()),MONTH(TODAY()),1))))*12+MONTH(EDATE(DATE(YEAR(TODAY()),MONTH(TODAY()),1),7))-MONTH(IF(ISNUMBER(Suppliers!F25),Suppliers!F25,DATE(YEAR(TODAY()),MONTH(TODAY()),1))),12)=0,1,0),IF(Suppliers!E25="One-time",IF(7=0,1,0),1)))))),"")</f>
        <v/>
      </c>
      <c r="N27" s="10" t="str">
        <f ca="1">IFERROR(IF(OR(8&gt;=$B$1,Suppliers!A25="",NOT(ISNUMBER(Suppliers!D25)),Suppliers!L25="Expired",Suppliers!L25="Terminate"),"",Suppliers!D25*-1*IF(Suppliers!E25="Monthly",IF(AND(ISNUMBER(Suppliers!G25),(YEAR(EDATE(DATE(YEAR(TODAY()),MONTH(TODAY()),1),8))*12+MONTH(EDATE(DATE(YEAR(TODAY()),MONTH(TODAY()),1),8)))&gt;(YEAR(Suppliers!G25)*12+MONTH(Suppliers!G25))),"",1),IF(Suppliers!E25="Quarterly",IF(MOD((YEAR(EDATE(DATE(YEAR(TODAY()),MONTH(TODAY()),1),8))-YEAR(IF(ISNUMBER(Suppliers!F25),Suppliers!F25,DATE(YEAR(TODAY()),MONTH(TODAY()),1))))*12+MONTH(EDATE(DATE(YEAR(TODAY()),MONTH(TODAY()),1),8))-MONTH(IF(ISNUMBER(Suppliers!F25),Suppliers!F25,DATE(YEAR(TODAY()),MONTH(TODAY()),1))),3)=0,1,0),IF(Suppliers!E25="Semi-annual",IF(MOD((YEAR(EDATE(DATE(YEAR(TODAY()),MONTH(TODAY()),1),8))-YEAR(IF(ISNUMBER(Suppliers!F25),Suppliers!F25,DATE(YEAR(TODAY()),MONTH(TODAY()),1))))*12+MONTH(EDATE(DATE(YEAR(TODAY()),MONTH(TODAY()),1),8))-MONTH(IF(ISNUMBER(Suppliers!F25),Suppliers!F25,DATE(YEAR(TODAY()),MONTH(TODAY()),1))),6)=0,1,0),IF(Suppliers!E25="Annual",IF(MOD((YEAR(EDATE(DATE(YEAR(TODAY()),MONTH(TODAY()),1),8))-YEAR(IF(ISNUMBER(Suppliers!F25),Suppliers!F25,DATE(YEAR(TODAY()),MONTH(TODAY()),1))))*12+MONTH(EDATE(DATE(YEAR(TODAY()),MONTH(TODAY()),1),8))-MONTH(IF(ISNUMBER(Suppliers!F25),Suppliers!F25,DATE(YEAR(TODAY()),MONTH(TODAY()),1))),12)=0,1,0),IF(Suppliers!E25="One-time",IF(8=0,1,0),1)))))),"")</f>
        <v/>
      </c>
      <c r="O27" s="10" t="str">
        <f ca="1">IFERROR(IF(OR(9&gt;=$B$1,Suppliers!A25="",NOT(ISNUMBER(Suppliers!D25)),Suppliers!L25="Expired",Suppliers!L25="Terminate"),"",Suppliers!D25*-1*IF(Suppliers!E25="Monthly",IF(AND(ISNUMBER(Suppliers!G25),(YEAR(EDATE(DATE(YEAR(TODAY()),MONTH(TODAY()),1),9))*12+MONTH(EDATE(DATE(YEAR(TODAY()),MONTH(TODAY()),1),9)))&gt;(YEAR(Suppliers!G25)*12+MONTH(Suppliers!G25))),"",1),IF(Suppliers!E25="Quarterly",IF(MOD((YEAR(EDATE(DATE(YEAR(TODAY()),MONTH(TODAY()),1),9))-YEAR(IF(ISNUMBER(Suppliers!F25),Suppliers!F25,DATE(YEAR(TODAY()),MONTH(TODAY()),1))))*12+MONTH(EDATE(DATE(YEAR(TODAY()),MONTH(TODAY()),1),9))-MONTH(IF(ISNUMBER(Suppliers!F25),Suppliers!F25,DATE(YEAR(TODAY()),MONTH(TODAY()),1))),3)=0,1,0),IF(Suppliers!E25="Semi-annual",IF(MOD((YEAR(EDATE(DATE(YEAR(TODAY()),MONTH(TODAY()),1),9))-YEAR(IF(ISNUMBER(Suppliers!F25),Suppliers!F25,DATE(YEAR(TODAY()),MONTH(TODAY()),1))))*12+MONTH(EDATE(DATE(YEAR(TODAY()),MONTH(TODAY()),1),9))-MONTH(IF(ISNUMBER(Suppliers!F25),Suppliers!F25,DATE(YEAR(TODAY()),MONTH(TODAY()),1))),6)=0,1,0),IF(Suppliers!E25="Annual",IF(MOD((YEAR(EDATE(DATE(YEAR(TODAY()),MONTH(TODAY()),1),9))-YEAR(IF(ISNUMBER(Suppliers!F25),Suppliers!F25,DATE(YEAR(TODAY()),MONTH(TODAY()),1))))*12+MONTH(EDATE(DATE(YEAR(TODAY()),MONTH(TODAY()),1),9))-MONTH(IF(ISNUMBER(Suppliers!F25),Suppliers!F25,DATE(YEAR(TODAY()),MONTH(TODAY()),1))),12)=0,1,0),IF(Suppliers!E25="One-time",IF(9=0,1,0),1)))))),"")</f>
        <v/>
      </c>
      <c r="P27" s="10" t="str">
        <f ca="1">IFERROR(IF(OR(10&gt;=$B$1,Suppliers!A25="",NOT(ISNUMBER(Suppliers!D25)),Suppliers!L25="Expired",Suppliers!L25="Terminate"),"",Suppliers!D25*-1*IF(Suppliers!E25="Monthly",IF(AND(ISNUMBER(Suppliers!G25),(YEAR(EDATE(DATE(YEAR(TODAY()),MONTH(TODAY()),1),10))*12+MONTH(EDATE(DATE(YEAR(TODAY()),MONTH(TODAY()),1),10)))&gt;(YEAR(Suppliers!G25)*12+MONTH(Suppliers!G25))),"",1),IF(Suppliers!E25="Quarterly",IF(MOD((YEAR(EDATE(DATE(YEAR(TODAY()),MONTH(TODAY()),1),10))-YEAR(IF(ISNUMBER(Suppliers!F25),Suppliers!F25,DATE(YEAR(TODAY()),MONTH(TODAY()),1))))*12+MONTH(EDATE(DATE(YEAR(TODAY()),MONTH(TODAY()),1),10))-MONTH(IF(ISNUMBER(Suppliers!F25),Suppliers!F25,DATE(YEAR(TODAY()),MONTH(TODAY()),1))),3)=0,1,0),IF(Suppliers!E25="Semi-annual",IF(MOD((YEAR(EDATE(DATE(YEAR(TODAY()),MONTH(TODAY()),1),10))-YEAR(IF(ISNUMBER(Suppliers!F25),Suppliers!F25,DATE(YEAR(TODAY()),MONTH(TODAY()),1))))*12+MONTH(EDATE(DATE(YEAR(TODAY()),MONTH(TODAY()),1),10))-MONTH(IF(ISNUMBER(Suppliers!F25),Suppliers!F25,DATE(YEAR(TODAY()),MONTH(TODAY()),1))),6)=0,1,0),IF(Suppliers!E25="Annual",IF(MOD((YEAR(EDATE(DATE(YEAR(TODAY()),MONTH(TODAY()),1),10))-YEAR(IF(ISNUMBER(Suppliers!F25),Suppliers!F25,DATE(YEAR(TODAY()),MONTH(TODAY()),1))))*12+MONTH(EDATE(DATE(YEAR(TODAY()),MONTH(TODAY()),1),10))-MONTH(IF(ISNUMBER(Suppliers!F25),Suppliers!F25,DATE(YEAR(TODAY()),MONTH(TODAY()),1))),12)=0,1,0),IF(Suppliers!E25="One-time",IF(10=0,1,0),1)))))),"")</f>
        <v/>
      </c>
      <c r="Q27" s="10" t="str">
        <f ca="1">IFERROR(IF(OR(11&gt;=$B$1,Suppliers!A25="",NOT(ISNUMBER(Suppliers!D25)),Suppliers!L25="Expired",Suppliers!L25="Terminate"),"",Suppliers!D25*-1*IF(Suppliers!E25="Monthly",IF(AND(ISNUMBER(Suppliers!G25),(YEAR(EDATE(DATE(YEAR(TODAY()),MONTH(TODAY()),1),11))*12+MONTH(EDATE(DATE(YEAR(TODAY()),MONTH(TODAY()),1),11)))&gt;(YEAR(Suppliers!G25)*12+MONTH(Suppliers!G25))),"",1),IF(Suppliers!E25="Quarterly",IF(MOD((YEAR(EDATE(DATE(YEAR(TODAY()),MONTH(TODAY()),1),11))-YEAR(IF(ISNUMBER(Suppliers!F25),Suppliers!F25,DATE(YEAR(TODAY()),MONTH(TODAY()),1))))*12+MONTH(EDATE(DATE(YEAR(TODAY()),MONTH(TODAY()),1),11))-MONTH(IF(ISNUMBER(Suppliers!F25),Suppliers!F25,DATE(YEAR(TODAY()),MONTH(TODAY()),1))),3)=0,1,0),IF(Suppliers!E25="Semi-annual",IF(MOD((YEAR(EDATE(DATE(YEAR(TODAY()),MONTH(TODAY()),1),11))-YEAR(IF(ISNUMBER(Suppliers!F25),Suppliers!F25,DATE(YEAR(TODAY()),MONTH(TODAY()),1))))*12+MONTH(EDATE(DATE(YEAR(TODAY()),MONTH(TODAY()),1),11))-MONTH(IF(ISNUMBER(Suppliers!F25),Suppliers!F25,DATE(YEAR(TODAY()),MONTH(TODAY()),1))),6)=0,1,0),IF(Suppliers!E25="Annual",IF(MOD((YEAR(EDATE(DATE(YEAR(TODAY()),MONTH(TODAY()),1),11))-YEAR(IF(ISNUMBER(Suppliers!F25),Suppliers!F25,DATE(YEAR(TODAY()),MONTH(TODAY()),1))))*12+MONTH(EDATE(DATE(YEAR(TODAY()),MONTH(TODAY()),1),11))-MONTH(IF(ISNUMBER(Suppliers!F25),Suppliers!F25,DATE(YEAR(TODAY()),MONTH(TODAY()),1))),12)=0,1,0),IF(Suppliers!E25="One-time",IF(11=0,1,0),1)))))),"")</f>
        <v/>
      </c>
      <c r="R27" s="10" t="str">
        <f ca="1">IFERROR(IF(OR(12&gt;=$B$1,Suppliers!A25="",NOT(ISNUMBER(Suppliers!D25)),Suppliers!L25="Expired",Suppliers!L25="Terminate"),"",Suppliers!D25*-1*IF(Suppliers!E25="Monthly",IF(AND(ISNUMBER(Suppliers!G25),(YEAR(EDATE(DATE(YEAR(TODAY()),MONTH(TODAY()),1),12))*12+MONTH(EDATE(DATE(YEAR(TODAY()),MONTH(TODAY()),1),12)))&gt;(YEAR(Suppliers!G25)*12+MONTH(Suppliers!G25))),"",1),IF(Suppliers!E25="Quarterly",IF(MOD((YEAR(EDATE(DATE(YEAR(TODAY()),MONTH(TODAY()),1),12))-YEAR(IF(ISNUMBER(Suppliers!F25),Suppliers!F25,DATE(YEAR(TODAY()),MONTH(TODAY()),1))))*12+MONTH(EDATE(DATE(YEAR(TODAY()),MONTH(TODAY()),1),12))-MONTH(IF(ISNUMBER(Suppliers!F25),Suppliers!F25,DATE(YEAR(TODAY()),MONTH(TODAY()),1))),3)=0,1,0),IF(Suppliers!E25="Semi-annual",IF(MOD((YEAR(EDATE(DATE(YEAR(TODAY()),MONTH(TODAY()),1),12))-YEAR(IF(ISNUMBER(Suppliers!F25),Suppliers!F25,DATE(YEAR(TODAY()),MONTH(TODAY()),1))))*12+MONTH(EDATE(DATE(YEAR(TODAY()),MONTH(TODAY()),1),12))-MONTH(IF(ISNUMBER(Suppliers!F25),Suppliers!F25,DATE(YEAR(TODAY()),MONTH(TODAY()),1))),6)=0,1,0),IF(Suppliers!E25="Annual",IF(MOD((YEAR(EDATE(DATE(YEAR(TODAY()),MONTH(TODAY()),1),12))-YEAR(IF(ISNUMBER(Suppliers!F25),Suppliers!F25,DATE(YEAR(TODAY()),MONTH(TODAY()),1))))*12+MONTH(EDATE(DATE(YEAR(TODAY()),MONTH(TODAY()),1),12))-MONTH(IF(ISNUMBER(Suppliers!F25),Suppliers!F25,DATE(YEAR(TODAY()),MONTH(TODAY()),1))),12)=0,1,0),IF(Suppliers!E25="One-time",IF(12=0,1,0),1)))))),"")</f>
        <v/>
      </c>
      <c r="S27" s="10" t="str">
        <f ca="1">IFERROR(IF(OR(13&gt;=$B$1,Suppliers!A25="",NOT(ISNUMBER(Suppliers!D25)),Suppliers!L25="Expired",Suppliers!L25="Terminate"),"",Suppliers!D25*-1*IF(Suppliers!E25="Monthly",IF(AND(ISNUMBER(Suppliers!G25),(YEAR(EDATE(DATE(YEAR(TODAY()),MONTH(TODAY()),1),13))*12+MONTH(EDATE(DATE(YEAR(TODAY()),MONTH(TODAY()),1),13)))&gt;(YEAR(Suppliers!G25)*12+MONTH(Suppliers!G25))),"",1),IF(Suppliers!E25="Quarterly",IF(MOD((YEAR(EDATE(DATE(YEAR(TODAY()),MONTH(TODAY()),1),13))-YEAR(IF(ISNUMBER(Suppliers!F25),Suppliers!F25,DATE(YEAR(TODAY()),MONTH(TODAY()),1))))*12+MONTH(EDATE(DATE(YEAR(TODAY()),MONTH(TODAY()),1),13))-MONTH(IF(ISNUMBER(Suppliers!F25),Suppliers!F25,DATE(YEAR(TODAY()),MONTH(TODAY()),1))),3)=0,1,0),IF(Suppliers!E25="Semi-annual",IF(MOD((YEAR(EDATE(DATE(YEAR(TODAY()),MONTH(TODAY()),1),13))-YEAR(IF(ISNUMBER(Suppliers!F25),Suppliers!F25,DATE(YEAR(TODAY()),MONTH(TODAY()),1))))*12+MONTH(EDATE(DATE(YEAR(TODAY()),MONTH(TODAY()),1),13))-MONTH(IF(ISNUMBER(Suppliers!F25),Suppliers!F25,DATE(YEAR(TODAY()),MONTH(TODAY()),1))),6)=0,1,0),IF(Suppliers!E25="Annual",IF(MOD((YEAR(EDATE(DATE(YEAR(TODAY()),MONTH(TODAY()),1),13))-YEAR(IF(ISNUMBER(Suppliers!F25),Suppliers!F25,DATE(YEAR(TODAY()),MONTH(TODAY()),1))))*12+MONTH(EDATE(DATE(YEAR(TODAY()),MONTH(TODAY()),1),13))-MONTH(IF(ISNUMBER(Suppliers!F25),Suppliers!F25,DATE(YEAR(TODAY()),MONTH(TODAY()),1))),12)=0,1,0),IF(Suppliers!E25="One-time",IF(13=0,1,0),1)))))),"")</f>
        <v/>
      </c>
      <c r="T27" s="10" t="str">
        <f ca="1">IFERROR(IF(OR(14&gt;=$B$1,Suppliers!A25="",NOT(ISNUMBER(Suppliers!D25)),Suppliers!L25="Expired",Suppliers!L25="Terminate"),"",Suppliers!D25*-1*IF(Suppliers!E25="Monthly",IF(AND(ISNUMBER(Suppliers!G25),(YEAR(EDATE(DATE(YEAR(TODAY()),MONTH(TODAY()),1),14))*12+MONTH(EDATE(DATE(YEAR(TODAY()),MONTH(TODAY()),1),14)))&gt;(YEAR(Suppliers!G25)*12+MONTH(Suppliers!G25))),"",1),IF(Suppliers!E25="Quarterly",IF(MOD((YEAR(EDATE(DATE(YEAR(TODAY()),MONTH(TODAY()),1),14))-YEAR(IF(ISNUMBER(Suppliers!F25),Suppliers!F25,DATE(YEAR(TODAY()),MONTH(TODAY()),1))))*12+MONTH(EDATE(DATE(YEAR(TODAY()),MONTH(TODAY()),1),14))-MONTH(IF(ISNUMBER(Suppliers!F25),Suppliers!F25,DATE(YEAR(TODAY()),MONTH(TODAY()),1))),3)=0,1,0),IF(Suppliers!E25="Semi-annual",IF(MOD((YEAR(EDATE(DATE(YEAR(TODAY()),MONTH(TODAY()),1),14))-YEAR(IF(ISNUMBER(Suppliers!F25),Suppliers!F25,DATE(YEAR(TODAY()),MONTH(TODAY()),1))))*12+MONTH(EDATE(DATE(YEAR(TODAY()),MONTH(TODAY()),1),14))-MONTH(IF(ISNUMBER(Suppliers!F25),Suppliers!F25,DATE(YEAR(TODAY()),MONTH(TODAY()),1))),6)=0,1,0),IF(Suppliers!E25="Annual",IF(MOD((YEAR(EDATE(DATE(YEAR(TODAY()),MONTH(TODAY()),1),14))-YEAR(IF(ISNUMBER(Suppliers!F25),Suppliers!F25,DATE(YEAR(TODAY()),MONTH(TODAY()),1))))*12+MONTH(EDATE(DATE(YEAR(TODAY()),MONTH(TODAY()),1),14))-MONTH(IF(ISNUMBER(Suppliers!F25),Suppliers!F25,DATE(YEAR(TODAY()),MONTH(TODAY()),1))),12)=0,1,0),IF(Suppliers!E25="One-time",IF(14=0,1,0),1)))))),"")</f>
        <v/>
      </c>
      <c r="U27" s="10" t="str">
        <f ca="1">IFERROR(IF(OR(15&gt;=$B$1,Suppliers!A25="",NOT(ISNUMBER(Suppliers!D25)),Suppliers!L25="Expired",Suppliers!L25="Terminate"),"",Suppliers!D25*-1*IF(Suppliers!E25="Monthly",IF(AND(ISNUMBER(Suppliers!G25),(YEAR(EDATE(DATE(YEAR(TODAY()),MONTH(TODAY()),1),15))*12+MONTH(EDATE(DATE(YEAR(TODAY()),MONTH(TODAY()),1),15)))&gt;(YEAR(Suppliers!G25)*12+MONTH(Suppliers!G25))),"",1),IF(Suppliers!E25="Quarterly",IF(MOD((YEAR(EDATE(DATE(YEAR(TODAY()),MONTH(TODAY()),1),15))-YEAR(IF(ISNUMBER(Suppliers!F25),Suppliers!F25,DATE(YEAR(TODAY()),MONTH(TODAY()),1))))*12+MONTH(EDATE(DATE(YEAR(TODAY()),MONTH(TODAY()),1),15))-MONTH(IF(ISNUMBER(Suppliers!F25),Suppliers!F25,DATE(YEAR(TODAY()),MONTH(TODAY()),1))),3)=0,1,0),IF(Suppliers!E25="Semi-annual",IF(MOD((YEAR(EDATE(DATE(YEAR(TODAY()),MONTH(TODAY()),1),15))-YEAR(IF(ISNUMBER(Suppliers!F25),Suppliers!F25,DATE(YEAR(TODAY()),MONTH(TODAY()),1))))*12+MONTH(EDATE(DATE(YEAR(TODAY()),MONTH(TODAY()),1),15))-MONTH(IF(ISNUMBER(Suppliers!F25),Suppliers!F25,DATE(YEAR(TODAY()),MONTH(TODAY()),1))),6)=0,1,0),IF(Suppliers!E25="Annual",IF(MOD((YEAR(EDATE(DATE(YEAR(TODAY()),MONTH(TODAY()),1),15))-YEAR(IF(ISNUMBER(Suppliers!F25),Suppliers!F25,DATE(YEAR(TODAY()),MONTH(TODAY()),1))))*12+MONTH(EDATE(DATE(YEAR(TODAY()),MONTH(TODAY()),1),15))-MONTH(IF(ISNUMBER(Suppliers!F25),Suppliers!F25,DATE(YEAR(TODAY()),MONTH(TODAY()),1))),12)=0,1,0),IF(Suppliers!E25="One-time",IF(15=0,1,0),1)))))),"")</f>
        <v/>
      </c>
      <c r="V27" s="10" t="str">
        <f ca="1">IFERROR(IF(OR(16&gt;=$B$1,Suppliers!A25="",NOT(ISNUMBER(Suppliers!D25)),Suppliers!L25="Expired",Suppliers!L25="Terminate"),"",Suppliers!D25*-1*IF(Suppliers!E25="Monthly",IF(AND(ISNUMBER(Suppliers!G25),(YEAR(EDATE(DATE(YEAR(TODAY()),MONTH(TODAY()),1),16))*12+MONTH(EDATE(DATE(YEAR(TODAY()),MONTH(TODAY()),1),16)))&gt;(YEAR(Suppliers!G25)*12+MONTH(Suppliers!G25))),"",1),IF(Suppliers!E25="Quarterly",IF(MOD((YEAR(EDATE(DATE(YEAR(TODAY()),MONTH(TODAY()),1),16))-YEAR(IF(ISNUMBER(Suppliers!F25),Suppliers!F25,DATE(YEAR(TODAY()),MONTH(TODAY()),1))))*12+MONTH(EDATE(DATE(YEAR(TODAY()),MONTH(TODAY()),1),16))-MONTH(IF(ISNUMBER(Suppliers!F25),Suppliers!F25,DATE(YEAR(TODAY()),MONTH(TODAY()),1))),3)=0,1,0),IF(Suppliers!E25="Semi-annual",IF(MOD((YEAR(EDATE(DATE(YEAR(TODAY()),MONTH(TODAY()),1),16))-YEAR(IF(ISNUMBER(Suppliers!F25),Suppliers!F25,DATE(YEAR(TODAY()),MONTH(TODAY()),1))))*12+MONTH(EDATE(DATE(YEAR(TODAY()),MONTH(TODAY()),1),16))-MONTH(IF(ISNUMBER(Suppliers!F25),Suppliers!F25,DATE(YEAR(TODAY()),MONTH(TODAY()),1))),6)=0,1,0),IF(Suppliers!E25="Annual",IF(MOD((YEAR(EDATE(DATE(YEAR(TODAY()),MONTH(TODAY()),1),16))-YEAR(IF(ISNUMBER(Suppliers!F25),Suppliers!F25,DATE(YEAR(TODAY()),MONTH(TODAY()),1))))*12+MONTH(EDATE(DATE(YEAR(TODAY()),MONTH(TODAY()),1),16))-MONTH(IF(ISNUMBER(Suppliers!F25),Suppliers!F25,DATE(YEAR(TODAY()),MONTH(TODAY()),1))),12)=0,1,0),IF(Suppliers!E25="One-time",IF(16=0,1,0),1)))))),"")</f>
        <v/>
      </c>
      <c r="W27" s="10" t="str">
        <f ca="1">IFERROR(IF(OR(17&gt;=$B$1,Suppliers!A25="",NOT(ISNUMBER(Suppliers!D25)),Suppliers!L25="Expired",Suppliers!L25="Terminate"),"",Suppliers!D25*-1*IF(Suppliers!E25="Monthly",IF(AND(ISNUMBER(Suppliers!G25),(YEAR(EDATE(DATE(YEAR(TODAY()),MONTH(TODAY()),1),17))*12+MONTH(EDATE(DATE(YEAR(TODAY()),MONTH(TODAY()),1),17)))&gt;(YEAR(Suppliers!G25)*12+MONTH(Suppliers!G25))),"",1),IF(Suppliers!E25="Quarterly",IF(MOD((YEAR(EDATE(DATE(YEAR(TODAY()),MONTH(TODAY()),1),17))-YEAR(IF(ISNUMBER(Suppliers!F25),Suppliers!F25,DATE(YEAR(TODAY()),MONTH(TODAY()),1))))*12+MONTH(EDATE(DATE(YEAR(TODAY()),MONTH(TODAY()),1),17))-MONTH(IF(ISNUMBER(Suppliers!F25),Suppliers!F25,DATE(YEAR(TODAY()),MONTH(TODAY()),1))),3)=0,1,0),IF(Suppliers!E25="Semi-annual",IF(MOD((YEAR(EDATE(DATE(YEAR(TODAY()),MONTH(TODAY()),1),17))-YEAR(IF(ISNUMBER(Suppliers!F25),Suppliers!F25,DATE(YEAR(TODAY()),MONTH(TODAY()),1))))*12+MONTH(EDATE(DATE(YEAR(TODAY()),MONTH(TODAY()),1),17))-MONTH(IF(ISNUMBER(Suppliers!F25),Suppliers!F25,DATE(YEAR(TODAY()),MONTH(TODAY()),1))),6)=0,1,0),IF(Suppliers!E25="Annual",IF(MOD((YEAR(EDATE(DATE(YEAR(TODAY()),MONTH(TODAY()),1),17))-YEAR(IF(ISNUMBER(Suppliers!F25),Suppliers!F25,DATE(YEAR(TODAY()),MONTH(TODAY()),1))))*12+MONTH(EDATE(DATE(YEAR(TODAY()),MONTH(TODAY()),1),17))-MONTH(IF(ISNUMBER(Suppliers!F25),Suppliers!F25,DATE(YEAR(TODAY()),MONTH(TODAY()),1))),12)=0,1,0),IF(Suppliers!E25="One-time",IF(17=0,1,0),1)))))),"")</f>
        <v/>
      </c>
      <c r="X27" s="10" t="str">
        <f ca="1">IFERROR(IF(OR(18&gt;=$B$1,Suppliers!A25="",NOT(ISNUMBER(Suppliers!D25)),Suppliers!L25="Expired",Suppliers!L25="Terminate"),"",Suppliers!D25*-1*IF(Suppliers!E25="Monthly",IF(AND(ISNUMBER(Suppliers!G25),(YEAR(EDATE(DATE(YEAR(TODAY()),MONTH(TODAY()),1),18))*12+MONTH(EDATE(DATE(YEAR(TODAY()),MONTH(TODAY()),1),18)))&gt;(YEAR(Suppliers!G25)*12+MONTH(Suppliers!G25))),"",1),IF(Suppliers!E25="Quarterly",IF(MOD((YEAR(EDATE(DATE(YEAR(TODAY()),MONTH(TODAY()),1),18))-YEAR(IF(ISNUMBER(Suppliers!F25),Suppliers!F25,DATE(YEAR(TODAY()),MONTH(TODAY()),1))))*12+MONTH(EDATE(DATE(YEAR(TODAY()),MONTH(TODAY()),1),18))-MONTH(IF(ISNUMBER(Suppliers!F25),Suppliers!F25,DATE(YEAR(TODAY()),MONTH(TODAY()),1))),3)=0,1,0),IF(Suppliers!E25="Semi-annual",IF(MOD((YEAR(EDATE(DATE(YEAR(TODAY()),MONTH(TODAY()),1),18))-YEAR(IF(ISNUMBER(Suppliers!F25),Suppliers!F25,DATE(YEAR(TODAY()),MONTH(TODAY()),1))))*12+MONTH(EDATE(DATE(YEAR(TODAY()),MONTH(TODAY()),1),18))-MONTH(IF(ISNUMBER(Suppliers!F25),Suppliers!F25,DATE(YEAR(TODAY()),MONTH(TODAY()),1))),6)=0,1,0),IF(Suppliers!E25="Annual",IF(MOD((YEAR(EDATE(DATE(YEAR(TODAY()),MONTH(TODAY()),1),18))-YEAR(IF(ISNUMBER(Suppliers!F25),Suppliers!F25,DATE(YEAR(TODAY()),MONTH(TODAY()),1))))*12+MONTH(EDATE(DATE(YEAR(TODAY()),MONTH(TODAY()),1),18))-MONTH(IF(ISNUMBER(Suppliers!F25),Suppliers!F25,DATE(YEAR(TODAY()),MONTH(TODAY()),1))),12)=0,1,0),IF(Suppliers!E25="One-time",IF(18=0,1,0),1)))))),"")</f>
        <v/>
      </c>
      <c r="Y27" s="10" t="str">
        <f ca="1">IFERROR(IF(OR(19&gt;=$B$1,Suppliers!A25="",NOT(ISNUMBER(Suppliers!D25)),Suppliers!L25="Expired",Suppliers!L25="Terminate"),"",Suppliers!D25*-1*IF(Suppliers!E25="Monthly",IF(AND(ISNUMBER(Suppliers!G25),(YEAR(EDATE(DATE(YEAR(TODAY()),MONTH(TODAY()),1),19))*12+MONTH(EDATE(DATE(YEAR(TODAY()),MONTH(TODAY()),1),19)))&gt;(YEAR(Suppliers!G25)*12+MONTH(Suppliers!G25))),"",1),IF(Suppliers!E25="Quarterly",IF(MOD((YEAR(EDATE(DATE(YEAR(TODAY()),MONTH(TODAY()),1),19))-YEAR(IF(ISNUMBER(Suppliers!F25),Suppliers!F25,DATE(YEAR(TODAY()),MONTH(TODAY()),1))))*12+MONTH(EDATE(DATE(YEAR(TODAY()),MONTH(TODAY()),1),19))-MONTH(IF(ISNUMBER(Suppliers!F25),Suppliers!F25,DATE(YEAR(TODAY()),MONTH(TODAY()),1))),3)=0,1,0),IF(Suppliers!E25="Semi-annual",IF(MOD((YEAR(EDATE(DATE(YEAR(TODAY()),MONTH(TODAY()),1),19))-YEAR(IF(ISNUMBER(Suppliers!F25),Suppliers!F25,DATE(YEAR(TODAY()),MONTH(TODAY()),1))))*12+MONTH(EDATE(DATE(YEAR(TODAY()),MONTH(TODAY()),1),19))-MONTH(IF(ISNUMBER(Suppliers!F25),Suppliers!F25,DATE(YEAR(TODAY()),MONTH(TODAY()),1))),6)=0,1,0),IF(Suppliers!E25="Annual",IF(MOD((YEAR(EDATE(DATE(YEAR(TODAY()),MONTH(TODAY()),1),19))-YEAR(IF(ISNUMBER(Suppliers!F25),Suppliers!F25,DATE(YEAR(TODAY()),MONTH(TODAY()),1))))*12+MONTH(EDATE(DATE(YEAR(TODAY()),MONTH(TODAY()),1),19))-MONTH(IF(ISNUMBER(Suppliers!F25),Suppliers!F25,DATE(YEAR(TODAY()),MONTH(TODAY()),1))),12)=0,1,0),IF(Suppliers!E25="One-time",IF(19=0,1,0),1)))))),"")</f>
        <v/>
      </c>
      <c r="Z27" s="10" t="str">
        <f ca="1">IFERROR(IF(OR(20&gt;=$B$1,Suppliers!A25="",NOT(ISNUMBER(Suppliers!D25)),Suppliers!L25="Expired",Suppliers!L25="Terminate"),"",Suppliers!D25*-1*IF(Suppliers!E25="Monthly",IF(AND(ISNUMBER(Suppliers!G25),(YEAR(EDATE(DATE(YEAR(TODAY()),MONTH(TODAY()),1),20))*12+MONTH(EDATE(DATE(YEAR(TODAY()),MONTH(TODAY()),1),20)))&gt;(YEAR(Suppliers!G25)*12+MONTH(Suppliers!G25))),"",1),IF(Suppliers!E25="Quarterly",IF(MOD((YEAR(EDATE(DATE(YEAR(TODAY()),MONTH(TODAY()),1),20))-YEAR(IF(ISNUMBER(Suppliers!F25),Suppliers!F25,DATE(YEAR(TODAY()),MONTH(TODAY()),1))))*12+MONTH(EDATE(DATE(YEAR(TODAY()),MONTH(TODAY()),1),20))-MONTH(IF(ISNUMBER(Suppliers!F25),Suppliers!F25,DATE(YEAR(TODAY()),MONTH(TODAY()),1))),3)=0,1,0),IF(Suppliers!E25="Semi-annual",IF(MOD((YEAR(EDATE(DATE(YEAR(TODAY()),MONTH(TODAY()),1),20))-YEAR(IF(ISNUMBER(Suppliers!F25),Suppliers!F25,DATE(YEAR(TODAY()),MONTH(TODAY()),1))))*12+MONTH(EDATE(DATE(YEAR(TODAY()),MONTH(TODAY()),1),20))-MONTH(IF(ISNUMBER(Suppliers!F25),Suppliers!F25,DATE(YEAR(TODAY()),MONTH(TODAY()),1))),6)=0,1,0),IF(Suppliers!E25="Annual",IF(MOD((YEAR(EDATE(DATE(YEAR(TODAY()),MONTH(TODAY()),1),20))-YEAR(IF(ISNUMBER(Suppliers!F25),Suppliers!F25,DATE(YEAR(TODAY()),MONTH(TODAY()),1))))*12+MONTH(EDATE(DATE(YEAR(TODAY()),MONTH(TODAY()),1),20))-MONTH(IF(ISNUMBER(Suppliers!F25),Suppliers!F25,DATE(YEAR(TODAY()),MONTH(TODAY()),1))),12)=0,1,0),IF(Suppliers!E25="One-time",IF(20=0,1,0),1)))))),"")</f>
        <v/>
      </c>
      <c r="AA27" s="10" t="str">
        <f ca="1">IFERROR(IF(OR(21&gt;=$B$1,Suppliers!A25="",NOT(ISNUMBER(Suppliers!D25)),Suppliers!L25="Expired",Suppliers!L25="Terminate"),"",Suppliers!D25*-1*IF(Suppliers!E25="Monthly",IF(AND(ISNUMBER(Suppliers!G25),(YEAR(EDATE(DATE(YEAR(TODAY()),MONTH(TODAY()),1),21))*12+MONTH(EDATE(DATE(YEAR(TODAY()),MONTH(TODAY()),1),21)))&gt;(YEAR(Suppliers!G25)*12+MONTH(Suppliers!G25))),"",1),IF(Suppliers!E25="Quarterly",IF(MOD((YEAR(EDATE(DATE(YEAR(TODAY()),MONTH(TODAY()),1),21))-YEAR(IF(ISNUMBER(Suppliers!F25),Suppliers!F25,DATE(YEAR(TODAY()),MONTH(TODAY()),1))))*12+MONTH(EDATE(DATE(YEAR(TODAY()),MONTH(TODAY()),1),21))-MONTH(IF(ISNUMBER(Suppliers!F25),Suppliers!F25,DATE(YEAR(TODAY()),MONTH(TODAY()),1))),3)=0,1,0),IF(Suppliers!E25="Semi-annual",IF(MOD((YEAR(EDATE(DATE(YEAR(TODAY()),MONTH(TODAY()),1),21))-YEAR(IF(ISNUMBER(Suppliers!F25),Suppliers!F25,DATE(YEAR(TODAY()),MONTH(TODAY()),1))))*12+MONTH(EDATE(DATE(YEAR(TODAY()),MONTH(TODAY()),1),21))-MONTH(IF(ISNUMBER(Suppliers!F25),Suppliers!F25,DATE(YEAR(TODAY()),MONTH(TODAY()),1))),6)=0,1,0),IF(Suppliers!E25="Annual",IF(MOD((YEAR(EDATE(DATE(YEAR(TODAY()),MONTH(TODAY()),1),21))-YEAR(IF(ISNUMBER(Suppliers!F25),Suppliers!F25,DATE(YEAR(TODAY()),MONTH(TODAY()),1))))*12+MONTH(EDATE(DATE(YEAR(TODAY()),MONTH(TODAY()),1),21))-MONTH(IF(ISNUMBER(Suppliers!F25),Suppliers!F25,DATE(YEAR(TODAY()),MONTH(TODAY()),1))),12)=0,1,0),IF(Suppliers!E25="One-time",IF(21=0,1,0),1)))))),"")</f>
        <v/>
      </c>
      <c r="AB27" s="10" t="str">
        <f ca="1">IFERROR(IF(OR(22&gt;=$B$1,Suppliers!A25="",NOT(ISNUMBER(Suppliers!D25)),Suppliers!L25="Expired",Suppliers!L25="Terminate"),"",Suppliers!D25*-1*IF(Suppliers!E25="Monthly",IF(AND(ISNUMBER(Suppliers!G25),(YEAR(EDATE(DATE(YEAR(TODAY()),MONTH(TODAY()),1),22))*12+MONTH(EDATE(DATE(YEAR(TODAY()),MONTH(TODAY()),1),22)))&gt;(YEAR(Suppliers!G25)*12+MONTH(Suppliers!G25))),"",1),IF(Suppliers!E25="Quarterly",IF(MOD((YEAR(EDATE(DATE(YEAR(TODAY()),MONTH(TODAY()),1),22))-YEAR(IF(ISNUMBER(Suppliers!F25),Suppliers!F25,DATE(YEAR(TODAY()),MONTH(TODAY()),1))))*12+MONTH(EDATE(DATE(YEAR(TODAY()),MONTH(TODAY()),1),22))-MONTH(IF(ISNUMBER(Suppliers!F25),Suppliers!F25,DATE(YEAR(TODAY()),MONTH(TODAY()),1))),3)=0,1,0),IF(Suppliers!E25="Semi-annual",IF(MOD((YEAR(EDATE(DATE(YEAR(TODAY()),MONTH(TODAY()),1),22))-YEAR(IF(ISNUMBER(Suppliers!F25),Suppliers!F25,DATE(YEAR(TODAY()),MONTH(TODAY()),1))))*12+MONTH(EDATE(DATE(YEAR(TODAY()),MONTH(TODAY()),1),22))-MONTH(IF(ISNUMBER(Suppliers!F25),Suppliers!F25,DATE(YEAR(TODAY()),MONTH(TODAY()),1))),6)=0,1,0),IF(Suppliers!E25="Annual",IF(MOD((YEAR(EDATE(DATE(YEAR(TODAY()),MONTH(TODAY()),1),22))-YEAR(IF(ISNUMBER(Suppliers!F25),Suppliers!F25,DATE(YEAR(TODAY()),MONTH(TODAY()),1))))*12+MONTH(EDATE(DATE(YEAR(TODAY()),MONTH(TODAY()),1),22))-MONTH(IF(ISNUMBER(Suppliers!F25),Suppliers!F25,DATE(YEAR(TODAY()),MONTH(TODAY()),1))),12)=0,1,0),IF(Suppliers!E25="One-time",IF(22=0,1,0),1)))))),"")</f>
        <v/>
      </c>
      <c r="AC27" s="10" t="str">
        <f ca="1">IFERROR(IF(OR(23&gt;=$B$1,Suppliers!A25="",NOT(ISNUMBER(Suppliers!D25)),Suppliers!L25="Expired",Suppliers!L25="Terminate"),"",Suppliers!D25*-1*IF(Suppliers!E25="Monthly",IF(AND(ISNUMBER(Suppliers!G25),(YEAR(EDATE(DATE(YEAR(TODAY()),MONTH(TODAY()),1),23))*12+MONTH(EDATE(DATE(YEAR(TODAY()),MONTH(TODAY()),1),23)))&gt;(YEAR(Suppliers!G25)*12+MONTH(Suppliers!G25))),"",1),IF(Suppliers!E25="Quarterly",IF(MOD((YEAR(EDATE(DATE(YEAR(TODAY()),MONTH(TODAY()),1),23))-YEAR(IF(ISNUMBER(Suppliers!F25),Suppliers!F25,DATE(YEAR(TODAY()),MONTH(TODAY()),1))))*12+MONTH(EDATE(DATE(YEAR(TODAY()),MONTH(TODAY()),1),23))-MONTH(IF(ISNUMBER(Suppliers!F25),Suppliers!F25,DATE(YEAR(TODAY()),MONTH(TODAY()),1))),3)=0,1,0),IF(Suppliers!E25="Semi-annual",IF(MOD((YEAR(EDATE(DATE(YEAR(TODAY()),MONTH(TODAY()),1),23))-YEAR(IF(ISNUMBER(Suppliers!F25),Suppliers!F25,DATE(YEAR(TODAY()),MONTH(TODAY()),1))))*12+MONTH(EDATE(DATE(YEAR(TODAY()),MONTH(TODAY()),1),23))-MONTH(IF(ISNUMBER(Suppliers!F25),Suppliers!F25,DATE(YEAR(TODAY()),MONTH(TODAY()),1))),6)=0,1,0),IF(Suppliers!E25="Annual",IF(MOD((YEAR(EDATE(DATE(YEAR(TODAY()),MONTH(TODAY()),1),23))-YEAR(IF(ISNUMBER(Suppliers!F25),Suppliers!F25,DATE(YEAR(TODAY()),MONTH(TODAY()),1))))*12+MONTH(EDATE(DATE(YEAR(TODAY()),MONTH(TODAY()),1),23))-MONTH(IF(ISNUMBER(Suppliers!F25),Suppliers!F25,DATE(YEAR(TODAY()),MONTH(TODAY()),1))),12)=0,1,0),IF(Suppliers!E25="One-time",IF(23=0,1,0),1)))))),"")</f>
        <v/>
      </c>
    </row>
    <row r="28" spans="1:29" ht="15" customHeight="1" x14ac:dyDescent="0.35">
      <c r="A28" s="4" t="s">
        <v>80</v>
      </c>
      <c r="B28" s="4" t="str">
        <f>IF(Suppliers!A26="","",Suppliers!A26)</f>
        <v/>
      </c>
      <c r="C28" s="10" t="str">
        <f>IF(Suppliers!C26="","",Suppliers!C26)</f>
        <v/>
      </c>
      <c r="D28" s="10" t="str">
        <f>IF(Suppliers!D26="","",Suppliers!D26)</f>
        <v/>
      </c>
      <c r="E28" s="4" t="str">
        <f>IF(Suppliers!E26="","",Suppliers!E26)</f>
        <v/>
      </c>
      <c r="F28" s="10" t="str">
        <f ca="1">IFERROR(IF(OR(0&gt;=$B$1,Suppliers!A26="",NOT(ISNUMBER(Suppliers!D26)),Suppliers!L26="Expired",Suppliers!L26="Terminate"),"",Suppliers!D26*-1*IF(Suppliers!E26="Monthly",IF(AND(ISNUMBER(Suppliers!G26),(YEAR(EDATE(DATE(YEAR(TODAY()),MONTH(TODAY()),1),0))*12+MONTH(EDATE(DATE(YEAR(TODAY()),MONTH(TODAY()),1),0)))&gt;(YEAR(Suppliers!G26)*12+MONTH(Suppliers!G26))),"",1),IF(Suppliers!E26="Quarterly",IF(MOD((YEAR(EDATE(DATE(YEAR(TODAY()),MONTH(TODAY()),1),0))-YEAR(IF(ISNUMBER(Suppliers!F26),Suppliers!F26,DATE(YEAR(TODAY()),MONTH(TODAY()),1))))*12+MONTH(EDATE(DATE(YEAR(TODAY()),MONTH(TODAY()),1),0))-MONTH(IF(ISNUMBER(Suppliers!F26),Suppliers!F26,DATE(YEAR(TODAY()),MONTH(TODAY()),1))),3)=0,1,0),IF(Suppliers!E26="Semi-annual",IF(MOD((YEAR(EDATE(DATE(YEAR(TODAY()),MONTH(TODAY()),1),0))-YEAR(IF(ISNUMBER(Suppliers!F26),Suppliers!F26,DATE(YEAR(TODAY()),MONTH(TODAY()),1))))*12+MONTH(EDATE(DATE(YEAR(TODAY()),MONTH(TODAY()),1),0))-MONTH(IF(ISNUMBER(Suppliers!F26),Suppliers!F26,DATE(YEAR(TODAY()),MONTH(TODAY()),1))),6)=0,1,0),IF(Suppliers!E26="Annual",IF(MOD((YEAR(EDATE(DATE(YEAR(TODAY()),MONTH(TODAY()),1),0))-YEAR(IF(ISNUMBER(Suppliers!F26),Suppliers!F26,DATE(YEAR(TODAY()),MONTH(TODAY()),1))))*12+MONTH(EDATE(DATE(YEAR(TODAY()),MONTH(TODAY()),1),0))-MONTH(IF(ISNUMBER(Suppliers!F26),Suppliers!F26,DATE(YEAR(TODAY()),MONTH(TODAY()),1))),12)=0,1,0),IF(Suppliers!E26="One-time",IF(0=0,1,0),1)))))),"")</f>
        <v/>
      </c>
      <c r="G28" s="10" t="str">
        <f ca="1">IFERROR(IF(OR(1&gt;=$B$1,Suppliers!A26="",NOT(ISNUMBER(Suppliers!D26)),Suppliers!L26="Expired",Suppliers!L26="Terminate"),"",Suppliers!D26*-1*IF(Suppliers!E26="Monthly",IF(AND(ISNUMBER(Suppliers!G26),(YEAR(EDATE(DATE(YEAR(TODAY()),MONTH(TODAY()),1),1))*12+MONTH(EDATE(DATE(YEAR(TODAY()),MONTH(TODAY()),1),1)))&gt;(YEAR(Suppliers!G26)*12+MONTH(Suppliers!G26))),"",1),IF(Suppliers!E26="Quarterly",IF(MOD((YEAR(EDATE(DATE(YEAR(TODAY()),MONTH(TODAY()),1),1))-YEAR(IF(ISNUMBER(Suppliers!F26),Suppliers!F26,DATE(YEAR(TODAY()),MONTH(TODAY()),1))))*12+MONTH(EDATE(DATE(YEAR(TODAY()),MONTH(TODAY()),1),1))-MONTH(IF(ISNUMBER(Suppliers!F26),Suppliers!F26,DATE(YEAR(TODAY()),MONTH(TODAY()),1))),3)=0,1,0),IF(Suppliers!E26="Semi-annual",IF(MOD((YEAR(EDATE(DATE(YEAR(TODAY()),MONTH(TODAY()),1),1))-YEAR(IF(ISNUMBER(Suppliers!F26),Suppliers!F26,DATE(YEAR(TODAY()),MONTH(TODAY()),1))))*12+MONTH(EDATE(DATE(YEAR(TODAY()),MONTH(TODAY()),1),1))-MONTH(IF(ISNUMBER(Suppliers!F26),Suppliers!F26,DATE(YEAR(TODAY()),MONTH(TODAY()),1))),6)=0,1,0),IF(Suppliers!E26="Annual",IF(MOD((YEAR(EDATE(DATE(YEAR(TODAY()),MONTH(TODAY()),1),1))-YEAR(IF(ISNUMBER(Suppliers!F26),Suppliers!F26,DATE(YEAR(TODAY()),MONTH(TODAY()),1))))*12+MONTH(EDATE(DATE(YEAR(TODAY()),MONTH(TODAY()),1),1))-MONTH(IF(ISNUMBER(Suppliers!F26),Suppliers!F26,DATE(YEAR(TODAY()),MONTH(TODAY()),1))),12)=0,1,0),IF(Suppliers!E26="One-time",IF(1=0,1,0),1)))))),"")</f>
        <v/>
      </c>
      <c r="H28" s="10" t="str">
        <f ca="1">IFERROR(IF(OR(2&gt;=$B$1,Suppliers!A26="",NOT(ISNUMBER(Suppliers!D26)),Suppliers!L26="Expired",Suppliers!L26="Terminate"),"",Suppliers!D26*-1*IF(Suppliers!E26="Monthly",IF(AND(ISNUMBER(Suppliers!G26),(YEAR(EDATE(DATE(YEAR(TODAY()),MONTH(TODAY()),1),2))*12+MONTH(EDATE(DATE(YEAR(TODAY()),MONTH(TODAY()),1),2)))&gt;(YEAR(Suppliers!G26)*12+MONTH(Suppliers!G26))),"",1),IF(Suppliers!E26="Quarterly",IF(MOD((YEAR(EDATE(DATE(YEAR(TODAY()),MONTH(TODAY()),1),2))-YEAR(IF(ISNUMBER(Suppliers!F26),Suppliers!F26,DATE(YEAR(TODAY()),MONTH(TODAY()),1))))*12+MONTH(EDATE(DATE(YEAR(TODAY()),MONTH(TODAY()),1),2))-MONTH(IF(ISNUMBER(Suppliers!F26),Suppliers!F26,DATE(YEAR(TODAY()),MONTH(TODAY()),1))),3)=0,1,0),IF(Suppliers!E26="Semi-annual",IF(MOD((YEAR(EDATE(DATE(YEAR(TODAY()),MONTH(TODAY()),1),2))-YEAR(IF(ISNUMBER(Suppliers!F26),Suppliers!F26,DATE(YEAR(TODAY()),MONTH(TODAY()),1))))*12+MONTH(EDATE(DATE(YEAR(TODAY()),MONTH(TODAY()),1),2))-MONTH(IF(ISNUMBER(Suppliers!F26),Suppliers!F26,DATE(YEAR(TODAY()),MONTH(TODAY()),1))),6)=0,1,0),IF(Suppliers!E26="Annual",IF(MOD((YEAR(EDATE(DATE(YEAR(TODAY()),MONTH(TODAY()),1),2))-YEAR(IF(ISNUMBER(Suppliers!F26),Suppliers!F26,DATE(YEAR(TODAY()),MONTH(TODAY()),1))))*12+MONTH(EDATE(DATE(YEAR(TODAY()),MONTH(TODAY()),1),2))-MONTH(IF(ISNUMBER(Suppliers!F26),Suppliers!F26,DATE(YEAR(TODAY()),MONTH(TODAY()),1))),12)=0,1,0),IF(Suppliers!E26="One-time",IF(2=0,1,0),1)))))),"")</f>
        <v/>
      </c>
      <c r="I28" s="10" t="str">
        <f ca="1">IFERROR(IF(OR(3&gt;=$B$1,Suppliers!A26="",NOT(ISNUMBER(Suppliers!D26)),Suppliers!L26="Expired",Suppliers!L26="Terminate"),"",Suppliers!D26*-1*IF(Suppliers!E26="Monthly",IF(AND(ISNUMBER(Suppliers!G26),(YEAR(EDATE(DATE(YEAR(TODAY()),MONTH(TODAY()),1),3))*12+MONTH(EDATE(DATE(YEAR(TODAY()),MONTH(TODAY()),1),3)))&gt;(YEAR(Suppliers!G26)*12+MONTH(Suppliers!G26))),"",1),IF(Suppliers!E26="Quarterly",IF(MOD((YEAR(EDATE(DATE(YEAR(TODAY()),MONTH(TODAY()),1),3))-YEAR(IF(ISNUMBER(Suppliers!F26),Suppliers!F26,DATE(YEAR(TODAY()),MONTH(TODAY()),1))))*12+MONTH(EDATE(DATE(YEAR(TODAY()),MONTH(TODAY()),1),3))-MONTH(IF(ISNUMBER(Suppliers!F26),Suppliers!F26,DATE(YEAR(TODAY()),MONTH(TODAY()),1))),3)=0,1,0),IF(Suppliers!E26="Semi-annual",IF(MOD((YEAR(EDATE(DATE(YEAR(TODAY()),MONTH(TODAY()),1),3))-YEAR(IF(ISNUMBER(Suppliers!F26),Suppliers!F26,DATE(YEAR(TODAY()),MONTH(TODAY()),1))))*12+MONTH(EDATE(DATE(YEAR(TODAY()),MONTH(TODAY()),1),3))-MONTH(IF(ISNUMBER(Suppliers!F26),Suppliers!F26,DATE(YEAR(TODAY()),MONTH(TODAY()),1))),6)=0,1,0),IF(Suppliers!E26="Annual",IF(MOD((YEAR(EDATE(DATE(YEAR(TODAY()),MONTH(TODAY()),1),3))-YEAR(IF(ISNUMBER(Suppliers!F26),Suppliers!F26,DATE(YEAR(TODAY()),MONTH(TODAY()),1))))*12+MONTH(EDATE(DATE(YEAR(TODAY()),MONTH(TODAY()),1),3))-MONTH(IF(ISNUMBER(Suppliers!F26),Suppliers!F26,DATE(YEAR(TODAY()),MONTH(TODAY()),1))),12)=0,1,0),IF(Suppliers!E26="One-time",IF(3=0,1,0),1)))))),"")</f>
        <v/>
      </c>
      <c r="J28" s="10" t="str">
        <f ca="1">IFERROR(IF(OR(4&gt;=$B$1,Suppliers!A26="",NOT(ISNUMBER(Suppliers!D26)),Suppliers!L26="Expired",Suppliers!L26="Terminate"),"",Suppliers!D26*-1*IF(Suppliers!E26="Monthly",IF(AND(ISNUMBER(Suppliers!G26),(YEAR(EDATE(DATE(YEAR(TODAY()),MONTH(TODAY()),1),4))*12+MONTH(EDATE(DATE(YEAR(TODAY()),MONTH(TODAY()),1),4)))&gt;(YEAR(Suppliers!G26)*12+MONTH(Suppliers!G26))),"",1),IF(Suppliers!E26="Quarterly",IF(MOD((YEAR(EDATE(DATE(YEAR(TODAY()),MONTH(TODAY()),1),4))-YEAR(IF(ISNUMBER(Suppliers!F26),Suppliers!F26,DATE(YEAR(TODAY()),MONTH(TODAY()),1))))*12+MONTH(EDATE(DATE(YEAR(TODAY()),MONTH(TODAY()),1),4))-MONTH(IF(ISNUMBER(Suppliers!F26),Suppliers!F26,DATE(YEAR(TODAY()),MONTH(TODAY()),1))),3)=0,1,0),IF(Suppliers!E26="Semi-annual",IF(MOD((YEAR(EDATE(DATE(YEAR(TODAY()),MONTH(TODAY()),1),4))-YEAR(IF(ISNUMBER(Suppliers!F26),Suppliers!F26,DATE(YEAR(TODAY()),MONTH(TODAY()),1))))*12+MONTH(EDATE(DATE(YEAR(TODAY()),MONTH(TODAY()),1),4))-MONTH(IF(ISNUMBER(Suppliers!F26),Suppliers!F26,DATE(YEAR(TODAY()),MONTH(TODAY()),1))),6)=0,1,0),IF(Suppliers!E26="Annual",IF(MOD((YEAR(EDATE(DATE(YEAR(TODAY()),MONTH(TODAY()),1),4))-YEAR(IF(ISNUMBER(Suppliers!F26),Suppliers!F26,DATE(YEAR(TODAY()),MONTH(TODAY()),1))))*12+MONTH(EDATE(DATE(YEAR(TODAY()),MONTH(TODAY()),1),4))-MONTH(IF(ISNUMBER(Suppliers!F26),Suppliers!F26,DATE(YEAR(TODAY()),MONTH(TODAY()),1))),12)=0,1,0),IF(Suppliers!E26="One-time",IF(4=0,1,0),1)))))),"")</f>
        <v/>
      </c>
      <c r="K28" s="10" t="str">
        <f ca="1">IFERROR(IF(OR(5&gt;=$B$1,Suppliers!A26="",NOT(ISNUMBER(Suppliers!D26)),Suppliers!L26="Expired",Suppliers!L26="Terminate"),"",Suppliers!D26*-1*IF(Suppliers!E26="Monthly",IF(AND(ISNUMBER(Suppliers!G26),(YEAR(EDATE(DATE(YEAR(TODAY()),MONTH(TODAY()),1),5))*12+MONTH(EDATE(DATE(YEAR(TODAY()),MONTH(TODAY()),1),5)))&gt;(YEAR(Suppliers!G26)*12+MONTH(Suppliers!G26))),"",1),IF(Suppliers!E26="Quarterly",IF(MOD((YEAR(EDATE(DATE(YEAR(TODAY()),MONTH(TODAY()),1),5))-YEAR(IF(ISNUMBER(Suppliers!F26),Suppliers!F26,DATE(YEAR(TODAY()),MONTH(TODAY()),1))))*12+MONTH(EDATE(DATE(YEAR(TODAY()),MONTH(TODAY()),1),5))-MONTH(IF(ISNUMBER(Suppliers!F26),Suppliers!F26,DATE(YEAR(TODAY()),MONTH(TODAY()),1))),3)=0,1,0),IF(Suppliers!E26="Semi-annual",IF(MOD((YEAR(EDATE(DATE(YEAR(TODAY()),MONTH(TODAY()),1),5))-YEAR(IF(ISNUMBER(Suppliers!F26),Suppliers!F26,DATE(YEAR(TODAY()),MONTH(TODAY()),1))))*12+MONTH(EDATE(DATE(YEAR(TODAY()),MONTH(TODAY()),1),5))-MONTH(IF(ISNUMBER(Suppliers!F26),Suppliers!F26,DATE(YEAR(TODAY()),MONTH(TODAY()),1))),6)=0,1,0),IF(Suppliers!E26="Annual",IF(MOD((YEAR(EDATE(DATE(YEAR(TODAY()),MONTH(TODAY()),1),5))-YEAR(IF(ISNUMBER(Suppliers!F26),Suppliers!F26,DATE(YEAR(TODAY()),MONTH(TODAY()),1))))*12+MONTH(EDATE(DATE(YEAR(TODAY()),MONTH(TODAY()),1),5))-MONTH(IF(ISNUMBER(Suppliers!F26),Suppliers!F26,DATE(YEAR(TODAY()),MONTH(TODAY()),1))),12)=0,1,0),IF(Suppliers!E26="One-time",IF(5=0,1,0),1)))))),"")</f>
        <v/>
      </c>
      <c r="L28" s="10" t="str">
        <f ca="1">IFERROR(IF(OR(6&gt;=$B$1,Suppliers!A26="",NOT(ISNUMBER(Suppliers!D26)),Suppliers!L26="Expired",Suppliers!L26="Terminate"),"",Suppliers!D26*-1*IF(Suppliers!E26="Monthly",IF(AND(ISNUMBER(Suppliers!G26),(YEAR(EDATE(DATE(YEAR(TODAY()),MONTH(TODAY()),1),6))*12+MONTH(EDATE(DATE(YEAR(TODAY()),MONTH(TODAY()),1),6)))&gt;(YEAR(Suppliers!G26)*12+MONTH(Suppliers!G26))),"",1),IF(Suppliers!E26="Quarterly",IF(MOD((YEAR(EDATE(DATE(YEAR(TODAY()),MONTH(TODAY()),1),6))-YEAR(IF(ISNUMBER(Suppliers!F26),Suppliers!F26,DATE(YEAR(TODAY()),MONTH(TODAY()),1))))*12+MONTH(EDATE(DATE(YEAR(TODAY()),MONTH(TODAY()),1),6))-MONTH(IF(ISNUMBER(Suppliers!F26),Suppliers!F26,DATE(YEAR(TODAY()),MONTH(TODAY()),1))),3)=0,1,0),IF(Suppliers!E26="Semi-annual",IF(MOD((YEAR(EDATE(DATE(YEAR(TODAY()),MONTH(TODAY()),1),6))-YEAR(IF(ISNUMBER(Suppliers!F26),Suppliers!F26,DATE(YEAR(TODAY()),MONTH(TODAY()),1))))*12+MONTH(EDATE(DATE(YEAR(TODAY()),MONTH(TODAY()),1),6))-MONTH(IF(ISNUMBER(Suppliers!F26),Suppliers!F26,DATE(YEAR(TODAY()),MONTH(TODAY()),1))),6)=0,1,0),IF(Suppliers!E26="Annual",IF(MOD((YEAR(EDATE(DATE(YEAR(TODAY()),MONTH(TODAY()),1),6))-YEAR(IF(ISNUMBER(Suppliers!F26),Suppliers!F26,DATE(YEAR(TODAY()),MONTH(TODAY()),1))))*12+MONTH(EDATE(DATE(YEAR(TODAY()),MONTH(TODAY()),1),6))-MONTH(IF(ISNUMBER(Suppliers!F26),Suppliers!F26,DATE(YEAR(TODAY()),MONTH(TODAY()),1))),12)=0,1,0),IF(Suppliers!E26="One-time",IF(6=0,1,0),1)))))),"")</f>
        <v/>
      </c>
      <c r="M28" s="10" t="str">
        <f ca="1">IFERROR(IF(OR(7&gt;=$B$1,Suppliers!A26="",NOT(ISNUMBER(Suppliers!D26)),Suppliers!L26="Expired",Suppliers!L26="Terminate"),"",Suppliers!D26*-1*IF(Suppliers!E26="Monthly",IF(AND(ISNUMBER(Suppliers!G26),(YEAR(EDATE(DATE(YEAR(TODAY()),MONTH(TODAY()),1),7))*12+MONTH(EDATE(DATE(YEAR(TODAY()),MONTH(TODAY()),1),7)))&gt;(YEAR(Suppliers!G26)*12+MONTH(Suppliers!G26))),"",1),IF(Suppliers!E26="Quarterly",IF(MOD((YEAR(EDATE(DATE(YEAR(TODAY()),MONTH(TODAY()),1),7))-YEAR(IF(ISNUMBER(Suppliers!F26),Suppliers!F26,DATE(YEAR(TODAY()),MONTH(TODAY()),1))))*12+MONTH(EDATE(DATE(YEAR(TODAY()),MONTH(TODAY()),1),7))-MONTH(IF(ISNUMBER(Suppliers!F26),Suppliers!F26,DATE(YEAR(TODAY()),MONTH(TODAY()),1))),3)=0,1,0),IF(Suppliers!E26="Semi-annual",IF(MOD((YEAR(EDATE(DATE(YEAR(TODAY()),MONTH(TODAY()),1),7))-YEAR(IF(ISNUMBER(Suppliers!F26),Suppliers!F26,DATE(YEAR(TODAY()),MONTH(TODAY()),1))))*12+MONTH(EDATE(DATE(YEAR(TODAY()),MONTH(TODAY()),1),7))-MONTH(IF(ISNUMBER(Suppliers!F26),Suppliers!F26,DATE(YEAR(TODAY()),MONTH(TODAY()),1))),6)=0,1,0),IF(Suppliers!E26="Annual",IF(MOD((YEAR(EDATE(DATE(YEAR(TODAY()),MONTH(TODAY()),1),7))-YEAR(IF(ISNUMBER(Suppliers!F26),Suppliers!F26,DATE(YEAR(TODAY()),MONTH(TODAY()),1))))*12+MONTH(EDATE(DATE(YEAR(TODAY()),MONTH(TODAY()),1),7))-MONTH(IF(ISNUMBER(Suppliers!F26),Suppliers!F26,DATE(YEAR(TODAY()),MONTH(TODAY()),1))),12)=0,1,0),IF(Suppliers!E26="One-time",IF(7=0,1,0),1)))))),"")</f>
        <v/>
      </c>
      <c r="N28" s="10" t="str">
        <f ca="1">IFERROR(IF(OR(8&gt;=$B$1,Suppliers!A26="",NOT(ISNUMBER(Suppliers!D26)),Suppliers!L26="Expired",Suppliers!L26="Terminate"),"",Suppliers!D26*-1*IF(Suppliers!E26="Monthly",IF(AND(ISNUMBER(Suppliers!G26),(YEAR(EDATE(DATE(YEAR(TODAY()),MONTH(TODAY()),1),8))*12+MONTH(EDATE(DATE(YEAR(TODAY()),MONTH(TODAY()),1),8)))&gt;(YEAR(Suppliers!G26)*12+MONTH(Suppliers!G26))),"",1),IF(Suppliers!E26="Quarterly",IF(MOD((YEAR(EDATE(DATE(YEAR(TODAY()),MONTH(TODAY()),1),8))-YEAR(IF(ISNUMBER(Suppliers!F26),Suppliers!F26,DATE(YEAR(TODAY()),MONTH(TODAY()),1))))*12+MONTH(EDATE(DATE(YEAR(TODAY()),MONTH(TODAY()),1),8))-MONTH(IF(ISNUMBER(Suppliers!F26),Suppliers!F26,DATE(YEAR(TODAY()),MONTH(TODAY()),1))),3)=0,1,0),IF(Suppliers!E26="Semi-annual",IF(MOD((YEAR(EDATE(DATE(YEAR(TODAY()),MONTH(TODAY()),1),8))-YEAR(IF(ISNUMBER(Suppliers!F26),Suppliers!F26,DATE(YEAR(TODAY()),MONTH(TODAY()),1))))*12+MONTH(EDATE(DATE(YEAR(TODAY()),MONTH(TODAY()),1),8))-MONTH(IF(ISNUMBER(Suppliers!F26),Suppliers!F26,DATE(YEAR(TODAY()),MONTH(TODAY()),1))),6)=0,1,0),IF(Suppliers!E26="Annual",IF(MOD((YEAR(EDATE(DATE(YEAR(TODAY()),MONTH(TODAY()),1),8))-YEAR(IF(ISNUMBER(Suppliers!F26),Suppliers!F26,DATE(YEAR(TODAY()),MONTH(TODAY()),1))))*12+MONTH(EDATE(DATE(YEAR(TODAY()),MONTH(TODAY()),1),8))-MONTH(IF(ISNUMBER(Suppliers!F26),Suppliers!F26,DATE(YEAR(TODAY()),MONTH(TODAY()),1))),12)=0,1,0),IF(Suppliers!E26="One-time",IF(8=0,1,0),1)))))),"")</f>
        <v/>
      </c>
      <c r="O28" s="10" t="str">
        <f ca="1">IFERROR(IF(OR(9&gt;=$B$1,Suppliers!A26="",NOT(ISNUMBER(Suppliers!D26)),Suppliers!L26="Expired",Suppliers!L26="Terminate"),"",Suppliers!D26*-1*IF(Suppliers!E26="Monthly",IF(AND(ISNUMBER(Suppliers!G26),(YEAR(EDATE(DATE(YEAR(TODAY()),MONTH(TODAY()),1),9))*12+MONTH(EDATE(DATE(YEAR(TODAY()),MONTH(TODAY()),1),9)))&gt;(YEAR(Suppliers!G26)*12+MONTH(Suppliers!G26))),"",1),IF(Suppliers!E26="Quarterly",IF(MOD((YEAR(EDATE(DATE(YEAR(TODAY()),MONTH(TODAY()),1),9))-YEAR(IF(ISNUMBER(Suppliers!F26),Suppliers!F26,DATE(YEAR(TODAY()),MONTH(TODAY()),1))))*12+MONTH(EDATE(DATE(YEAR(TODAY()),MONTH(TODAY()),1),9))-MONTH(IF(ISNUMBER(Suppliers!F26),Suppliers!F26,DATE(YEAR(TODAY()),MONTH(TODAY()),1))),3)=0,1,0),IF(Suppliers!E26="Semi-annual",IF(MOD((YEAR(EDATE(DATE(YEAR(TODAY()),MONTH(TODAY()),1),9))-YEAR(IF(ISNUMBER(Suppliers!F26),Suppliers!F26,DATE(YEAR(TODAY()),MONTH(TODAY()),1))))*12+MONTH(EDATE(DATE(YEAR(TODAY()),MONTH(TODAY()),1),9))-MONTH(IF(ISNUMBER(Suppliers!F26),Suppliers!F26,DATE(YEAR(TODAY()),MONTH(TODAY()),1))),6)=0,1,0),IF(Suppliers!E26="Annual",IF(MOD((YEAR(EDATE(DATE(YEAR(TODAY()),MONTH(TODAY()),1),9))-YEAR(IF(ISNUMBER(Suppliers!F26),Suppliers!F26,DATE(YEAR(TODAY()),MONTH(TODAY()),1))))*12+MONTH(EDATE(DATE(YEAR(TODAY()),MONTH(TODAY()),1),9))-MONTH(IF(ISNUMBER(Suppliers!F26),Suppliers!F26,DATE(YEAR(TODAY()),MONTH(TODAY()),1))),12)=0,1,0),IF(Suppliers!E26="One-time",IF(9=0,1,0),1)))))),"")</f>
        <v/>
      </c>
      <c r="P28" s="10" t="str">
        <f ca="1">IFERROR(IF(OR(10&gt;=$B$1,Suppliers!A26="",NOT(ISNUMBER(Suppliers!D26)),Suppliers!L26="Expired",Suppliers!L26="Terminate"),"",Suppliers!D26*-1*IF(Suppliers!E26="Monthly",IF(AND(ISNUMBER(Suppliers!G26),(YEAR(EDATE(DATE(YEAR(TODAY()),MONTH(TODAY()),1),10))*12+MONTH(EDATE(DATE(YEAR(TODAY()),MONTH(TODAY()),1),10)))&gt;(YEAR(Suppliers!G26)*12+MONTH(Suppliers!G26))),"",1),IF(Suppliers!E26="Quarterly",IF(MOD((YEAR(EDATE(DATE(YEAR(TODAY()),MONTH(TODAY()),1),10))-YEAR(IF(ISNUMBER(Suppliers!F26),Suppliers!F26,DATE(YEAR(TODAY()),MONTH(TODAY()),1))))*12+MONTH(EDATE(DATE(YEAR(TODAY()),MONTH(TODAY()),1),10))-MONTH(IF(ISNUMBER(Suppliers!F26),Suppliers!F26,DATE(YEAR(TODAY()),MONTH(TODAY()),1))),3)=0,1,0),IF(Suppliers!E26="Semi-annual",IF(MOD((YEAR(EDATE(DATE(YEAR(TODAY()),MONTH(TODAY()),1),10))-YEAR(IF(ISNUMBER(Suppliers!F26),Suppliers!F26,DATE(YEAR(TODAY()),MONTH(TODAY()),1))))*12+MONTH(EDATE(DATE(YEAR(TODAY()),MONTH(TODAY()),1),10))-MONTH(IF(ISNUMBER(Suppliers!F26),Suppliers!F26,DATE(YEAR(TODAY()),MONTH(TODAY()),1))),6)=0,1,0),IF(Suppliers!E26="Annual",IF(MOD((YEAR(EDATE(DATE(YEAR(TODAY()),MONTH(TODAY()),1),10))-YEAR(IF(ISNUMBER(Suppliers!F26),Suppliers!F26,DATE(YEAR(TODAY()),MONTH(TODAY()),1))))*12+MONTH(EDATE(DATE(YEAR(TODAY()),MONTH(TODAY()),1),10))-MONTH(IF(ISNUMBER(Suppliers!F26),Suppliers!F26,DATE(YEAR(TODAY()),MONTH(TODAY()),1))),12)=0,1,0),IF(Suppliers!E26="One-time",IF(10=0,1,0),1)))))),"")</f>
        <v/>
      </c>
      <c r="Q28" s="10" t="str">
        <f ca="1">IFERROR(IF(OR(11&gt;=$B$1,Suppliers!A26="",NOT(ISNUMBER(Suppliers!D26)),Suppliers!L26="Expired",Suppliers!L26="Terminate"),"",Suppliers!D26*-1*IF(Suppliers!E26="Monthly",IF(AND(ISNUMBER(Suppliers!G26),(YEAR(EDATE(DATE(YEAR(TODAY()),MONTH(TODAY()),1),11))*12+MONTH(EDATE(DATE(YEAR(TODAY()),MONTH(TODAY()),1),11)))&gt;(YEAR(Suppliers!G26)*12+MONTH(Suppliers!G26))),"",1),IF(Suppliers!E26="Quarterly",IF(MOD((YEAR(EDATE(DATE(YEAR(TODAY()),MONTH(TODAY()),1),11))-YEAR(IF(ISNUMBER(Suppliers!F26),Suppliers!F26,DATE(YEAR(TODAY()),MONTH(TODAY()),1))))*12+MONTH(EDATE(DATE(YEAR(TODAY()),MONTH(TODAY()),1),11))-MONTH(IF(ISNUMBER(Suppliers!F26),Suppliers!F26,DATE(YEAR(TODAY()),MONTH(TODAY()),1))),3)=0,1,0),IF(Suppliers!E26="Semi-annual",IF(MOD((YEAR(EDATE(DATE(YEAR(TODAY()),MONTH(TODAY()),1),11))-YEAR(IF(ISNUMBER(Suppliers!F26),Suppliers!F26,DATE(YEAR(TODAY()),MONTH(TODAY()),1))))*12+MONTH(EDATE(DATE(YEAR(TODAY()),MONTH(TODAY()),1),11))-MONTH(IF(ISNUMBER(Suppliers!F26),Suppliers!F26,DATE(YEAR(TODAY()),MONTH(TODAY()),1))),6)=0,1,0),IF(Suppliers!E26="Annual",IF(MOD((YEAR(EDATE(DATE(YEAR(TODAY()),MONTH(TODAY()),1),11))-YEAR(IF(ISNUMBER(Suppliers!F26),Suppliers!F26,DATE(YEAR(TODAY()),MONTH(TODAY()),1))))*12+MONTH(EDATE(DATE(YEAR(TODAY()),MONTH(TODAY()),1),11))-MONTH(IF(ISNUMBER(Suppliers!F26),Suppliers!F26,DATE(YEAR(TODAY()),MONTH(TODAY()),1))),12)=0,1,0),IF(Suppliers!E26="One-time",IF(11=0,1,0),1)))))),"")</f>
        <v/>
      </c>
      <c r="R28" s="10" t="str">
        <f ca="1">IFERROR(IF(OR(12&gt;=$B$1,Suppliers!A26="",NOT(ISNUMBER(Suppliers!D26)),Suppliers!L26="Expired",Suppliers!L26="Terminate"),"",Suppliers!D26*-1*IF(Suppliers!E26="Monthly",IF(AND(ISNUMBER(Suppliers!G26),(YEAR(EDATE(DATE(YEAR(TODAY()),MONTH(TODAY()),1),12))*12+MONTH(EDATE(DATE(YEAR(TODAY()),MONTH(TODAY()),1),12)))&gt;(YEAR(Suppliers!G26)*12+MONTH(Suppliers!G26))),"",1),IF(Suppliers!E26="Quarterly",IF(MOD((YEAR(EDATE(DATE(YEAR(TODAY()),MONTH(TODAY()),1),12))-YEAR(IF(ISNUMBER(Suppliers!F26),Suppliers!F26,DATE(YEAR(TODAY()),MONTH(TODAY()),1))))*12+MONTH(EDATE(DATE(YEAR(TODAY()),MONTH(TODAY()),1),12))-MONTH(IF(ISNUMBER(Suppliers!F26),Suppliers!F26,DATE(YEAR(TODAY()),MONTH(TODAY()),1))),3)=0,1,0),IF(Suppliers!E26="Semi-annual",IF(MOD((YEAR(EDATE(DATE(YEAR(TODAY()),MONTH(TODAY()),1),12))-YEAR(IF(ISNUMBER(Suppliers!F26),Suppliers!F26,DATE(YEAR(TODAY()),MONTH(TODAY()),1))))*12+MONTH(EDATE(DATE(YEAR(TODAY()),MONTH(TODAY()),1),12))-MONTH(IF(ISNUMBER(Suppliers!F26),Suppliers!F26,DATE(YEAR(TODAY()),MONTH(TODAY()),1))),6)=0,1,0),IF(Suppliers!E26="Annual",IF(MOD((YEAR(EDATE(DATE(YEAR(TODAY()),MONTH(TODAY()),1),12))-YEAR(IF(ISNUMBER(Suppliers!F26),Suppliers!F26,DATE(YEAR(TODAY()),MONTH(TODAY()),1))))*12+MONTH(EDATE(DATE(YEAR(TODAY()),MONTH(TODAY()),1),12))-MONTH(IF(ISNUMBER(Suppliers!F26),Suppliers!F26,DATE(YEAR(TODAY()),MONTH(TODAY()),1))),12)=0,1,0),IF(Suppliers!E26="One-time",IF(12=0,1,0),1)))))),"")</f>
        <v/>
      </c>
      <c r="S28" s="10" t="str">
        <f ca="1">IFERROR(IF(OR(13&gt;=$B$1,Suppliers!A26="",NOT(ISNUMBER(Suppliers!D26)),Suppliers!L26="Expired",Suppliers!L26="Terminate"),"",Suppliers!D26*-1*IF(Suppliers!E26="Monthly",IF(AND(ISNUMBER(Suppliers!G26),(YEAR(EDATE(DATE(YEAR(TODAY()),MONTH(TODAY()),1),13))*12+MONTH(EDATE(DATE(YEAR(TODAY()),MONTH(TODAY()),1),13)))&gt;(YEAR(Suppliers!G26)*12+MONTH(Suppliers!G26))),"",1),IF(Suppliers!E26="Quarterly",IF(MOD((YEAR(EDATE(DATE(YEAR(TODAY()),MONTH(TODAY()),1),13))-YEAR(IF(ISNUMBER(Suppliers!F26),Suppliers!F26,DATE(YEAR(TODAY()),MONTH(TODAY()),1))))*12+MONTH(EDATE(DATE(YEAR(TODAY()),MONTH(TODAY()),1),13))-MONTH(IF(ISNUMBER(Suppliers!F26),Suppliers!F26,DATE(YEAR(TODAY()),MONTH(TODAY()),1))),3)=0,1,0),IF(Suppliers!E26="Semi-annual",IF(MOD((YEAR(EDATE(DATE(YEAR(TODAY()),MONTH(TODAY()),1),13))-YEAR(IF(ISNUMBER(Suppliers!F26),Suppliers!F26,DATE(YEAR(TODAY()),MONTH(TODAY()),1))))*12+MONTH(EDATE(DATE(YEAR(TODAY()),MONTH(TODAY()),1),13))-MONTH(IF(ISNUMBER(Suppliers!F26),Suppliers!F26,DATE(YEAR(TODAY()),MONTH(TODAY()),1))),6)=0,1,0),IF(Suppliers!E26="Annual",IF(MOD((YEAR(EDATE(DATE(YEAR(TODAY()),MONTH(TODAY()),1),13))-YEAR(IF(ISNUMBER(Suppliers!F26),Suppliers!F26,DATE(YEAR(TODAY()),MONTH(TODAY()),1))))*12+MONTH(EDATE(DATE(YEAR(TODAY()),MONTH(TODAY()),1),13))-MONTH(IF(ISNUMBER(Suppliers!F26),Suppliers!F26,DATE(YEAR(TODAY()),MONTH(TODAY()),1))),12)=0,1,0),IF(Suppliers!E26="One-time",IF(13=0,1,0),1)))))),"")</f>
        <v/>
      </c>
      <c r="T28" s="10" t="str">
        <f ca="1">IFERROR(IF(OR(14&gt;=$B$1,Suppliers!A26="",NOT(ISNUMBER(Suppliers!D26)),Suppliers!L26="Expired",Suppliers!L26="Terminate"),"",Suppliers!D26*-1*IF(Suppliers!E26="Monthly",IF(AND(ISNUMBER(Suppliers!G26),(YEAR(EDATE(DATE(YEAR(TODAY()),MONTH(TODAY()),1),14))*12+MONTH(EDATE(DATE(YEAR(TODAY()),MONTH(TODAY()),1),14)))&gt;(YEAR(Suppliers!G26)*12+MONTH(Suppliers!G26))),"",1),IF(Suppliers!E26="Quarterly",IF(MOD((YEAR(EDATE(DATE(YEAR(TODAY()),MONTH(TODAY()),1),14))-YEAR(IF(ISNUMBER(Suppliers!F26),Suppliers!F26,DATE(YEAR(TODAY()),MONTH(TODAY()),1))))*12+MONTH(EDATE(DATE(YEAR(TODAY()),MONTH(TODAY()),1),14))-MONTH(IF(ISNUMBER(Suppliers!F26),Suppliers!F26,DATE(YEAR(TODAY()),MONTH(TODAY()),1))),3)=0,1,0),IF(Suppliers!E26="Semi-annual",IF(MOD((YEAR(EDATE(DATE(YEAR(TODAY()),MONTH(TODAY()),1),14))-YEAR(IF(ISNUMBER(Suppliers!F26),Suppliers!F26,DATE(YEAR(TODAY()),MONTH(TODAY()),1))))*12+MONTH(EDATE(DATE(YEAR(TODAY()),MONTH(TODAY()),1),14))-MONTH(IF(ISNUMBER(Suppliers!F26),Suppliers!F26,DATE(YEAR(TODAY()),MONTH(TODAY()),1))),6)=0,1,0),IF(Suppliers!E26="Annual",IF(MOD((YEAR(EDATE(DATE(YEAR(TODAY()),MONTH(TODAY()),1),14))-YEAR(IF(ISNUMBER(Suppliers!F26),Suppliers!F26,DATE(YEAR(TODAY()),MONTH(TODAY()),1))))*12+MONTH(EDATE(DATE(YEAR(TODAY()),MONTH(TODAY()),1),14))-MONTH(IF(ISNUMBER(Suppliers!F26),Suppliers!F26,DATE(YEAR(TODAY()),MONTH(TODAY()),1))),12)=0,1,0),IF(Suppliers!E26="One-time",IF(14=0,1,0),1)))))),"")</f>
        <v/>
      </c>
      <c r="U28" s="10" t="str">
        <f ca="1">IFERROR(IF(OR(15&gt;=$B$1,Suppliers!A26="",NOT(ISNUMBER(Suppliers!D26)),Suppliers!L26="Expired",Suppliers!L26="Terminate"),"",Suppliers!D26*-1*IF(Suppliers!E26="Monthly",IF(AND(ISNUMBER(Suppliers!G26),(YEAR(EDATE(DATE(YEAR(TODAY()),MONTH(TODAY()),1),15))*12+MONTH(EDATE(DATE(YEAR(TODAY()),MONTH(TODAY()),1),15)))&gt;(YEAR(Suppliers!G26)*12+MONTH(Suppliers!G26))),"",1),IF(Suppliers!E26="Quarterly",IF(MOD((YEAR(EDATE(DATE(YEAR(TODAY()),MONTH(TODAY()),1),15))-YEAR(IF(ISNUMBER(Suppliers!F26),Suppliers!F26,DATE(YEAR(TODAY()),MONTH(TODAY()),1))))*12+MONTH(EDATE(DATE(YEAR(TODAY()),MONTH(TODAY()),1),15))-MONTH(IF(ISNUMBER(Suppliers!F26),Suppliers!F26,DATE(YEAR(TODAY()),MONTH(TODAY()),1))),3)=0,1,0),IF(Suppliers!E26="Semi-annual",IF(MOD((YEAR(EDATE(DATE(YEAR(TODAY()),MONTH(TODAY()),1),15))-YEAR(IF(ISNUMBER(Suppliers!F26),Suppliers!F26,DATE(YEAR(TODAY()),MONTH(TODAY()),1))))*12+MONTH(EDATE(DATE(YEAR(TODAY()),MONTH(TODAY()),1),15))-MONTH(IF(ISNUMBER(Suppliers!F26),Suppliers!F26,DATE(YEAR(TODAY()),MONTH(TODAY()),1))),6)=0,1,0),IF(Suppliers!E26="Annual",IF(MOD((YEAR(EDATE(DATE(YEAR(TODAY()),MONTH(TODAY()),1),15))-YEAR(IF(ISNUMBER(Suppliers!F26),Suppliers!F26,DATE(YEAR(TODAY()),MONTH(TODAY()),1))))*12+MONTH(EDATE(DATE(YEAR(TODAY()),MONTH(TODAY()),1),15))-MONTH(IF(ISNUMBER(Suppliers!F26),Suppliers!F26,DATE(YEAR(TODAY()),MONTH(TODAY()),1))),12)=0,1,0),IF(Suppliers!E26="One-time",IF(15=0,1,0),1)))))),"")</f>
        <v/>
      </c>
      <c r="V28" s="10" t="str">
        <f ca="1">IFERROR(IF(OR(16&gt;=$B$1,Suppliers!A26="",NOT(ISNUMBER(Suppliers!D26)),Suppliers!L26="Expired",Suppliers!L26="Terminate"),"",Suppliers!D26*-1*IF(Suppliers!E26="Monthly",IF(AND(ISNUMBER(Suppliers!G26),(YEAR(EDATE(DATE(YEAR(TODAY()),MONTH(TODAY()),1),16))*12+MONTH(EDATE(DATE(YEAR(TODAY()),MONTH(TODAY()),1),16)))&gt;(YEAR(Suppliers!G26)*12+MONTH(Suppliers!G26))),"",1),IF(Suppliers!E26="Quarterly",IF(MOD((YEAR(EDATE(DATE(YEAR(TODAY()),MONTH(TODAY()),1),16))-YEAR(IF(ISNUMBER(Suppliers!F26),Suppliers!F26,DATE(YEAR(TODAY()),MONTH(TODAY()),1))))*12+MONTH(EDATE(DATE(YEAR(TODAY()),MONTH(TODAY()),1),16))-MONTH(IF(ISNUMBER(Suppliers!F26),Suppliers!F26,DATE(YEAR(TODAY()),MONTH(TODAY()),1))),3)=0,1,0),IF(Suppliers!E26="Semi-annual",IF(MOD((YEAR(EDATE(DATE(YEAR(TODAY()),MONTH(TODAY()),1),16))-YEAR(IF(ISNUMBER(Suppliers!F26),Suppliers!F26,DATE(YEAR(TODAY()),MONTH(TODAY()),1))))*12+MONTH(EDATE(DATE(YEAR(TODAY()),MONTH(TODAY()),1),16))-MONTH(IF(ISNUMBER(Suppliers!F26),Suppliers!F26,DATE(YEAR(TODAY()),MONTH(TODAY()),1))),6)=0,1,0),IF(Suppliers!E26="Annual",IF(MOD((YEAR(EDATE(DATE(YEAR(TODAY()),MONTH(TODAY()),1),16))-YEAR(IF(ISNUMBER(Suppliers!F26),Suppliers!F26,DATE(YEAR(TODAY()),MONTH(TODAY()),1))))*12+MONTH(EDATE(DATE(YEAR(TODAY()),MONTH(TODAY()),1),16))-MONTH(IF(ISNUMBER(Suppliers!F26),Suppliers!F26,DATE(YEAR(TODAY()),MONTH(TODAY()),1))),12)=0,1,0),IF(Suppliers!E26="One-time",IF(16=0,1,0),1)))))),"")</f>
        <v/>
      </c>
      <c r="W28" s="10" t="str">
        <f ca="1">IFERROR(IF(OR(17&gt;=$B$1,Suppliers!A26="",NOT(ISNUMBER(Suppliers!D26)),Suppliers!L26="Expired",Suppliers!L26="Terminate"),"",Suppliers!D26*-1*IF(Suppliers!E26="Monthly",IF(AND(ISNUMBER(Suppliers!G26),(YEAR(EDATE(DATE(YEAR(TODAY()),MONTH(TODAY()),1),17))*12+MONTH(EDATE(DATE(YEAR(TODAY()),MONTH(TODAY()),1),17)))&gt;(YEAR(Suppliers!G26)*12+MONTH(Suppliers!G26))),"",1),IF(Suppliers!E26="Quarterly",IF(MOD((YEAR(EDATE(DATE(YEAR(TODAY()),MONTH(TODAY()),1),17))-YEAR(IF(ISNUMBER(Suppliers!F26),Suppliers!F26,DATE(YEAR(TODAY()),MONTH(TODAY()),1))))*12+MONTH(EDATE(DATE(YEAR(TODAY()),MONTH(TODAY()),1),17))-MONTH(IF(ISNUMBER(Suppliers!F26),Suppliers!F26,DATE(YEAR(TODAY()),MONTH(TODAY()),1))),3)=0,1,0),IF(Suppliers!E26="Semi-annual",IF(MOD((YEAR(EDATE(DATE(YEAR(TODAY()),MONTH(TODAY()),1),17))-YEAR(IF(ISNUMBER(Suppliers!F26),Suppliers!F26,DATE(YEAR(TODAY()),MONTH(TODAY()),1))))*12+MONTH(EDATE(DATE(YEAR(TODAY()),MONTH(TODAY()),1),17))-MONTH(IF(ISNUMBER(Suppliers!F26),Suppliers!F26,DATE(YEAR(TODAY()),MONTH(TODAY()),1))),6)=0,1,0),IF(Suppliers!E26="Annual",IF(MOD((YEAR(EDATE(DATE(YEAR(TODAY()),MONTH(TODAY()),1),17))-YEAR(IF(ISNUMBER(Suppliers!F26),Suppliers!F26,DATE(YEAR(TODAY()),MONTH(TODAY()),1))))*12+MONTH(EDATE(DATE(YEAR(TODAY()),MONTH(TODAY()),1),17))-MONTH(IF(ISNUMBER(Suppliers!F26),Suppliers!F26,DATE(YEAR(TODAY()),MONTH(TODAY()),1))),12)=0,1,0),IF(Suppliers!E26="One-time",IF(17=0,1,0),1)))))),"")</f>
        <v/>
      </c>
      <c r="X28" s="10" t="str">
        <f ca="1">IFERROR(IF(OR(18&gt;=$B$1,Suppliers!A26="",NOT(ISNUMBER(Suppliers!D26)),Suppliers!L26="Expired",Suppliers!L26="Terminate"),"",Suppliers!D26*-1*IF(Suppliers!E26="Monthly",IF(AND(ISNUMBER(Suppliers!G26),(YEAR(EDATE(DATE(YEAR(TODAY()),MONTH(TODAY()),1),18))*12+MONTH(EDATE(DATE(YEAR(TODAY()),MONTH(TODAY()),1),18)))&gt;(YEAR(Suppliers!G26)*12+MONTH(Suppliers!G26))),"",1),IF(Suppliers!E26="Quarterly",IF(MOD((YEAR(EDATE(DATE(YEAR(TODAY()),MONTH(TODAY()),1),18))-YEAR(IF(ISNUMBER(Suppliers!F26),Suppliers!F26,DATE(YEAR(TODAY()),MONTH(TODAY()),1))))*12+MONTH(EDATE(DATE(YEAR(TODAY()),MONTH(TODAY()),1),18))-MONTH(IF(ISNUMBER(Suppliers!F26),Suppliers!F26,DATE(YEAR(TODAY()),MONTH(TODAY()),1))),3)=0,1,0),IF(Suppliers!E26="Semi-annual",IF(MOD((YEAR(EDATE(DATE(YEAR(TODAY()),MONTH(TODAY()),1),18))-YEAR(IF(ISNUMBER(Suppliers!F26),Suppliers!F26,DATE(YEAR(TODAY()),MONTH(TODAY()),1))))*12+MONTH(EDATE(DATE(YEAR(TODAY()),MONTH(TODAY()),1),18))-MONTH(IF(ISNUMBER(Suppliers!F26),Suppliers!F26,DATE(YEAR(TODAY()),MONTH(TODAY()),1))),6)=0,1,0),IF(Suppliers!E26="Annual",IF(MOD((YEAR(EDATE(DATE(YEAR(TODAY()),MONTH(TODAY()),1),18))-YEAR(IF(ISNUMBER(Suppliers!F26),Suppliers!F26,DATE(YEAR(TODAY()),MONTH(TODAY()),1))))*12+MONTH(EDATE(DATE(YEAR(TODAY()),MONTH(TODAY()),1),18))-MONTH(IF(ISNUMBER(Suppliers!F26),Suppliers!F26,DATE(YEAR(TODAY()),MONTH(TODAY()),1))),12)=0,1,0),IF(Suppliers!E26="One-time",IF(18=0,1,0),1)))))),"")</f>
        <v/>
      </c>
      <c r="Y28" s="10" t="str">
        <f ca="1">IFERROR(IF(OR(19&gt;=$B$1,Suppliers!A26="",NOT(ISNUMBER(Suppliers!D26)),Suppliers!L26="Expired",Suppliers!L26="Terminate"),"",Suppliers!D26*-1*IF(Suppliers!E26="Monthly",IF(AND(ISNUMBER(Suppliers!G26),(YEAR(EDATE(DATE(YEAR(TODAY()),MONTH(TODAY()),1),19))*12+MONTH(EDATE(DATE(YEAR(TODAY()),MONTH(TODAY()),1),19)))&gt;(YEAR(Suppliers!G26)*12+MONTH(Suppliers!G26))),"",1),IF(Suppliers!E26="Quarterly",IF(MOD((YEAR(EDATE(DATE(YEAR(TODAY()),MONTH(TODAY()),1),19))-YEAR(IF(ISNUMBER(Suppliers!F26),Suppliers!F26,DATE(YEAR(TODAY()),MONTH(TODAY()),1))))*12+MONTH(EDATE(DATE(YEAR(TODAY()),MONTH(TODAY()),1),19))-MONTH(IF(ISNUMBER(Suppliers!F26),Suppliers!F26,DATE(YEAR(TODAY()),MONTH(TODAY()),1))),3)=0,1,0),IF(Suppliers!E26="Semi-annual",IF(MOD((YEAR(EDATE(DATE(YEAR(TODAY()),MONTH(TODAY()),1),19))-YEAR(IF(ISNUMBER(Suppliers!F26),Suppliers!F26,DATE(YEAR(TODAY()),MONTH(TODAY()),1))))*12+MONTH(EDATE(DATE(YEAR(TODAY()),MONTH(TODAY()),1),19))-MONTH(IF(ISNUMBER(Suppliers!F26),Suppliers!F26,DATE(YEAR(TODAY()),MONTH(TODAY()),1))),6)=0,1,0),IF(Suppliers!E26="Annual",IF(MOD((YEAR(EDATE(DATE(YEAR(TODAY()),MONTH(TODAY()),1),19))-YEAR(IF(ISNUMBER(Suppliers!F26),Suppliers!F26,DATE(YEAR(TODAY()),MONTH(TODAY()),1))))*12+MONTH(EDATE(DATE(YEAR(TODAY()),MONTH(TODAY()),1),19))-MONTH(IF(ISNUMBER(Suppliers!F26),Suppliers!F26,DATE(YEAR(TODAY()),MONTH(TODAY()),1))),12)=0,1,0),IF(Suppliers!E26="One-time",IF(19=0,1,0),1)))))),"")</f>
        <v/>
      </c>
      <c r="Z28" s="10" t="str">
        <f ca="1">IFERROR(IF(OR(20&gt;=$B$1,Suppliers!A26="",NOT(ISNUMBER(Suppliers!D26)),Suppliers!L26="Expired",Suppliers!L26="Terminate"),"",Suppliers!D26*-1*IF(Suppliers!E26="Monthly",IF(AND(ISNUMBER(Suppliers!G26),(YEAR(EDATE(DATE(YEAR(TODAY()),MONTH(TODAY()),1),20))*12+MONTH(EDATE(DATE(YEAR(TODAY()),MONTH(TODAY()),1),20)))&gt;(YEAR(Suppliers!G26)*12+MONTH(Suppliers!G26))),"",1),IF(Suppliers!E26="Quarterly",IF(MOD((YEAR(EDATE(DATE(YEAR(TODAY()),MONTH(TODAY()),1),20))-YEAR(IF(ISNUMBER(Suppliers!F26),Suppliers!F26,DATE(YEAR(TODAY()),MONTH(TODAY()),1))))*12+MONTH(EDATE(DATE(YEAR(TODAY()),MONTH(TODAY()),1),20))-MONTH(IF(ISNUMBER(Suppliers!F26),Suppliers!F26,DATE(YEAR(TODAY()),MONTH(TODAY()),1))),3)=0,1,0),IF(Suppliers!E26="Semi-annual",IF(MOD((YEAR(EDATE(DATE(YEAR(TODAY()),MONTH(TODAY()),1),20))-YEAR(IF(ISNUMBER(Suppliers!F26),Suppliers!F26,DATE(YEAR(TODAY()),MONTH(TODAY()),1))))*12+MONTH(EDATE(DATE(YEAR(TODAY()),MONTH(TODAY()),1),20))-MONTH(IF(ISNUMBER(Suppliers!F26),Suppliers!F26,DATE(YEAR(TODAY()),MONTH(TODAY()),1))),6)=0,1,0),IF(Suppliers!E26="Annual",IF(MOD((YEAR(EDATE(DATE(YEAR(TODAY()),MONTH(TODAY()),1),20))-YEAR(IF(ISNUMBER(Suppliers!F26),Suppliers!F26,DATE(YEAR(TODAY()),MONTH(TODAY()),1))))*12+MONTH(EDATE(DATE(YEAR(TODAY()),MONTH(TODAY()),1),20))-MONTH(IF(ISNUMBER(Suppliers!F26),Suppliers!F26,DATE(YEAR(TODAY()),MONTH(TODAY()),1))),12)=0,1,0),IF(Suppliers!E26="One-time",IF(20=0,1,0),1)))))),"")</f>
        <v/>
      </c>
      <c r="AA28" s="10" t="str">
        <f ca="1">IFERROR(IF(OR(21&gt;=$B$1,Suppliers!A26="",NOT(ISNUMBER(Suppliers!D26)),Suppliers!L26="Expired",Suppliers!L26="Terminate"),"",Suppliers!D26*-1*IF(Suppliers!E26="Monthly",IF(AND(ISNUMBER(Suppliers!G26),(YEAR(EDATE(DATE(YEAR(TODAY()),MONTH(TODAY()),1),21))*12+MONTH(EDATE(DATE(YEAR(TODAY()),MONTH(TODAY()),1),21)))&gt;(YEAR(Suppliers!G26)*12+MONTH(Suppliers!G26))),"",1),IF(Suppliers!E26="Quarterly",IF(MOD((YEAR(EDATE(DATE(YEAR(TODAY()),MONTH(TODAY()),1),21))-YEAR(IF(ISNUMBER(Suppliers!F26),Suppliers!F26,DATE(YEAR(TODAY()),MONTH(TODAY()),1))))*12+MONTH(EDATE(DATE(YEAR(TODAY()),MONTH(TODAY()),1),21))-MONTH(IF(ISNUMBER(Suppliers!F26),Suppliers!F26,DATE(YEAR(TODAY()),MONTH(TODAY()),1))),3)=0,1,0),IF(Suppliers!E26="Semi-annual",IF(MOD((YEAR(EDATE(DATE(YEAR(TODAY()),MONTH(TODAY()),1),21))-YEAR(IF(ISNUMBER(Suppliers!F26),Suppliers!F26,DATE(YEAR(TODAY()),MONTH(TODAY()),1))))*12+MONTH(EDATE(DATE(YEAR(TODAY()),MONTH(TODAY()),1),21))-MONTH(IF(ISNUMBER(Suppliers!F26),Suppliers!F26,DATE(YEAR(TODAY()),MONTH(TODAY()),1))),6)=0,1,0),IF(Suppliers!E26="Annual",IF(MOD((YEAR(EDATE(DATE(YEAR(TODAY()),MONTH(TODAY()),1),21))-YEAR(IF(ISNUMBER(Suppliers!F26),Suppliers!F26,DATE(YEAR(TODAY()),MONTH(TODAY()),1))))*12+MONTH(EDATE(DATE(YEAR(TODAY()),MONTH(TODAY()),1),21))-MONTH(IF(ISNUMBER(Suppliers!F26),Suppliers!F26,DATE(YEAR(TODAY()),MONTH(TODAY()),1))),12)=0,1,0),IF(Suppliers!E26="One-time",IF(21=0,1,0),1)))))),"")</f>
        <v/>
      </c>
      <c r="AB28" s="10" t="str">
        <f ca="1">IFERROR(IF(OR(22&gt;=$B$1,Suppliers!A26="",NOT(ISNUMBER(Suppliers!D26)),Suppliers!L26="Expired",Suppliers!L26="Terminate"),"",Suppliers!D26*-1*IF(Suppliers!E26="Monthly",IF(AND(ISNUMBER(Suppliers!G26),(YEAR(EDATE(DATE(YEAR(TODAY()),MONTH(TODAY()),1),22))*12+MONTH(EDATE(DATE(YEAR(TODAY()),MONTH(TODAY()),1),22)))&gt;(YEAR(Suppliers!G26)*12+MONTH(Suppliers!G26))),"",1),IF(Suppliers!E26="Quarterly",IF(MOD((YEAR(EDATE(DATE(YEAR(TODAY()),MONTH(TODAY()),1),22))-YEAR(IF(ISNUMBER(Suppliers!F26),Suppliers!F26,DATE(YEAR(TODAY()),MONTH(TODAY()),1))))*12+MONTH(EDATE(DATE(YEAR(TODAY()),MONTH(TODAY()),1),22))-MONTH(IF(ISNUMBER(Suppliers!F26),Suppliers!F26,DATE(YEAR(TODAY()),MONTH(TODAY()),1))),3)=0,1,0),IF(Suppliers!E26="Semi-annual",IF(MOD((YEAR(EDATE(DATE(YEAR(TODAY()),MONTH(TODAY()),1),22))-YEAR(IF(ISNUMBER(Suppliers!F26),Suppliers!F26,DATE(YEAR(TODAY()),MONTH(TODAY()),1))))*12+MONTH(EDATE(DATE(YEAR(TODAY()),MONTH(TODAY()),1),22))-MONTH(IF(ISNUMBER(Suppliers!F26),Suppliers!F26,DATE(YEAR(TODAY()),MONTH(TODAY()),1))),6)=0,1,0),IF(Suppliers!E26="Annual",IF(MOD((YEAR(EDATE(DATE(YEAR(TODAY()),MONTH(TODAY()),1),22))-YEAR(IF(ISNUMBER(Suppliers!F26),Suppliers!F26,DATE(YEAR(TODAY()),MONTH(TODAY()),1))))*12+MONTH(EDATE(DATE(YEAR(TODAY()),MONTH(TODAY()),1),22))-MONTH(IF(ISNUMBER(Suppliers!F26),Suppliers!F26,DATE(YEAR(TODAY()),MONTH(TODAY()),1))),12)=0,1,0),IF(Suppliers!E26="One-time",IF(22=0,1,0),1)))))),"")</f>
        <v/>
      </c>
      <c r="AC28" s="10" t="str">
        <f ca="1">IFERROR(IF(OR(23&gt;=$B$1,Suppliers!A26="",NOT(ISNUMBER(Suppliers!D26)),Suppliers!L26="Expired",Suppliers!L26="Terminate"),"",Suppliers!D26*-1*IF(Suppliers!E26="Monthly",IF(AND(ISNUMBER(Suppliers!G26),(YEAR(EDATE(DATE(YEAR(TODAY()),MONTH(TODAY()),1),23))*12+MONTH(EDATE(DATE(YEAR(TODAY()),MONTH(TODAY()),1),23)))&gt;(YEAR(Suppliers!G26)*12+MONTH(Suppliers!G26))),"",1),IF(Suppliers!E26="Quarterly",IF(MOD((YEAR(EDATE(DATE(YEAR(TODAY()),MONTH(TODAY()),1),23))-YEAR(IF(ISNUMBER(Suppliers!F26),Suppliers!F26,DATE(YEAR(TODAY()),MONTH(TODAY()),1))))*12+MONTH(EDATE(DATE(YEAR(TODAY()),MONTH(TODAY()),1),23))-MONTH(IF(ISNUMBER(Suppliers!F26),Suppliers!F26,DATE(YEAR(TODAY()),MONTH(TODAY()),1))),3)=0,1,0),IF(Suppliers!E26="Semi-annual",IF(MOD((YEAR(EDATE(DATE(YEAR(TODAY()),MONTH(TODAY()),1),23))-YEAR(IF(ISNUMBER(Suppliers!F26),Suppliers!F26,DATE(YEAR(TODAY()),MONTH(TODAY()),1))))*12+MONTH(EDATE(DATE(YEAR(TODAY()),MONTH(TODAY()),1),23))-MONTH(IF(ISNUMBER(Suppliers!F26),Suppliers!F26,DATE(YEAR(TODAY()),MONTH(TODAY()),1))),6)=0,1,0),IF(Suppliers!E26="Annual",IF(MOD((YEAR(EDATE(DATE(YEAR(TODAY()),MONTH(TODAY()),1),23))-YEAR(IF(ISNUMBER(Suppliers!F26),Suppliers!F26,DATE(YEAR(TODAY()),MONTH(TODAY()),1))))*12+MONTH(EDATE(DATE(YEAR(TODAY()),MONTH(TODAY()),1),23))-MONTH(IF(ISNUMBER(Suppliers!F26),Suppliers!F26,DATE(YEAR(TODAY()),MONTH(TODAY()),1))),12)=0,1,0),IF(Suppliers!E26="One-time",IF(23=0,1,0),1)))))),"")</f>
        <v/>
      </c>
    </row>
    <row r="29" spans="1:29" ht="15" customHeight="1" x14ac:dyDescent="0.35">
      <c r="A29" s="4" t="s">
        <v>80</v>
      </c>
      <c r="B29" s="4" t="str">
        <f>IF(Suppliers!A27="","",Suppliers!A27)</f>
        <v/>
      </c>
      <c r="C29" s="10" t="str">
        <f>IF(Suppliers!C27="","",Suppliers!C27)</f>
        <v/>
      </c>
      <c r="D29" s="10" t="str">
        <f>IF(Suppliers!D27="","",Suppliers!D27)</f>
        <v/>
      </c>
      <c r="E29" s="4" t="str">
        <f>IF(Suppliers!E27="","",Suppliers!E27)</f>
        <v/>
      </c>
      <c r="F29" s="10" t="str">
        <f ca="1">IFERROR(IF(OR(0&gt;=$B$1,Suppliers!A27="",NOT(ISNUMBER(Suppliers!D27)),Suppliers!L27="Expired",Suppliers!L27="Terminate"),"",Suppliers!D27*-1*IF(Suppliers!E27="Monthly",IF(AND(ISNUMBER(Suppliers!G27),(YEAR(EDATE(DATE(YEAR(TODAY()),MONTH(TODAY()),1),0))*12+MONTH(EDATE(DATE(YEAR(TODAY()),MONTH(TODAY()),1),0)))&gt;(YEAR(Suppliers!G27)*12+MONTH(Suppliers!G27))),"",1),IF(Suppliers!E27="Quarterly",IF(MOD((YEAR(EDATE(DATE(YEAR(TODAY()),MONTH(TODAY()),1),0))-YEAR(IF(ISNUMBER(Suppliers!F27),Suppliers!F27,DATE(YEAR(TODAY()),MONTH(TODAY()),1))))*12+MONTH(EDATE(DATE(YEAR(TODAY()),MONTH(TODAY()),1),0))-MONTH(IF(ISNUMBER(Suppliers!F27),Suppliers!F27,DATE(YEAR(TODAY()),MONTH(TODAY()),1))),3)=0,1,0),IF(Suppliers!E27="Semi-annual",IF(MOD((YEAR(EDATE(DATE(YEAR(TODAY()),MONTH(TODAY()),1),0))-YEAR(IF(ISNUMBER(Suppliers!F27),Suppliers!F27,DATE(YEAR(TODAY()),MONTH(TODAY()),1))))*12+MONTH(EDATE(DATE(YEAR(TODAY()),MONTH(TODAY()),1),0))-MONTH(IF(ISNUMBER(Suppliers!F27),Suppliers!F27,DATE(YEAR(TODAY()),MONTH(TODAY()),1))),6)=0,1,0),IF(Suppliers!E27="Annual",IF(MOD((YEAR(EDATE(DATE(YEAR(TODAY()),MONTH(TODAY()),1),0))-YEAR(IF(ISNUMBER(Suppliers!F27),Suppliers!F27,DATE(YEAR(TODAY()),MONTH(TODAY()),1))))*12+MONTH(EDATE(DATE(YEAR(TODAY()),MONTH(TODAY()),1),0))-MONTH(IF(ISNUMBER(Suppliers!F27),Suppliers!F27,DATE(YEAR(TODAY()),MONTH(TODAY()),1))),12)=0,1,0),IF(Suppliers!E27="One-time",IF(0=0,1,0),1)))))),"")</f>
        <v/>
      </c>
      <c r="G29" s="10" t="str">
        <f ca="1">IFERROR(IF(OR(1&gt;=$B$1,Suppliers!A27="",NOT(ISNUMBER(Suppliers!D27)),Suppliers!L27="Expired",Suppliers!L27="Terminate"),"",Suppliers!D27*-1*IF(Suppliers!E27="Monthly",IF(AND(ISNUMBER(Suppliers!G27),(YEAR(EDATE(DATE(YEAR(TODAY()),MONTH(TODAY()),1),1))*12+MONTH(EDATE(DATE(YEAR(TODAY()),MONTH(TODAY()),1),1)))&gt;(YEAR(Suppliers!G27)*12+MONTH(Suppliers!G27))),"",1),IF(Suppliers!E27="Quarterly",IF(MOD((YEAR(EDATE(DATE(YEAR(TODAY()),MONTH(TODAY()),1),1))-YEAR(IF(ISNUMBER(Suppliers!F27),Suppliers!F27,DATE(YEAR(TODAY()),MONTH(TODAY()),1))))*12+MONTH(EDATE(DATE(YEAR(TODAY()),MONTH(TODAY()),1),1))-MONTH(IF(ISNUMBER(Suppliers!F27),Suppliers!F27,DATE(YEAR(TODAY()),MONTH(TODAY()),1))),3)=0,1,0),IF(Suppliers!E27="Semi-annual",IF(MOD((YEAR(EDATE(DATE(YEAR(TODAY()),MONTH(TODAY()),1),1))-YEAR(IF(ISNUMBER(Suppliers!F27),Suppliers!F27,DATE(YEAR(TODAY()),MONTH(TODAY()),1))))*12+MONTH(EDATE(DATE(YEAR(TODAY()),MONTH(TODAY()),1),1))-MONTH(IF(ISNUMBER(Suppliers!F27),Suppliers!F27,DATE(YEAR(TODAY()),MONTH(TODAY()),1))),6)=0,1,0),IF(Suppliers!E27="Annual",IF(MOD((YEAR(EDATE(DATE(YEAR(TODAY()),MONTH(TODAY()),1),1))-YEAR(IF(ISNUMBER(Suppliers!F27),Suppliers!F27,DATE(YEAR(TODAY()),MONTH(TODAY()),1))))*12+MONTH(EDATE(DATE(YEAR(TODAY()),MONTH(TODAY()),1),1))-MONTH(IF(ISNUMBER(Suppliers!F27),Suppliers!F27,DATE(YEAR(TODAY()),MONTH(TODAY()),1))),12)=0,1,0),IF(Suppliers!E27="One-time",IF(1=0,1,0),1)))))),"")</f>
        <v/>
      </c>
      <c r="H29" s="10" t="str">
        <f ca="1">IFERROR(IF(OR(2&gt;=$B$1,Suppliers!A27="",NOT(ISNUMBER(Suppliers!D27)),Suppliers!L27="Expired",Suppliers!L27="Terminate"),"",Suppliers!D27*-1*IF(Suppliers!E27="Monthly",IF(AND(ISNUMBER(Suppliers!G27),(YEAR(EDATE(DATE(YEAR(TODAY()),MONTH(TODAY()),1),2))*12+MONTH(EDATE(DATE(YEAR(TODAY()),MONTH(TODAY()),1),2)))&gt;(YEAR(Suppliers!G27)*12+MONTH(Suppliers!G27))),"",1),IF(Suppliers!E27="Quarterly",IF(MOD((YEAR(EDATE(DATE(YEAR(TODAY()),MONTH(TODAY()),1),2))-YEAR(IF(ISNUMBER(Suppliers!F27),Suppliers!F27,DATE(YEAR(TODAY()),MONTH(TODAY()),1))))*12+MONTH(EDATE(DATE(YEAR(TODAY()),MONTH(TODAY()),1),2))-MONTH(IF(ISNUMBER(Suppliers!F27),Suppliers!F27,DATE(YEAR(TODAY()),MONTH(TODAY()),1))),3)=0,1,0),IF(Suppliers!E27="Semi-annual",IF(MOD((YEAR(EDATE(DATE(YEAR(TODAY()),MONTH(TODAY()),1),2))-YEAR(IF(ISNUMBER(Suppliers!F27),Suppliers!F27,DATE(YEAR(TODAY()),MONTH(TODAY()),1))))*12+MONTH(EDATE(DATE(YEAR(TODAY()),MONTH(TODAY()),1),2))-MONTH(IF(ISNUMBER(Suppliers!F27),Suppliers!F27,DATE(YEAR(TODAY()),MONTH(TODAY()),1))),6)=0,1,0),IF(Suppliers!E27="Annual",IF(MOD((YEAR(EDATE(DATE(YEAR(TODAY()),MONTH(TODAY()),1),2))-YEAR(IF(ISNUMBER(Suppliers!F27),Suppliers!F27,DATE(YEAR(TODAY()),MONTH(TODAY()),1))))*12+MONTH(EDATE(DATE(YEAR(TODAY()),MONTH(TODAY()),1),2))-MONTH(IF(ISNUMBER(Suppliers!F27),Suppliers!F27,DATE(YEAR(TODAY()),MONTH(TODAY()),1))),12)=0,1,0),IF(Suppliers!E27="One-time",IF(2=0,1,0),1)))))),"")</f>
        <v/>
      </c>
      <c r="I29" s="10" t="str">
        <f ca="1">IFERROR(IF(OR(3&gt;=$B$1,Suppliers!A27="",NOT(ISNUMBER(Suppliers!D27)),Suppliers!L27="Expired",Suppliers!L27="Terminate"),"",Suppliers!D27*-1*IF(Suppliers!E27="Monthly",IF(AND(ISNUMBER(Suppliers!G27),(YEAR(EDATE(DATE(YEAR(TODAY()),MONTH(TODAY()),1),3))*12+MONTH(EDATE(DATE(YEAR(TODAY()),MONTH(TODAY()),1),3)))&gt;(YEAR(Suppliers!G27)*12+MONTH(Suppliers!G27))),"",1),IF(Suppliers!E27="Quarterly",IF(MOD((YEAR(EDATE(DATE(YEAR(TODAY()),MONTH(TODAY()),1),3))-YEAR(IF(ISNUMBER(Suppliers!F27),Suppliers!F27,DATE(YEAR(TODAY()),MONTH(TODAY()),1))))*12+MONTH(EDATE(DATE(YEAR(TODAY()),MONTH(TODAY()),1),3))-MONTH(IF(ISNUMBER(Suppliers!F27),Suppliers!F27,DATE(YEAR(TODAY()),MONTH(TODAY()),1))),3)=0,1,0),IF(Suppliers!E27="Semi-annual",IF(MOD((YEAR(EDATE(DATE(YEAR(TODAY()),MONTH(TODAY()),1),3))-YEAR(IF(ISNUMBER(Suppliers!F27),Suppliers!F27,DATE(YEAR(TODAY()),MONTH(TODAY()),1))))*12+MONTH(EDATE(DATE(YEAR(TODAY()),MONTH(TODAY()),1),3))-MONTH(IF(ISNUMBER(Suppliers!F27),Suppliers!F27,DATE(YEAR(TODAY()),MONTH(TODAY()),1))),6)=0,1,0),IF(Suppliers!E27="Annual",IF(MOD((YEAR(EDATE(DATE(YEAR(TODAY()),MONTH(TODAY()),1),3))-YEAR(IF(ISNUMBER(Suppliers!F27),Suppliers!F27,DATE(YEAR(TODAY()),MONTH(TODAY()),1))))*12+MONTH(EDATE(DATE(YEAR(TODAY()),MONTH(TODAY()),1),3))-MONTH(IF(ISNUMBER(Suppliers!F27),Suppliers!F27,DATE(YEAR(TODAY()),MONTH(TODAY()),1))),12)=0,1,0),IF(Suppliers!E27="One-time",IF(3=0,1,0),1)))))),"")</f>
        <v/>
      </c>
      <c r="J29" s="10" t="str">
        <f ca="1">IFERROR(IF(OR(4&gt;=$B$1,Suppliers!A27="",NOT(ISNUMBER(Suppliers!D27)),Suppliers!L27="Expired",Suppliers!L27="Terminate"),"",Suppliers!D27*-1*IF(Suppliers!E27="Monthly",IF(AND(ISNUMBER(Suppliers!G27),(YEAR(EDATE(DATE(YEAR(TODAY()),MONTH(TODAY()),1),4))*12+MONTH(EDATE(DATE(YEAR(TODAY()),MONTH(TODAY()),1),4)))&gt;(YEAR(Suppliers!G27)*12+MONTH(Suppliers!G27))),"",1),IF(Suppliers!E27="Quarterly",IF(MOD((YEAR(EDATE(DATE(YEAR(TODAY()),MONTH(TODAY()),1),4))-YEAR(IF(ISNUMBER(Suppliers!F27),Suppliers!F27,DATE(YEAR(TODAY()),MONTH(TODAY()),1))))*12+MONTH(EDATE(DATE(YEAR(TODAY()),MONTH(TODAY()),1),4))-MONTH(IF(ISNUMBER(Suppliers!F27),Suppliers!F27,DATE(YEAR(TODAY()),MONTH(TODAY()),1))),3)=0,1,0),IF(Suppliers!E27="Semi-annual",IF(MOD((YEAR(EDATE(DATE(YEAR(TODAY()),MONTH(TODAY()),1),4))-YEAR(IF(ISNUMBER(Suppliers!F27),Suppliers!F27,DATE(YEAR(TODAY()),MONTH(TODAY()),1))))*12+MONTH(EDATE(DATE(YEAR(TODAY()),MONTH(TODAY()),1),4))-MONTH(IF(ISNUMBER(Suppliers!F27),Suppliers!F27,DATE(YEAR(TODAY()),MONTH(TODAY()),1))),6)=0,1,0),IF(Suppliers!E27="Annual",IF(MOD((YEAR(EDATE(DATE(YEAR(TODAY()),MONTH(TODAY()),1),4))-YEAR(IF(ISNUMBER(Suppliers!F27),Suppliers!F27,DATE(YEAR(TODAY()),MONTH(TODAY()),1))))*12+MONTH(EDATE(DATE(YEAR(TODAY()),MONTH(TODAY()),1),4))-MONTH(IF(ISNUMBER(Suppliers!F27),Suppliers!F27,DATE(YEAR(TODAY()),MONTH(TODAY()),1))),12)=0,1,0),IF(Suppliers!E27="One-time",IF(4=0,1,0),1)))))),"")</f>
        <v/>
      </c>
      <c r="K29" s="10" t="str">
        <f ca="1">IFERROR(IF(OR(5&gt;=$B$1,Suppliers!A27="",NOT(ISNUMBER(Suppliers!D27)),Suppliers!L27="Expired",Suppliers!L27="Terminate"),"",Suppliers!D27*-1*IF(Suppliers!E27="Monthly",IF(AND(ISNUMBER(Suppliers!G27),(YEAR(EDATE(DATE(YEAR(TODAY()),MONTH(TODAY()),1),5))*12+MONTH(EDATE(DATE(YEAR(TODAY()),MONTH(TODAY()),1),5)))&gt;(YEAR(Suppliers!G27)*12+MONTH(Suppliers!G27))),"",1),IF(Suppliers!E27="Quarterly",IF(MOD((YEAR(EDATE(DATE(YEAR(TODAY()),MONTH(TODAY()),1),5))-YEAR(IF(ISNUMBER(Suppliers!F27),Suppliers!F27,DATE(YEAR(TODAY()),MONTH(TODAY()),1))))*12+MONTH(EDATE(DATE(YEAR(TODAY()),MONTH(TODAY()),1),5))-MONTH(IF(ISNUMBER(Suppliers!F27),Suppliers!F27,DATE(YEAR(TODAY()),MONTH(TODAY()),1))),3)=0,1,0),IF(Suppliers!E27="Semi-annual",IF(MOD((YEAR(EDATE(DATE(YEAR(TODAY()),MONTH(TODAY()),1),5))-YEAR(IF(ISNUMBER(Suppliers!F27),Suppliers!F27,DATE(YEAR(TODAY()),MONTH(TODAY()),1))))*12+MONTH(EDATE(DATE(YEAR(TODAY()),MONTH(TODAY()),1),5))-MONTH(IF(ISNUMBER(Suppliers!F27),Suppliers!F27,DATE(YEAR(TODAY()),MONTH(TODAY()),1))),6)=0,1,0),IF(Suppliers!E27="Annual",IF(MOD((YEAR(EDATE(DATE(YEAR(TODAY()),MONTH(TODAY()),1),5))-YEAR(IF(ISNUMBER(Suppliers!F27),Suppliers!F27,DATE(YEAR(TODAY()),MONTH(TODAY()),1))))*12+MONTH(EDATE(DATE(YEAR(TODAY()),MONTH(TODAY()),1),5))-MONTH(IF(ISNUMBER(Suppliers!F27),Suppliers!F27,DATE(YEAR(TODAY()),MONTH(TODAY()),1))),12)=0,1,0),IF(Suppliers!E27="One-time",IF(5=0,1,0),1)))))),"")</f>
        <v/>
      </c>
      <c r="L29" s="10" t="str">
        <f ca="1">IFERROR(IF(OR(6&gt;=$B$1,Suppliers!A27="",NOT(ISNUMBER(Suppliers!D27)),Suppliers!L27="Expired",Suppliers!L27="Terminate"),"",Suppliers!D27*-1*IF(Suppliers!E27="Monthly",IF(AND(ISNUMBER(Suppliers!G27),(YEAR(EDATE(DATE(YEAR(TODAY()),MONTH(TODAY()),1),6))*12+MONTH(EDATE(DATE(YEAR(TODAY()),MONTH(TODAY()),1),6)))&gt;(YEAR(Suppliers!G27)*12+MONTH(Suppliers!G27))),"",1),IF(Suppliers!E27="Quarterly",IF(MOD((YEAR(EDATE(DATE(YEAR(TODAY()),MONTH(TODAY()),1),6))-YEAR(IF(ISNUMBER(Suppliers!F27),Suppliers!F27,DATE(YEAR(TODAY()),MONTH(TODAY()),1))))*12+MONTH(EDATE(DATE(YEAR(TODAY()),MONTH(TODAY()),1),6))-MONTH(IF(ISNUMBER(Suppliers!F27),Suppliers!F27,DATE(YEAR(TODAY()),MONTH(TODAY()),1))),3)=0,1,0),IF(Suppliers!E27="Semi-annual",IF(MOD((YEAR(EDATE(DATE(YEAR(TODAY()),MONTH(TODAY()),1),6))-YEAR(IF(ISNUMBER(Suppliers!F27),Suppliers!F27,DATE(YEAR(TODAY()),MONTH(TODAY()),1))))*12+MONTH(EDATE(DATE(YEAR(TODAY()),MONTH(TODAY()),1),6))-MONTH(IF(ISNUMBER(Suppliers!F27),Suppliers!F27,DATE(YEAR(TODAY()),MONTH(TODAY()),1))),6)=0,1,0),IF(Suppliers!E27="Annual",IF(MOD((YEAR(EDATE(DATE(YEAR(TODAY()),MONTH(TODAY()),1),6))-YEAR(IF(ISNUMBER(Suppliers!F27),Suppliers!F27,DATE(YEAR(TODAY()),MONTH(TODAY()),1))))*12+MONTH(EDATE(DATE(YEAR(TODAY()),MONTH(TODAY()),1),6))-MONTH(IF(ISNUMBER(Suppliers!F27),Suppliers!F27,DATE(YEAR(TODAY()),MONTH(TODAY()),1))),12)=0,1,0),IF(Suppliers!E27="One-time",IF(6=0,1,0),1)))))),"")</f>
        <v/>
      </c>
      <c r="M29" s="10" t="str">
        <f ca="1">IFERROR(IF(OR(7&gt;=$B$1,Suppliers!A27="",NOT(ISNUMBER(Suppliers!D27)),Suppliers!L27="Expired",Suppliers!L27="Terminate"),"",Suppliers!D27*-1*IF(Suppliers!E27="Monthly",IF(AND(ISNUMBER(Suppliers!G27),(YEAR(EDATE(DATE(YEAR(TODAY()),MONTH(TODAY()),1),7))*12+MONTH(EDATE(DATE(YEAR(TODAY()),MONTH(TODAY()),1),7)))&gt;(YEAR(Suppliers!G27)*12+MONTH(Suppliers!G27))),"",1),IF(Suppliers!E27="Quarterly",IF(MOD((YEAR(EDATE(DATE(YEAR(TODAY()),MONTH(TODAY()),1),7))-YEAR(IF(ISNUMBER(Suppliers!F27),Suppliers!F27,DATE(YEAR(TODAY()),MONTH(TODAY()),1))))*12+MONTH(EDATE(DATE(YEAR(TODAY()),MONTH(TODAY()),1),7))-MONTH(IF(ISNUMBER(Suppliers!F27),Suppliers!F27,DATE(YEAR(TODAY()),MONTH(TODAY()),1))),3)=0,1,0),IF(Suppliers!E27="Semi-annual",IF(MOD((YEAR(EDATE(DATE(YEAR(TODAY()),MONTH(TODAY()),1),7))-YEAR(IF(ISNUMBER(Suppliers!F27),Suppliers!F27,DATE(YEAR(TODAY()),MONTH(TODAY()),1))))*12+MONTH(EDATE(DATE(YEAR(TODAY()),MONTH(TODAY()),1),7))-MONTH(IF(ISNUMBER(Suppliers!F27),Suppliers!F27,DATE(YEAR(TODAY()),MONTH(TODAY()),1))),6)=0,1,0),IF(Suppliers!E27="Annual",IF(MOD((YEAR(EDATE(DATE(YEAR(TODAY()),MONTH(TODAY()),1),7))-YEAR(IF(ISNUMBER(Suppliers!F27),Suppliers!F27,DATE(YEAR(TODAY()),MONTH(TODAY()),1))))*12+MONTH(EDATE(DATE(YEAR(TODAY()),MONTH(TODAY()),1),7))-MONTH(IF(ISNUMBER(Suppliers!F27),Suppliers!F27,DATE(YEAR(TODAY()),MONTH(TODAY()),1))),12)=0,1,0),IF(Suppliers!E27="One-time",IF(7=0,1,0),1)))))),"")</f>
        <v/>
      </c>
      <c r="N29" s="10" t="str">
        <f ca="1">IFERROR(IF(OR(8&gt;=$B$1,Suppliers!A27="",NOT(ISNUMBER(Suppliers!D27)),Suppliers!L27="Expired",Suppliers!L27="Terminate"),"",Suppliers!D27*-1*IF(Suppliers!E27="Monthly",IF(AND(ISNUMBER(Suppliers!G27),(YEAR(EDATE(DATE(YEAR(TODAY()),MONTH(TODAY()),1),8))*12+MONTH(EDATE(DATE(YEAR(TODAY()),MONTH(TODAY()),1),8)))&gt;(YEAR(Suppliers!G27)*12+MONTH(Suppliers!G27))),"",1),IF(Suppliers!E27="Quarterly",IF(MOD((YEAR(EDATE(DATE(YEAR(TODAY()),MONTH(TODAY()),1),8))-YEAR(IF(ISNUMBER(Suppliers!F27),Suppliers!F27,DATE(YEAR(TODAY()),MONTH(TODAY()),1))))*12+MONTH(EDATE(DATE(YEAR(TODAY()),MONTH(TODAY()),1),8))-MONTH(IF(ISNUMBER(Suppliers!F27),Suppliers!F27,DATE(YEAR(TODAY()),MONTH(TODAY()),1))),3)=0,1,0),IF(Suppliers!E27="Semi-annual",IF(MOD((YEAR(EDATE(DATE(YEAR(TODAY()),MONTH(TODAY()),1),8))-YEAR(IF(ISNUMBER(Suppliers!F27),Suppliers!F27,DATE(YEAR(TODAY()),MONTH(TODAY()),1))))*12+MONTH(EDATE(DATE(YEAR(TODAY()),MONTH(TODAY()),1),8))-MONTH(IF(ISNUMBER(Suppliers!F27),Suppliers!F27,DATE(YEAR(TODAY()),MONTH(TODAY()),1))),6)=0,1,0),IF(Suppliers!E27="Annual",IF(MOD((YEAR(EDATE(DATE(YEAR(TODAY()),MONTH(TODAY()),1),8))-YEAR(IF(ISNUMBER(Suppliers!F27),Suppliers!F27,DATE(YEAR(TODAY()),MONTH(TODAY()),1))))*12+MONTH(EDATE(DATE(YEAR(TODAY()),MONTH(TODAY()),1),8))-MONTH(IF(ISNUMBER(Suppliers!F27),Suppliers!F27,DATE(YEAR(TODAY()),MONTH(TODAY()),1))),12)=0,1,0),IF(Suppliers!E27="One-time",IF(8=0,1,0),1)))))),"")</f>
        <v/>
      </c>
      <c r="O29" s="10" t="str">
        <f ca="1">IFERROR(IF(OR(9&gt;=$B$1,Suppliers!A27="",NOT(ISNUMBER(Suppliers!D27)),Suppliers!L27="Expired",Suppliers!L27="Terminate"),"",Suppliers!D27*-1*IF(Suppliers!E27="Monthly",IF(AND(ISNUMBER(Suppliers!G27),(YEAR(EDATE(DATE(YEAR(TODAY()),MONTH(TODAY()),1),9))*12+MONTH(EDATE(DATE(YEAR(TODAY()),MONTH(TODAY()),1),9)))&gt;(YEAR(Suppliers!G27)*12+MONTH(Suppliers!G27))),"",1),IF(Suppliers!E27="Quarterly",IF(MOD((YEAR(EDATE(DATE(YEAR(TODAY()),MONTH(TODAY()),1),9))-YEAR(IF(ISNUMBER(Suppliers!F27),Suppliers!F27,DATE(YEAR(TODAY()),MONTH(TODAY()),1))))*12+MONTH(EDATE(DATE(YEAR(TODAY()),MONTH(TODAY()),1),9))-MONTH(IF(ISNUMBER(Suppliers!F27),Suppliers!F27,DATE(YEAR(TODAY()),MONTH(TODAY()),1))),3)=0,1,0),IF(Suppliers!E27="Semi-annual",IF(MOD((YEAR(EDATE(DATE(YEAR(TODAY()),MONTH(TODAY()),1),9))-YEAR(IF(ISNUMBER(Suppliers!F27),Suppliers!F27,DATE(YEAR(TODAY()),MONTH(TODAY()),1))))*12+MONTH(EDATE(DATE(YEAR(TODAY()),MONTH(TODAY()),1),9))-MONTH(IF(ISNUMBER(Suppliers!F27),Suppliers!F27,DATE(YEAR(TODAY()),MONTH(TODAY()),1))),6)=0,1,0),IF(Suppliers!E27="Annual",IF(MOD((YEAR(EDATE(DATE(YEAR(TODAY()),MONTH(TODAY()),1),9))-YEAR(IF(ISNUMBER(Suppliers!F27),Suppliers!F27,DATE(YEAR(TODAY()),MONTH(TODAY()),1))))*12+MONTH(EDATE(DATE(YEAR(TODAY()),MONTH(TODAY()),1),9))-MONTH(IF(ISNUMBER(Suppliers!F27),Suppliers!F27,DATE(YEAR(TODAY()),MONTH(TODAY()),1))),12)=0,1,0),IF(Suppliers!E27="One-time",IF(9=0,1,0),1)))))),"")</f>
        <v/>
      </c>
      <c r="P29" s="10" t="str">
        <f ca="1">IFERROR(IF(OR(10&gt;=$B$1,Suppliers!A27="",NOT(ISNUMBER(Suppliers!D27)),Suppliers!L27="Expired",Suppliers!L27="Terminate"),"",Suppliers!D27*-1*IF(Suppliers!E27="Monthly",IF(AND(ISNUMBER(Suppliers!G27),(YEAR(EDATE(DATE(YEAR(TODAY()),MONTH(TODAY()),1),10))*12+MONTH(EDATE(DATE(YEAR(TODAY()),MONTH(TODAY()),1),10)))&gt;(YEAR(Suppliers!G27)*12+MONTH(Suppliers!G27))),"",1),IF(Suppliers!E27="Quarterly",IF(MOD((YEAR(EDATE(DATE(YEAR(TODAY()),MONTH(TODAY()),1),10))-YEAR(IF(ISNUMBER(Suppliers!F27),Suppliers!F27,DATE(YEAR(TODAY()),MONTH(TODAY()),1))))*12+MONTH(EDATE(DATE(YEAR(TODAY()),MONTH(TODAY()),1),10))-MONTH(IF(ISNUMBER(Suppliers!F27),Suppliers!F27,DATE(YEAR(TODAY()),MONTH(TODAY()),1))),3)=0,1,0),IF(Suppliers!E27="Semi-annual",IF(MOD((YEAR(EDATE(DATE(YEAR(TODAY()),MONTH(TODAY()),1),10))-YEAR(IF(ISNUMBER(Suppliers!F27),Suppliers!F27,DATE(YEAR(TODAY()),MONTH(TODAY()),1))))*12+MONTH(EDATE(DATE(YEAR(TODAY()),MONTH(TODAY()),1),10))-MONTH(IF(ISNUMBER(Suppliers!F27),Suppliers!F27,DATE(YEAR(TODAY()),MONTH(TODAY()),1))),6)=0,1,0),IF(Suppliers!E27="Annual",IF(MOD((YEAR(EDATE(DATE(YEAR(TODAY()),MONTH(TODAY()),1),10))-YEAR(IF(ISNUMBER(Suppliers!F27),Suppliers!F27,DATE(YEAR(TODAY()),MONTH(TODAY()),1))))*12+MONTH(EDATE(DATE(YEAR(TODAY()),MONTH(TODAY()),1),10))-MONTH(IF(ISNUMBER(Suppliers!F27),Suppliers!F27,DATE(YEAR(TODAY()),MONTH(TODAY()),1))),12)=0,1,0),IF(Suppliers!E27="One-time",IF(10=0,1,0),1)))))),"")</f>
        <v/>
      </c>
      <c r="Q29" s="10" t="str">
        <f ca="1">IFERROR(IF(OR(11&gt;=$B$1,Suppliers!A27="",NOT(ISNUMBER(Suppliers!D27)),Suppliers!L27="Expired",Suppliers!L27="Terminate"),"",Suppliers!D27*-1*IF(Suppliers!E27="Monthly",IF(AND(ISNUMBER(Suppliers!G27),(YEAR(EDATE(DATE(YEAR(TODAY()),MONTH(TODAY()),1),11))*12+MONTH(EDATE(DATE(YEAR(TODAY()),MONTH(TODAY()),1),11)))&gt;(YEAR(Suppliers!G27)*12+MONTH(Suppliers!G27))),"",1),IF(Suppliers!E27="Quarterly",IF(MOD((YEAR(EDATE(DATE(YEAR(TODAY()),MONTH(TODAY()),1),11))-YEAR(IF(ISNUMBER(Suppliers!F27),Suppliers!F27,DATE(YEAR(TODAY()),MONTH(TODAY()),1))))*12+MONTH(EDATE(DATE(YEAR(TODAY()),MONTH(TODAY()),1),11))-MONTH(IF(ISNUMBER(Suppliers!F27),Suppliers!F27,DATE(YEAR(TODAY()),MONTH(TODAY()),1))),3)=0,1,0),IF(Suppliers!E27="Semi-annual",IF(MOD((YEAR(EDATE(DATE(YEAR(TODAY()),MONTH(TODAY()),1),11))-YEAR(IF(ISNUMBER(Suppliers!F27),Suppliers!F27,DATE(YEAR(TODAY()),MONTH(TODAY()),1))))*12+MONTH(EDATE(DATE(YEAR(TODAY()),MONTH(TODAY()),1),11))-MONTH(IF(ISNUMBER(Suppliers!F27),Suppliers!F27,DATE(YEAR(TODAY()),MONTH(TODAY()),1))),6)=0,1,0),IF(Suppliers!E27="Annual",IF(MOD((YEAR(EDATE(DATE(YEAR(TODAY()),MONTH(TODAY()),1),11))-YEAR(IF(ISNUMBER(Suppliers!F27),Suppliers!F27,DATE(YEAR(TODAY()),MONTH(TODAY()),1))))*12+MONTH(EDATE(DATE(YEAR(TODAY()),MONTH(TODAY()),1),11))-MONTH(IF(ISNUMBER(Suppliers!F27),Suppliers!F27,DATE(YEAR(TODAY()),MONTH(TODAY()),1))),12)=0,1,0),IF(Suppliers!E27="One-time",IF(11=0,1,0),1)))))),"")</f>
        <v/>
      </c>
      <c r="R29" s="10" t="str">
        <f ca="1">IFERROR(IF(OR(12&gt;=$B$1,Suppliers!A27="",NOT(ISNUMBER(Suppliers!D27)),Suppliers!L27="Expired",Suppliers!L27="Terminate"),"",Suppliers!D27*-1*IF(Suppliers!E27="Monthly",IF(AND(ISNUMBER(Suppliers!G27),(YEAR(EDATE(DATE(YEAR(TODAY()),MONTH(TODAY()),1),12))*12+MONTH(EDATE(DATE(YEAR(TODAY()),MONTH(TODAY()),1),12)))&gt;(YEAR(Suppliers!G27)*12+MONTH(Suppliers!G27))),"",1),IF(Suppliers!E27="Quarterly",IF(MOD((YEAR(EDATE(DATE(YEAR(TODAY()),MONTH(TODAY()),1),12))-YEAR(IF(ISNUMBER(Suppliers!F27),Suppliers!F27,DATE(YEAR(TODAY()),MONTH(TODAY()),1))))*12+MONTH(EDATE(DATE(YEAR(TODAY()),MONTH(TODAY()),1),12))-MONTH(IF(ISNUMBER(Suppliers!F27),Suppliers!F27,DATE(YEAR(TODAY()),MONTH(TODAY()),1))),3)=0,1,0),IF(Suppliers!E27="Semi-annual",IF(MOD((YEAR(EDATE(DATE(YEAR(TODAY()),MONTH(TODAY()),1),12))-YEAR(IF(ISNUMBER(Suppliers!F27),Suppliers!F27,DATE(YEAR(TODAY()),MONTH(TODAY()),1))))*12+MONTH(EDATE(DATE(YEAR(TODAY()),MONTH(TODAY()),1),12))-MONTH(IF(ISNUMBER(Suppliers!F27),Suppliers!F27,DATE(YEAR(TODAY()),MONTH(TODAY()),1))),6)=0,1,0),IF(Suppliers!E27="Annual",IF(MOD((YEAR(EDATE(DATE(YEAR(TODAY()),MONTH(TODAY()),1),12))-YEAR(IF(ISNUMBER(Suppliers!F27),Suppliers!F27,DATE(YEAR(TODAY()),MONTH(TODAY()),1))))*12+MONTH(EDATE(DATE(YEAR(TODAY()),MONTH(TODAY()),1),12))-MONTH(IF(ISNUMBER(Suppliers!F27),Suppliers!F27,DATE(YEAR(TODAY()),MONTH(TODAY()),1))),12)=0,1,0),IF(Suppliers!E27="One-time",IF(12=0,1,0),1)))))),"")</f>
        <v/>
      </c>
      <c r="S29" s="10" t="str">
        <f ca="1">IFERROR(IF(OR(13&gt;=$B$1,Suppliers!A27="",NOT(ISNUMBER(Suppliers!D27)),Suppliers!L27="Expired",Suppliers!L27="Terminate"),"",Suppliers!D27*-1*IF(Suppliers!E27="Monthly",IF(AND(ISNUMBER(Suppliers!G27),(YEAR(EDATE(DATE(YEAR(TODAY()),MONTH(TODAY()),1),13))*12+MONTH(EDATE(DATE(YEAR(TODAY()),MONTH(TODAY()),1),13)))&gt;(YEAR(Suppliers!G27)*12+MONTH(Suppliers!G27))),"",1),IF(Suppliers!E27="Quarterly",IF(MOD((YEAR(EDATE(DATE(YEAR(TODAY()),MONTH(TODAY()),1),13))-YEAR(IF(ISNUMBER(Suppliers!F27),Suppliers!F27,DATE(YEAR(TODAY()),MONTH(TODAY()),1))))*12+MONTH(EDATE(DATE(YEAR(TODAY()),MONTH(TODAY()),1),13))-MONTH(IF(ISNUMBER(Suppliers!F27),Suppliers!F27,DATE(YEAR(TODAY()),MONTH(TODAY()),1))),3)=0,1,0),IF(Suppliers!E27="Semi-annual",IF(MOD((YEAR(EDATE(DATE(YEAR(TODAY()),MONTH(TODAY()),1),13))-YEAR(IF(ISNUMBER(Suppliers!F27),Suppliers!F27,DATE(YEAR(TODAY()),MONTH(TODAY()),1))))*12+MONTH(EDATE(DATE(YEAR(TODAY()),MONTH(TODAY()),1),13))-MONTH(IF(ISNUMBER(Suppliers!F27),Suppliers!F27,DATE(YEAR(TODAY()),MONTH(TODAY()),1))),6)=0,1,0),IF(Suppliers!E27="Annual",IF(MOD((YEAR(EDATE(DATE(YEAR(TODAY()),MONTH(TODAY()),1),13))-YEAR(IF(ISNUMBER(Suppliers!F27),Suppliers!F27,DATE(YEAR(TODAY()),MONTH(TODAY()),1))))*12+MONTH(EDATE(DATE(YEAR(TODAY()),MONTH(TODAY()),1),13))-MONTH(IF(ISNUMBER(Suppliers!F27),Suppliers!F27,DATE(YEAR(TODAY()),MONTH(TODAY()),1))),12)=0,1,0),IF(Suppliers!E27="One-time",IF(13=0,1,0),1)))))),"")</f>
        <v/>
      </c>
      <c r="T29" s="10" t="str">
        <f ca="1">IFERROR(IF(OR(14&gt;=$B$1,Suppliers!A27="",NOT(ISNUMBER(Suppliers!D27)),Suppliers!L27="Expired",Suppliers!L27="Terminate"),"",Suppliers!D27*-1*IF(Suppliers!E27="Monthly",IF(AND(ISNUMBER(Suppliers!G27),(YEAR(EDATE(DATE(YEAR(TODAY()),MONTH(TODAY()),1),14))*12+MONTH(EDATE(DATE(YEAR(TODAY()),MONTH(TODAY()),1),14)))&gt;(YEAR(Suppliers!G27)*12+MONTH(Suppliers!G27))),"",1),IF(Suppliers!E27="Quarterly",IF(MOD((YEAR(EDATE(DATE(YEAR(TODAY()),MONTH(TODAY()),1),14))-YEAR(IF(ISNUMBER(Suppliers!F27),Suppliers!F27,DATE(YEAR(TODAY()),MONTH(TODAY()),1))))*12+MONTH(EDATE(DATE(YEAR(TODAY()),MONTH(TODAY()),1),14))-MONTH(IF(ISNUMBER(Suppliers!F27),Suppliers!F27,DATE(YEAR(TODAY()),MONTH(TODAY()),1))),3)=0,1,0),IF(Suppliers!E27="Semi-annual",IF(MOD((YEAR(EDATE(DATE(YEAR(TODAY()),MONTH(TODAY()),1),14))-YEAR(IF(ISNUMBER(Suppliers!F27),Suppliers!F27,DATE(YEAR(TODAY()),MONTH(TODAY()),1))))*12+MONTH(EDATE(DATE(YEAR(TODAY()),MONTH(TODAY()),1),14))-MONTH(IF(ISNUMBER(Suppliers!F27),Suppliers!F27,DATE(YEAR(TODAY()),MONTH(TODAY()),1))),6)=0,1,0),IF(Suppliers!E27="Annual",IF(MOD((YEAR(EDATE(DATE(YEAR(TODAY()),MONTH(TODAY()),1),14))-YEAR(IF(ISNUMBER(Suppliers!F27),Suppliers!F27,DATE(YEAR(TODAY()),MONTH(TODAY()),1))))*12+MONTH(EDATE(DATE(YEAR(TODAY()),MONTH(TODAY()),1),14))-MONTH(IF(ISNUMBER(Suppliers!F27),Suppliers!F27,DATE(YEAR(TODAY()),MONTH(TODAY()),1))),12)=0,1,0),IF(Suppliers!E27="One-time",IF(14=0,1,0),1)))))),"")</f>
        <v/>
      </c>
      <c r="U29" s="10" t="str">
        <f ca="1">IFERROR(IF(OR(15&gt;=$B$1,Suppliers!A27="",NOT(ISNUMBER(Suppliers!D27)),Suppliers!L27="Expired",Suppliers!L27="Terminate"),"",Suppliers!D27*-1*IF(Suppliers!E27="Monthly",IF(AND(ISNUMBER(Suppliers!G27),(YEAR(EDATE(DATE(YEAR(TODAY()),MONTH(TODAY()),1),15))*12+MONTH(EDATE(DATE(YEAR(TODAY()),MONTH(TODAY()),1),15)))&gt;(YEAR(Suppliers!G27)*12+MONTH(Suppliers!G27))),"",1),IF(Suppliers!E27="Quarterly",IF(MOD((YEAR(EDATE(DATE(YEAR(TODAY()),MONTH(TODAY()),1),15))-YEAR(IF(ISNUMBER(Suppliers!F27),Suppliers!F27,DATE(YEAR(TODAY()),MONTH(TODAY()),1))))*12+MONTH(EDATE(DATE(YEAR(TODAY()),MONTH(TODAY()),1),15))-MONTH(IF(ISNUMBER(Suppliers!F27),Suppliers!F27,DATE(YEAR(TODAY()),MONTH(TODAY()),1))),3)=0,1,0),IF(Suppliers!E27="Semi-annual",IF(MOD((YEAR(EDATE(DATE(YEAR(TODAY()),MONTH(TODAY()),1),15))-YEAR(IF(ISNUMBER(Suppliers!F27),Suppliers!F27,DATE(YEAR(TODAY()),MONTH(TODAY()),1))))*12+MONTH(EDATE(DATE(YEAR(TODAY()),MONTH(TODAY()),1),15))-MONTH(IF(ISNUMBER(Suppliers!F27),Suppliers!F27,DATE(YEAR(TODAY()),MONTH(TODAY()),1))),6)=0,1,0),IF(Suppliers!E27="Annual",IF(MOD((YEAR(EDATE(DATE(YEAR(TODAY()),MONTH(TODAY()),1),15))-YEAR(IF(ISNUMBER(Suppliers!F27),Suppliers!F27,DATE(YEAR(TODAY()),MONTH(TODAY()),1))))*12+MONTH(EDATE(DATE(YEAR(TODAY()),MONTH(TODAY()),1),15))-MONTH(IF(ISNUMBER(Suppliers!F27),Suppliers!F27,DATE(YEAR(TODAY()),MONTH(TODAY()),1))),12)=0,1,0),IF(Suppliers!E27="One-time",IF(15=0,1,0),1)))))),"")</f>
        <v/>
      </c>
      <c r="V29" s="10" t="str">
        <f ca="1">IFERROR(IF(OR(16&gt;=$B$1,Suppliers!A27="",NOT(ISNUMBER(Suppliers!D27)),Suppliers!L27="Expired",Suppliers!L27="Terminate"),"",Suppliers!D27*-1*IF(Suppliers!E27="Monthly",IF(AND(ISNUMBER(Suppliers!G27),(YEAR(EDATE(DATE(YEAR(TODAY()),MONTH(TODAY()),1),16))*12+MONTH(EDATE(DATE(YEAR(TODAY()),MONTH(TODAY()),1),16)))&gt;(YEAR(Suppliers!G27)*12+MONTH(Suppliers!G27))),"",1),IF(Suppliers!E27="Quarterly",IF(MOD((YEAR(EDATE(DATE(YEAR(TODAY()),MONTH(TODAY()),1),16))-YEAR(IF(ISNUMBER(Suppliers!F27),Suppliers!F27,DATE(YEAR(TODAY()),MONTH(TODAY()),1))))*12+MONTH(EDATE(DATE(YEAR(TODAY()),MONTH(TODAY()),1),16))-MONTH(IF(ISNUMBER(Suppliers!F27),Suppliers!F27,DATE(YEAR(TODAY()),MONTH(TODAY()),1))),3)=0,1,0),IF(Suppliers!E27="Semi-annual",IF(MOD((YEAR(EDATE(DATE(YEAR(TODAY()),MONTH(TODAY()),1),16))-YEAR(IF(ISNUMBER(Suppliers!F27),Suppliers!F27,DATE(YEAR(TODAY()),MONTH(TODAY()),1))))*12+MONTH(EDATE(DATE(YEAR(TODAY()),MONTH(TODAY()),1),16))-MONTH(IF(ISNUMBER(Suppliers!F27),Suppliers!F27,DATE(YEAR(TODAY()),MONTH(TODAY()),1))),6)=0,1,0),IF(Suppliers!E27="Annual",IF(MOD((YEAR(EDATE(DATE(YEAR(TODAY()),MONTH(TODAY()),1),16))-YEAR(IF(ISNUMBER(Suppliers!F27),Suppliers!F27,DATE(YEAR(TODAY()),MONTH(TODAY()),1))))*12+MONTH(EDATE(DATE(YEAR(TODAY()),MONTH(TODAY()),1),16))-MONTH(IF(ISNUMBER(Suppliers!F27),Suppliers!F27,DATE(YEAR(TODAY()),MONTH(TODAY()),1))),12)=0,1,0),IF(Suppliers!E27="One-time",IF(16=0,1,0),1)))))),"")</f>
        <v/>
      </c>
      <c r="W29" s="10" t="str">
        <f ca="1">IFERROR(IF(OR(17&gt;=$B$1,Suppliers!A27="",NOT(ISNUMBER(Suppliers!D27)),Suppliers!L27="Expired",Suppliers!L27="Terminate"),"",Suppliers!D27*-1*IF(Suppliers!E27="Monthly",IF(AND(ISNUMBER(Suppliers!G27),(YEAR(EDATE(DATE(YEAR(TODAY()),MONTH(TODAY()),1),17))*12+MONTH(EDATE(DATE(YEAR(TODAY()),MONTH(TODAY()),1),17)))&gt;(YEAR(Suppliers!G27)*12+MONTH(Suppliers!G27))),"",1),IF(Suppliers!E27="Quarterly",IF(MOD((YEAR(EDATE(DATE(YEAR(TODAY()),MONTH(TODAY()),1),17))-YEAR(IF(ISNUMBER(Suppliers!F27),Suppliers!F27,DATE(YEAR(TODAY()),MONTH(TODAY()),1))))*12+MONTH(EDATE(DATE(YEAR(TODAY()),MONTH(TODAY()),1),17))-MONTH(IF(ISNUMBER(Suppliers!F27),Suppliers!F27,DATE(YEAR(TODAY()),MONTH(TODAY()),1))),3)=0,1,0),IF(Suppliers!E27="Semi-annual",IF(MOD((YEAR(EDATE(DATE(YEAR(TODAY()),MONTH(TODAY()),1),17))-YEAR(IF(ISNUMBER(Suppliers!F27),Suppliers!F27,DATE(YEAR(TODAY()),MONTH(TODAY()),1))))*12+MONTH(EDATE(DATE(YEAR(TODAY()),MONTH(TODAY()),1),17))-MONTH(IF(ISNUMBER(Suppliers!F27),Suppliers!F27,DATE(YEAR(TODAY()),MONTH(TODAY()),1))),6)=0,1,0),IF(Suppliers!E27="Annual",IF(MOD((YEAR(EDATE(DATE(YEAR(TODAY()),MONTH(TODAY()),1),17))-YEAR(IF(ISNUMBER(Suppliers!F27),Suppliers!F27,DATE(YEAR(TODAY()),MONTH(TODAY()),1))))*12+MONTH(EDATE(DATE(YEAR(TODAY()),MONTH(TODAY()),1),17))-MONTH(IF(ISNUMBER(Suppliers!F27),Suppliers!F27,DATE(YEAR(TODAY()),MONTH(TODAY()),1))),12)=0,1,0),IF(Suppliers!E27="One-time",IF(17=0,1,0),1)))))),"")</f>
        <v/>
      </c>
      <c r="X29" s="10" t="str">
        <f ca="1">IFERROR(IF(OR(18&gt;=$B$1,Suppliers!A27="",NOT(ISNUMBER(Suppliers!D27)),Suppliers!L27="Expired",Suppliers!L27="Terminate"),"",Suppliers!D27*-1*IF(Suppliers!E27="Monthly",IF(AND(ISNUMBER(Suppliers!G27),(YEAR(EDATE(DATE(YEAR(TODAY()),MONTH(TODAY()),1),18))*12+MONTH(EDATE(DATE(YEAR(TODAY()),MONTH(TODAY()),1),18)))&gt;(YEAR(Suppliers!G27)*12+MONTH(Suppliers!G27))),"",1),IF(Suppliers!E27="Quarterly",IF(MOD((YEAR(EDATE(DATE(YEAR(TODAY()),MONTH(TODAY()),1),18))-YEAR(IF(ISNUMBER(Suppliers!F27),Suppliers!F27,DATE(YEAR(TODAY()),MONTH(TODAY()),1))))*12+MONTH(EDATE(DATE(YEAR(TODAY()),MONTH(TODAY()),1),18))-MONTH(IF(ISNUMBER(Suppliers!F27),Suppliers!F27,DATE(YEAR(TODAY()),MONTH(TODAY()),1))),3)=0,1,0),IF(Suppliers!E27="Semi-annual",IF(MOD((YEAR(EDATE(DATE(YEAR(TODAY()),MONTH(TODAY()),1),18))-YEAR(IF(ISNUMBER(Suppliers!F27),Suppliers!F27,DATE(YEAR(TODAY()),MONTH(TODAY()),1))))*12+MONTH(EDATE(DATE(YEAR(TODAY()),MONTH(TODAY()),1),18))-MONTH(IF(ISNUMBER(Suppliers!F27),Suppliers!F27,DATE(YEAR(TODAY()),MONTH(TODAY()),1))),6)=0,1,0),IF(Suppliers!E27="Annual",IF(MOD((YEAR(EDATE(DATE(YEAR(TODAY()),MONTH(TODAY()),1),18))-YEAR(IF(ISNUMBER(Suppliers!F27),Suppliers!F27,DATE(YEAR(TODAY()),MONTH(TODAY()),1))))*12+MONTH(EDATE(DATE(YEAR(TODAY()),MONTH(TODAY()),1),18))-MONTH(IF(ISNUMBER(Suppliers!F27),Suppliers!F27,DATE(YEAR(TODAY()),MONTH(TODAY()),1))),12)=0,1,0),IF(Suppliers!E27="One-time",IF(18=0,1,0),1)))))),"")</f>
        <v/>
      </c>
      <c r="Y29" s="10" t="str">
        <f ca="1">IFERROR(IF(OR(19&gt;=$B$1,Suppliers!A27="",NOT(ISNUMBER(Suppliers!D27)),Suppliers!L27="Expired",Suppliers!L27="Terminate"),"",Suppliers!D27*-1*IF(Suppliers!E27="Monthly",IF(AND(ISNUMBER(Suppliers!G27),(YEAR(EDATE(DATE(YEAR(TODAY()),MONTH(TODAY()),1),19))*12+MONTH(EDATE(DATE(YEAR(TODAY()),MONTH(TODAY()),1),19)))&gt;(YEAR(Suppliers!G27)*12+MONTH(Suppliers!G27))),"",1),IF(Suppliers!E27="Quarterly",IF(MOD((YEAR(EDATE(DATE(YEAR(TODAY()),MONTH(TODAY()),1),19))-YEAR(IF(ISNUMBER(Suppliers!F27),Suppliers!F27,DATE(YEAR(TODAY()),MONTH(TODAY()),1))))*12+MONTH(EDATE(DATE(YEAR(TODAY()),MONTH(TODAY()),1),19))-MONTH(IF(ISNUMBER(Suppliers!F27),Suppliers!F27,DATE(YEAR(TODAY()),MONTH(TODAY()),1))),3)=0,1,0),IF(Suppliers!E27="Semi-annual",IF(MOD((YEAR(EDATE(DATE(YEAR(TODAY()),MONTH(TODAY()),1),19))-YEAR(IF(ISNUMBER(Suppliers!F27),Suppliers!F27,DATE(YEAR(TODAY()),MONTH(TODAY()),1))))*12+MONTH(EDATE(DATE(YEAR(TODAY()),MONTH(TODAY()),1),19))-MONTH(IF(ISNUMBER(Suppliers!F27),Suppliers!F27,DATE(YEAR(TODAY()),MONTH(TODAY()),1))),6)=0,1,0),IF(Suppliers!E27="Annual",IF(MOD((YEAR(EDATE(DATE(YEAR(TODAY()),MONTH(TODAY()),1),19))-YEAR(IF(ISNUMBER(Suppliers!F27),Suppliers!F27,DATE(YEAR(TODAY()),MONTH(TODAY()),1))))*12+MONTH(EDATE(DATE(YEAR(TODAY()),MONTH(TODAY()),1),19))-MONTH(IF(ISNUMBER(Suppliers!F27),Suppliers!F27,DATE(YEAR(TODAY()),MONTH(TODAY()),1))),12)=0,1,0),IF(Suppliers!E27="One-time",IF(19=0,1,0),1)))))),"")</f>
        <v/>
      </c>
      <c r="Z29" s="10" t="str">
        <f ca="1">IFERROR(IF(OR(20&gt;=$B$1,Suppliers!A27="",NOT(ISNUMBER(Suppliers!D27)),Suppliers!L27="Expired",Suppliers!L27="Terminate"),"",Suppliers!D27*-1*IF(Suppliers!E27="Monthly",IF(AND(ISNUMBER(Suppliers!G27),(YEAR(EDATE(DATE(YEAR(TODAY()),MONTH(TODAY()),1),20))*12+MONTH(EDATE(DATE(YEAR(TODAY()),MONTH(TODAY()),1),20)))&gt;(YEAR(Suppliers!G27)*12+MONTH(Suppliers!G27))),"",1),IF(Suppliers!E27="Quarterly",IF(MOD((YEAR(EDATE(DATE(YEAR(TODAY()),MONTH(TODAY()),1),20))-YEAR(IF(ISNUMBER(Suppliers!F27),Suppliers!F27,DATE(YEAR(TODAY()),MONTH(TODAY()),1))))*12+MONTH(EDATE(DATE(YEAR(TODAY()),MONTH(TODAY()),1),20))-MONTH(IF(ISNUMBER(Suppliers!F27),Suppliers!F27,DATE(YEAR(TODAY()),MONTH(TODAY()),1))),3)=0,1,0),IF(Suppliers!E27="Semi-annual",IF(MOD((YEAR(EDATE(DATE(YEAR(TODAY()),MONTH(TODAY()),1),20))-YEAR(IF(ISNUMBER(Suppliers!F27),Suppliers!F27,DATE(YEAR(TODAY()),MONTH(TODAY()),1))))*12+MONTH(EDATE(DATE(YEAR(TODAY()),MONTH(TODAY()),1),20))-MONTH(IF(ISNUMBER(Suppliers!F27),Suppliers!F27,DATE(YEAR(TODAY()),MONTH(TODAY()),1))),6)=0,1,0),IF(Suppliers!E27="Annual",IF(MOD((YEAR(EDATE(DATE(YEAR(TODAY()),MONTH(TODAY()),1),20))-YEAR(IF(ISNUMBER(Suppliers!F27),Suppliers!F27,DATE(YEAR(TODAY()),MONTH(TODAY()),1))))*12+MONTH(EDATE(DATE(YEAR(TODAY()),MONTH(TODAY()),1),20))-MONTH(IF(ISNUMBER(Suppliers!F27),Suppliers!F27,DATE(YEAR(TODAY()),MONTH(TODAY()),1))),12)=0,1,0),IF(Suppliers!E27="One-time",IF(20=0,1,0),1)))))),"")</f>
        <v/>
      </c>
      <c r="AA29" s="10" t="str">
        <f ca="1">IFERROR(IF(OR(21&gt;=$B$1,Suppliers!A27="",NOT(ISNUMBER(Suppliers!D27)),Suppliers!L27="Expired",Suppliers!L27="Terminate"),"",Suppliers!D27*-1*IF(Suppliers!E27="Monthly",IF(AND(ISNUMBER(Suppliers!G27),(YEAR(EDATE(DATE(YEAR(TODAY()),MONTH(TODAY()),1),21))*12+MONTH(EDATE(DATE(YEAR(TODAY()),MONTH(TODAY()),1),21)))&gt;(YEAR(Suppliers!G27)*12+MONTH(Suppliers!G27))),"",1),IF(Suppliers!E27="Quarterly",IF(MOD((YEAR(EDATE(DATE(YEAR(TODAY()),MONTH(TODAY()),1),21))-YEAR(IF(ISNUMBER(Suppliers!F27),Suppliers!F27,DATE(YEAR(TODAY()),MONTH(TODAY()),1))))*12+MONTH(EDATE(DATE(YEAR(TODAY()),MONTH(TODAY()),1),21))-MONTH(IF(ISNUMBER(Suppliers!F27),Suppliers!F27,DATE(YEAR(TODAY()),MONTH(TODAY()),1))),3)=0,1,0),IF(Suppliers!E27="Semi-annual",IF(MOD((YEAR(EDATE(DATE(YEAR(TODAY()),MONTH(TODAY()),1),21))-YEAR(IF(ISNUMBER(Suppliers!F27),Suppliers!F27,DATE(YEAR(TODAY()),MONTH(TODAY()),1))))*12+MONTH(EDATE(DATE(YEAR(TODAY()),MONTH(TODAY()),1),21))-MONTH(IF(ISNUMBER(Suppliers!F27),Suppliers!F27,DATE(YEAR(TODAY()),MONTH(TODAY()),1))),6)=0,1,0),IF(Suppliers!E27="Annual",IF(MOD((YEAR(EDATE(DATE(YEAR(TODAY()),MONTH(TODAY()),1),21))-YEAR(IF(ISNUMBER(Suppliers!F27),Suppliers!F27,DATE(YEAR(TODAY()),MONTH(TODAY()),1))))*12+MONTH(EDATE(DATE(YEAR(TODAY()),MONTH(TODAY()),1),21))-MONTH(IF(ISNUMBER(Suppliers!F27),Suppliers!F27,DATE(YEAR(TODAY()),MONTH(TODAY()),1))),12)=0,1,0),IF(Suppliers!E27="One-time",IF(21=0,1,0),1)))))),"")</f>
        <v/>
      </c>
      <c r="AB29" s="10" t="str">
        <f ca="1">IFERROR(IF(OR(22&gt;=$B$1,Suppliers!A27="",NOT(ISNUMBER(Suppliers!D27)),Suppliers!L27="Expired",Suppliers!L27="Terminate"),"",Suppliers!D27*-1*IF(Suppliers!E27="Monthly",IF(AND(ISNUMBER(Suppliers!G27),(YEAR(EDATE(DATE(YEAR(TODAY()),MONTH(TODAY()),1),22))*12+MONTH(EDATE(DATE(YEAR(TODAY()),MONTH(TODAY()),1),22)))&gt;(YEAR(Suppliers!G27)*12+MONTH(Suppliers!G27))),"",1),IF(Suppliers!E27="Quarterly",IF(MOD((YEAR(EDATE(DATE(YEAR(TODAY()),MONTH(TODAY()),1),22))-YEAR(IF(ISNUMBER(Suppliers!F27),Suppliers!F27,DATE(YEAR(TODAY()),MONTH(TODAY()),1))))*12+MONTH(EDATE(DATE(YEAR(TODAY()),MONTH(TODAY()),1),22))-MONTH(IF(ISNUMBER(Suppliers!F27),Suppliers!F27,DATE(YEAR(TODAY()),MONTH(TODAY()),1))),3)=0,1,0),IF(Suppliers!E27="Semi-annual",IF(MOD((YEAR(EDATE(DATE(YEAR(TODAY()),MONTH(TODAY()),1),22))-YEAR(IF(ISNUMBER(Suppliers!F27),Suppliers!F27,DATE(YEAR(TODAY()),MONTH(TODAY()),1))))*12+MONTH(EDATE(DATE(YEAR(TODAY()),MONTH(TODAY()),1),22))-MONTH(IF(ISNUMBER(Suppliers!F27),Suppliers!F27,DATE(YEAR(TODAY()),MONTH(TODAY()),1))),6)=0,1,0),IF(Suppliers!E27="Annual",IF(MOD((YEAR(EDATE(DATE(YEAR(TODAY()),MONTH(TODAY()),1),22))-YEAR(IF(ISNUMBER(Suppliers!F27),Suppliers!F27,DATE(YEAR(TODAY()),MONTH(TODAY()),1))))*12+MONTH(EDATE(DATE(YEAR(TODAY()),MONTH(TODAY()),1),22))-MONTH(IF(ISNUMBER(Suppliers!F27),Suppliers!F27,DATE(YEAR(TODAY()),MONTH(TODAY()),1))),12)=0,1,0),IF(Suppliers!E27="One-time",IF(22=0,1,0),1)))))),"")</f>
        <v/>
      </c>
      <c r="AC29" s="10" t="str">
        <f ca="1">IFERROR(IF(OR(23&gt;=$B$1,Suppliers!A27="",NOT(ISNUMBER(Suppliers!D27)),Suppliers!L27="Expired",Suppliers!L27="Terminate"),"",Suppliers!D27*-1*IF(Suppliers!E27="Monthly",IF(AND(ISNUMBER(Suppliers!G27),(YEAR(EDATE(DATE(YEAR(TODAY()),MONTH(TODAY()),1),23))*12+MONTH(EDATE(DATE(YEAR(TODAY()),MONTH(TODAY()),1),23)))&gt;(YEAR(Suppliers!G27)*12+MONTH(Suppliers!G27))),"",1),IF(Suppliers!E27="Quarterly",IF(MOD((YEAR(EDATE(DATE(YEAR(TODAY()),MONTH(TODAY()),1),23))-YEAR(IF(ISNUMBER(Suppliers!F27),Suppliers!F27,DATE(YEAR(TODAY()),MONTH(TODAY()),1))))*12+MONTH(EDATE(DATE(YEAR(TODAY()),MONTH(TODAY()),1),23))-MONTH(IF(ISNUMBER(Suppliers!F27),Suppliers!F27,DATE(YEAR(TODAY()),MONTH(TODAY()),1))),3)=0,1,0),IF(Suppliers!E27="Semi-annual",IF(MOD((YEAR(EDATE(DATE(YEAR(TODAY()),MONTH(TODAY()),1),23))-YEAR(IF(ISNUMBER(Suppliers!F27),Suppliers!F27,DATE(YEAR(TODAY()),MONTH(TODAY()),1))))*12+MONTH(EDATE(DATE(YEAR(TODAY()),MONTH(TODAY()),1),23))-MONTH(IF(ISNUMBER(Suppliers!F27),Suppliers!F27,DATE(YEAR(TODAY()),MONTH(TODAY()),1))),6)=0,1,0),IF(Suppliers!E27="Annual",IF(MOD((YEAR(EDATE(DATE(YEAR(TODAY()),MONTH(TODAY()),1),23))-YEAR(IF(ISNUMBER(Suppliers!F27),Suppliers!F27,DATE(YEAR(TODAY()),MONTH(TODAY()),1))))*12+MONTH(EDATE(DATE(YEAR(TODAY()),MONTH(TODAY()),1),23))-MONTH(IF(ISNUMBER(Suppliers!F27),Suppliers!F27,DATE(YEAR(TODAY()),MONTH(TODAY()),1))),12)=0,1,0),IF(Suppliers!E27="One-time",IF(23=0,1,0),1)))))),"")</f>
        <v/>
      </c>
    </row>
    <row r="30" spans="1:29" ht="15" customHeight="1" x14ac:dyDescent="0.35">
      <c r="A30" s="4" t="s">
        <v>80</v>
      </c>
      <c r="B30" s="4" t="str">
        <f>IF(Suppliers!A28="","",Suppliers!A28)</f>
        <v/>
      </c>
      <c r="C30" s="10" t="str">
        <f>IF(Suppliers!C28="","",Suppliers!C28)</f>
        <v/>
      </c>
      <c r="D30" s="10" t="str">
        <f>IF(Suppliers!D28="","",Suppliers!D28)</f>
        <v/>
      </c>
      <c r="E30" s="4" t="str">
        <f>IF(Suppliers!E28="","",Suppliers!E28)</f>
        <v/>
      </c>
      <c r="F30" s="10" t="str">
        <f ca="1">IFERROR(IF(OR(0&gt;=$B$1,Suppliers!A28="",NOT(ISNUMBER(Suppliers!D28)),Suppliers!L28="Expired",Suppliers!L28="Terminate"),"",Suppliers!D28*-1*IF(Suppliers!E28="Monthly",IF(AND(ISNUMBER(Suppliers!G28),(YEAR(EDATE(DATE(YEAR(TODAY()),MONTH(TODAY()),1),0))*12+MONTH(EDATE(DATE(YEAR(TODAY()),MONTH(TODAY()),1),0)))&gt;(YEAR(Suppliers!G28)*12+MONTH(Suppliers!G28))),"",1),IF(Suppliers!E28="Quarterly",IF(MOD((YEAR(EDATE(DATE(YEAR(TODAY()),MONTH(TODAY()),1),0))-YEAR(IF(ISNUMBER(Suppliers!F28),Suppliers!F28,DATE(YEAR(TODAY()),MONTH(TODAY()),1))))*12+MONTH(EDATE(DATE(YEAR(TODAY()),MONTH(TODAY()),1),0))-MONTH(IF(ISNUMBER(Suppliers!F28),Suppliers!F28,DATE(YEAR(TODAY()),MONTH(TODAY()),1))),3)=0,1,0),IF(Suppliers!E28="Semi-annual",IF(MOD((YEAR(EDATE(DATE(YEAR(TODAY()),MONTH(TODAY()),1),0))-YEAR(IF(ISNUMBER(Suppliers!F28),Suppliers!F28,DATE(YEAR(TODAY()),MONTH(TODAY()),1))))*12+MONTH(EDATE(DATE(YEAR(TODAY()),MONTH(TODAY()),1),0))-MONTH(IF(ISNUMBER(Suppliers!F28),Suppliers!F28,DATE(YEAR(TODAY()),MONTH(TODAY()),1))),6)=0,1,0),IF(Suppliers!E28="Annual",IF(MOD((YEAR(EDATE(DATE(YEAR(TODAY()),MONTH(TODAY()),1),0))-YEAR(IF(ISNUMBER(Suppliers!F28),Suppliers!F28,DATE(YEAR(TODAY()),MONTH(TODAY()),1))))*12+MONTH(EDATE(DATE(YEAR(TODAY()),MONTH(TODAY()),1),0))-MONTH(IF(ISNUMBER(Suppliers!F28),Suppliers!F28,DATE(YEAR(TODAY()),MONTH(TODAY()),1))),12)=0,1,0),IF(Suppliers!E28="One-time",IF(0=0,1,0),1)))))),"")</f>
        <v/>
      </c>
      <c r="G30" s="10" t="str">
        <f ca="1">IFERROR(IF(OR(1&gt;=$B$1,Suppliers!A28="",NOT(ISNUMBER(Suppliers!D28)),Suppliers!L28="Expired",Suppliers!L28="Terminate"),"",Suppliers!D28*-1*IF(Suppliers!E28="Monthly",IF(AND(ISNUMBER(Suppliers!G28),(YEAR(EDATE(DATE(YEAR(TODAY()),MONTH(TODAY()),1),1))*12+MONTH(EDATE(DATE(YEAR(TODAY()),MONTH(TODAY()),1),1)))&gt;(YEAR(Suppliers!G28)*12+MONTH(Suppliers!G28))),"",1),IF(Suppliers!E28="Quarterly",IF(MOD((YEAR(EDATE(DATE(YEAR(TODAY()),MONTH(TODAY()),1),1))-YEAR(IF(ISNUMBER(Suppliers!F28),Suppliers!F28,DATE(YEAR(TODAY()),MONTH(TODAY()),1))))*12+MONTH(EDATE(DATE(YEAR(TODAY()),MONTH(TODAY()),1),1))-MONTH(IF(ISNUMBER(Suppliers!F28),Suppliers!F28,DATE(YEAR(TODAY()),MONTH(TODAY()),1))),3)=0,1,0),IF(Suppliers!E28="Semi-annual",IF(MOD((YEAR(EDATE(DATE(YEAR(TODAY()),MONTH(TODAY()),1),1))-YEAR(IF(ISNUMBER(Suppliers!F28),Suppliers!F28,DATE(YEAR(TODAY()),MONTH(TODAY()),1))))*12+MONTH(EDATE(DATE(YEAR(TODAY()),MONTH(TODAY()),1),1))-MONTH(IF(ISNUMBER(Suppliers!F28),Suppliers!F28,DATE(YEAR(TODAY()),MONTH(TODAY()),1))),6)=0,1,0),IF(Suppliers!E28="Annual",IF(MOD((YEAR(EDATE(DATE(YEAR(TODAY()),MONTH(TODAY()),1),1))-YEAR(IF(ISNUMBER(Suppliers!F28),Suppliers!F28,DATE(YEAR(TODAY()),MONTH(TODAY()),1))))*12+MONTH(EDATE(DATE(YEAR(TODAY()),MONTH(TODAY()),1),1))-MONTH(IF(ISNUMBER(Suppliers!F28),Suppliers!F28,DATE(YEAR(TODAY()),MONTH(TODAY()),1))),12)=0,1,0),IF(Suppliers!E28="One-time",IF(1=0,1,0),1)))))),"")</f>
        <v/>
      </c>
      <c r="H30" s="10" t="str">
        <f ca="1">IFERROR(IF(OR(2&gt;=$B$1,Suppliers!A28="",NOT(ISNUMBER(Suppliers!D28)),Suppliers!L28="Expired",Suppliers!L28="Terminate"),"",Suppliers!D28*-1*IF(Suppliers!E28="Monthly",IF(AND(ISNUMBER(Suppliers!G28),(YEAR(EDATE(DATE(YEAR(TODAY()),MONTH(TODAY()),1),2))*12+MONTH(EDATE(DATE(YEAR(TODAY()),MONTH(TODAY()),1),2)))&gt;(YEAR(Suppliers!G28)*12+MONTH(Suppliers!G28))),"",1),IF(Suppliers!E28="Quarterly",IF(MOD((YEAR(EDATE(DATE(YEAR(TODAY()),MONTH(TODAY()),1),2))-YEAR(IF(ISNUMBER(Suppliers!F28),Suppliers!F28,DATE(YEAR(TODAY()),MONTH(TODAY()),1))))*12+MONTH(EDATE(DATE(YEAR(TODAY()),MONTH(TODAY()),1),2))-MONTH(IF(ISNUMBER(Suppliers!F28),Suppliers!F28,DATE(YEAR(TODAY()),MONTH(TODAY()),1))),3)=0,1,0),IF(Suppliers!E28="Semi-annual",IF(MOD((YEAR(EDATE(DATE(YEAR(TODAY()),MONTH(TODAY()),1),2))-YEAR(IF(ISNUMBER(Suppliers!F28),Suppliers!F28,DATE(YEAR(TODAY()),MONTH(TODAY()),1))))*12+MONTH(EDATE(DATE(YEAR(TODAY()),MONTH(TODAY()),1),2))-MONTH(IF(ISNUMBER(Suppliers!F28),Suppliers!F28,DATE(YEAR(TODAY()),MONTH(TODAY()),1))),6)=0,1,0),IF(Suppliers!E28="Annual",IF(MOD((YEAR(EDATE(DATE(YEAR(TODAY()),MONTH(TODAY()),1),2))-YEAR(IF(ISNUMBER(Suppliers!F28),Suppliers!F28,DATE(YEAR(TODAY()),MONTH(TODAY()),1))))*12+MONTH(EDATE(DATE(YEAR(TODAY()),MONTH(TODAY()),1),2))-MONTH(IF(ISNUMBER(Suppliers!F28),Suppliers!F28,DATE(YEAR(TODAY()),MONTH(TODAY()),1))),12)=0,1,0),IF(Suppliers!E28="One-time",IF(2=0,1,0),1)))))),"")</f>
        <v/>
      </c>
      <c r="I30" s="10" t="str">
        <f ca="1">IFERROR(IF(OR(3&gt;=$B$1,Suppliers!A28="",NOT(ISNUMBER(Suppliers!D28)),Suppliers!L28="Expired",Suppliers!L28="Terminate"),"",Suppliers!D28*-1*IF(Suppliers!E28="Monthly",IF(AND(ISNUMBER(Suppliers!G28),(YEAR(EDATE(DATE(YEAR(TODAY()),MONTH(TODAY()),1),3))*12+MONTH(EDATE(DATE(YEAR(TODAY()),MONTH(TODAY()),1),3)))&gt;(YEAR(Suppliers!G28)*12+MONTH(Suppliers!G28))),"",1),IF(Suppliers!E28="Quarterly",IF(MOD((YEAR(EDATE(DATE(YEAR(TODAY()),MONTH(TODAY()),1),3))-YEAR(IF(ISNUMBER(Suppliers!F28),Suppliers!F28,DATE(YEAR(TODAY()),MONTH(TODAY()),1))))*12+MONTH(EDATE(DATE(YEAR(TODAY()),MONTH(TODAY()),1),3))-MONTH(IF(ISNUMBER(Suppliers!F28),Suppliers!F28,DATE(YEAR(TODAY()),MONTH(TODAY()),1))),3)=0,1,0),IF(Suppliers!E28="Semi-annual",IF(MOD((YEAR(EDATE(DATE(YEAR(TODAY()),MONTH(TODAY()),1),3))-YEAR(IF(ISNUMBER(Suppliers!F28),Suppliers!F28,DATE(YEAR(TODAY()),MONTH(TODAY()),1))))*12+MONTH(EDATE(DATE(YEAR(TODAY()),MONTH(TODAY()),1),3))-MONTH(IF(ISNUMBER(Suppliers!F28),Suppliers!F28,DATE(YEAR(TODAY()),MONTH(TODAY()),1))),6)=0,1,0),IF(Suppliers!E28="Annual",IF(MOD((YEAR(EDATE(DATE(YEAR(TODAY()),MONTH(TODAY()),1),3))-YEAR(IF(ISNUMBER(Suppliers!F28),Suppliers!F28,DATE(YEAR(TODAY()),MONTH(TODAY()),1))))*12+MONTH(EDATE(DATE(YEAR(TODAY()),MONTH(TODAY()),1),3))-MONTH(IF(ISNUMBER(Suppliers!F28),Suppliers!F28,DATE(YEAR(TODAY()),MONTH(TODAY()),1))),12)=0,1,0),IF(Suppliers!E28="One-time",IF(3=0,1,0),1)))))),"")</f>
        <v/>
      </c>
      <c r="J30" s="10" t="str">
        <f ca="1">IFERROR(IF(OR(4&gt;=$B$1,Suppliers!A28="",NOT(ISNUMBER(Suppliers!D28)),Suppliers!L28="Expired",Suppliers!L28="Terminate"),"",Suppliers!D28*-1*IF(Suppliers!E28="Monthly",IF(AND(ISNUMBER(Suppliers!G28),(YEAR(EDATE(DATE(YEAR(TODAY()),MONTH(TODAY()),1),4))*12+MONTH(EDATE(DATE(YEAR(TODAY()),MONTH(TODAY()),1),4)))&gt;(YEAR(Suppliers!G28)*12+MONTH(Suppliers!G28))),"",1),IF(Suppliers!E28="Quarterly",IF(MOD((YEAR(EDATE(DATE(YEAR(TODAY()),MONTH(TODAY()),1),4))-YEAR(IF(ISNUMBER(Suppliers!F28),Suppliers!F28,DATE(YEAR(TODAY()),MONTH(TODAY()),1))))*12+MONTH(EDATE(DATE(YEAR(TODAY()),MONTH(TODAY()),1),4))-MONTH(IF(ISNUMBER(Suppliers!F28),Suppliers!F28,DATE(YEAR(TODAY()),MONTH(TODAY()),1))),3)=0,1,0),IF(Suppliers!E28="Semi-annual",IF(MOD((YEAR(EDATE(DATE(YEAR(TODAY()),MONTH(TODAY()),1),4))-YEAR(IF(ISNUMBER(Suppliers!F28),Suppliers!F28,DATE(YEAR(TODAY()),MONTH(TODAY()),1))))*12+MONTH(EDATE(DATE(YEAR(TODAY()),MONTH(TODAY()),1),4))-MONTH(IF(ISNUMBER(Suppliers!F28),Suppliers!F28,DATE(YEAR(TODAY()),MONTH(TODAY()),1))),6)=0,1,0),IF(Suppliers!E28="Annual",IF(MOD((YEAR(EDATE(DATE(YEAR(TODAY()),MONTH(TODAY()),1),4))-YEAR(IF(ISNUMBER(Suppliers!F28),Suppliers!F28,DATE(YEAR(TODAY()),MONTH(TODAY()),1))))*12+MONTH(EDATE(DATE(YEAR(TODAY()),MONTH(TODAY()),1),4))-MONTH(IF(ISNUMBER(Suppliers!F28),Suppliers!F28,DATE(YEAR(TODAY()),MONTH(TODAY()),1))),12)=0,1,0),IF(Suppliers!E28="One-time",IF(4=0,1,0),1)))))),"")</f>
        <v/>
      </c>
      <c r="K30" s="10" t="str">
        <f ca="1">IFERROR(IF(OR(5&gt;=$B$1,Suppliers!A28="",NOT(ISNUMBER(Suppliers!D28)),Suppliers!L28="Expired",Suppliers!L28="Terminate"),"",Suppliers!D28*-1*IF(Suppliers!E28="Monthly",IF(AND(ISNUMBER(Suppliers!G28),(YEAR(EDATE(DATE(YEAR(TODAY()),MONTH(TODAY()),1),5))*12+MONTH(EDATE(DATE(YEAR(TODAY()),MONTH(TODAY()),1),5)))&gt;(YEAR(Suppliers!G28)*12+MONTH(Suppliers!G28))),"",1),IF(Suppliers!E28="Quarterly",IF(MOD((YEAR(EDATE(DATE(YEAR(TODAY()),MONTH(TODAY()),1),5))-YEAR(IF(ISNUMBER(Suppliers!F28),Suppliers!F28,DATE(YEAR(TODAY()),MONTH(TODAY()),1))))*12+MONTH(EDATE(DATE(YEAR(TODAY()),MONTH(TODAY()),1),5))-MONTH(IF(ISNUMBER(Suppliers!F28),Suppliers!F28,DATE(YEAR(TODAY()),MONTH(TODAY()),1))),3)=0,1,0),IF(Suppliers!E28="Semi-annual",IF(MOD((YEAR(EDATE(DATE(YEAR(TODAY()),MONTH(TODAY()),1),5))-YEAR(IF(ISNUMBER(Suppliers!F28),Suppliers!F28,DATE(YEAR(TODAY()),MONTH(TODAY()),1))))*12+MONTH(EDATE(DATE(YEAR(TODAY()),MONTH(TODAY()),1),5))-MONTH(IF(ISNUMBER(Suppliers!F28),Suppliers!F28,DATE(YEAR(TODAY()),MONTH(TODAY()),1))),6)=0,1,0),IF(Suppliers!E28="Annual",IF(MOD((YEAR(EDATE(DATE(YEAR(TODAY()),MONTH(TODAY()),1),5))-YEAR(IF(ISNUMBER(Suppliers!F28),Suppliers!F28,DATE(YEAR(TODAY()),MONTH(TODAY()),1))))*12+MONTH(EDATE(DATE(YEAR(TODAY()),MONTH(TODAY()),1),5))-MONTH(IF(ISNUMBER(Suppliers!F28),Suppliers!F28,DATE(YEAR(TODAY()),MONTH(TODAY()),1))),12)=0,1,0),IF(Suppliers!E28="One-time",IF(5=0,1,0),1)))))),"")</f>
        <v/>
      </c>
      <c r="L30" s="10" t="str">
        <f ca="1">IFERROR(IF(OR(6&gt;=$B$1,Suppliers!A28="",NOT(ISNUMBER(Suppliers!D28)),Suppliers!L28="Expired",Suppliers!L28="Terminate"),"",Suppliers!D28*-1*IF(Suppliers!E28="Monthly",IF(AND(ISNUMBER(Suppliers!G28),(YEAR(EDATE(DATE(YEAR(TODAY()),MONTH(TODAY()),1),6))*12+MONTH(EDATE(DATE(YEAR(TODAY()),MONTH(TODAY()),1),6)))&gt;(YEAR(Suppliers!G28)*12+MONTH(Suppliers!G28))),"",1),IF(Suppliers!E28="Quarterly",IF(MOD((YEAR(EDATE(DATE(YEAR(TODAY()),MONTH(TODAY()),1),6))-YEAR(IF(ISNUMBER(Suppliers!F28),Suppliers!F28,DATE(YEAR(TODAY()),MONTH(TODAY()),1))))*12+MONTH(EDATE(DATE(YEAR(TODAY()),MONTH(TODAY()),1),6))-MONTH(IF(ISNUMBER(Suppliers!F28),Suppliers!F28,DATE(YEAR(TODAY()),MONTH(TODAY()),1))),3)=0,1,0),IF(Suppliers!E28="Semi-annual",IF(MOD((YEAR(EDATE(DATE(YEAR(TODAY()),MONTH(TODAY()),1),6))-YEAR(IF(ISNUMBER(Suppliers!F28),Suppliers!F28,DATE(YEAR(TODAY()),MONTH(TODAY()),1))))*12+MONTH(EDATE(DATE(YEAR(TODAY()),MONTH(TODAY()),1),6))-MONTH(IF(ISNUMBER(Suppliers!F28),Suppliers!F28,DATE(YEAR(TODAY()),MONTH(TODAY()),1))),6)=0,1,0),IF(Suppliers!E28="Annual",IF(MOD((YEAR(EDATE(DATE(YEAR(TODAY()),MONTH(TODAY()),1),6))-YEAR(IF(ISNUMBER(Suppliers!F28),Suppliers!F28,DATE(YEAR(TODAY()),MONTH(TODAY()),1))))*12+MONTH(EDATE(DATE(YEAR(TODAY()),MONTH(TODAY()),1),6))-MONTH(IF(ISNUMBER(Suppliers!F28),Suppliers!F28,DATE(YEAR(TODAY()),MONTH(TODAY()),1))),12)=0,1,0),IF(Suppliers!E28="One-time",IF(6=0,1,0),1)))))),"")</f>
        <v/>
      </c>
      <c r="M30" s="10" t="str">
        <f ca="1">IFERROR(IF(OR(7&gt;=$B$1,Suppliers!A28="",NOT(ISNUMBER(Suppliers!D28)),Suppliers!L28="Expired",Suppliers!L28="Terminate"),"",Suppliers!D28*-1*IF(Suppliers!E28="Monthly",IF(AND(ISNUMBER(Suppliers!G28),(YEAR(EDATE(DATE(YEAR(TODAY()),MONTH(TODAY()),1),7))*12+MONTH(EDATE(DATE(YEAR(TODAY()),MONTH(TODAY()),1),7)))&gt;(YEAR(Suppliers!G28)*12+MONTH(Suppliers!G28))),"",1),IF(Suppliers!E28="Quarterly",IF(MOD((YEAR(EDATE(DATE(YEAR(TODAY()),MONTH(TODAY()),1),7))-YEAR(IF(ISNUMBER(Suppliers!F28),Suppliers!F28,DATE(YEAR(TODAY()),MONTH(TODAY()),1))))*12+MONTH(EDATE(DATE(YEAR(TODAY()),MONTH(TODAY()),1),7))-MONTH(IF(ISNUMBER(Suppliers!F28),Suppliers!F28,DATE(YEAR(TODAY()),MONTH(TODAY()),1))),3)=0,1,0),IF(Suppliers!E28="Semi-annual",IF(MOD((YEAR(EDATE(DATE(YEAR(TODAY()),MONTH(TODAY()),1),7))-YEAR(IF(ISNUMBER(Suppliers!F28),Suppliers!F28,DATE(YEAR(TODAY()),MONTH(TODAY()),1))))*12+MONTH(EDATE(DATE(YEAR(TODAY()),MONTH(TODAY()),1),7))-MONTH(IF(ISNUMBER(Suppliers!F28),Suppliers!F28,DATE(YEAR(TODAY()),MONTH(TODAY()),1))),6)=0,1,0),IF(Suppliers!E28="Annual",IF(MOD((YEAR(EDATE(DATE(YEAR(TODAY()),MONTH(TODAY()),1),7))-YEAR(IF(ISNUMBER(Suppliers!F28),Suppliers!F28,DATE(YEAR(TODAY()),MONTH(TODAY()),1))))*12+MONTH(EDATE(DATE(YEAR(TODAY()),MONTH(TODAY()),1),7))-MONTH(IF(ISNUMBER(Suppliers!F28),Suppliers!F28,DATE(YEAR(TODAY()),MONTH(TODAY()),1))),12)=0,1,0),IF(Suppliers!E28="One-time",IF(7=0,1,0),1)))))),"")</f>
        <v/>
      </c>
      <c r="N30" s="10" t="str">
        <f ca="1">IFERROR(IF(OR(8&gt;=$B$1,Suppliers!A28="",NOT(ISNUMBER(Suppliers!D28)),Suppliers!L28="Expired",Suppliers!L28="Terminate"),"",Suppliers!D28*-1*IF(Suppliers!E28="Monthly",IF(AND(ISNUMBER(Suppliers!G28),(YEAR(EDATE(DATE(YEAR(TODAY()),MONTH(TODAY()),1),8))*12+MONTH(EDATE(DATE(YEAR(TODAY()),MONTH(TODAY()),1),8)))&gt;(YEAR(Suppliers!G28)*12+MONTH(Suppliers!G28))),"",1),IF(Suppliers!E28="Quarterly",IF(MOD((YEAR(EDATE(DATE(YEAR(TODAY()),MONTH(TODAY()),1),8))-YEAR(IF(ISNUMBER(Suppliers!F28),Suppliers!F28,DATE(YEAR(TODAY()),MONTH(TODAY()),1))))*12+MONTH(EDATE(DATE(YEAR(TODAY()),MONTH(TODAY()),1),8))-MONTH(IF(ISNUMBER(Suppliers!F28),Suppliers!F28,DATE(YEAR(TODAY()),MONTH(TODAY()),1))),3)=0,1,0),IF(Suppliers!E28="Semi-annual",IF(MOD((YEAR(EDATE(DATE(YEAR(TODAY()),MONTH(TODAY()),1),8))-YEAR(IF(ISNUMBER(Suppliers!F28),Suppliers!F28,DATE(YEAR(TODAY()),MONTH(TODAY()),1))))*12+MONTH(EDATE(DATE(YEAR(TODAY()),MONTH(TODAY()),1),8))-MONTH(IF(ISNUMBER(Suppliers!F28),Suppliers!F28,DATE(YEAR(TODAY()),MONTH(TODAY()),1))),6)=0,1,0),IF(Suppliers!E28="Annual",IF(MOD((YEAR(EDATE(DATE(YEAR(TODAY()),MONTH(TODAY()),1),8))-YEAR(IF(ISNUMBER(Suppliers!F28),Suppliers!F28,DATE(YEAR(TODAY()),MONTH(TODAY()),1))))*12+MONTH(EDATE(DATE(YEAR(TODAY()),MONTH(TODAY()),1),8))-MONTH(IF(ISNUMBER(Suppliers!F28),Suppliers!F28,DATE(YEAR(TODAY()),MONTH(TODAY()),1))),12)=0,1,0),IF(Suppliers!E28="One-time",IF(8=0,1,0),1)))))),"")</f>
        <v/>
      </c>
      <c r="O30" s="10" t="str">
        <f ca="1">IFERROR(IF(OR(9&gt;=$B$1,Suppliers!A28="",NOT(ISNUMBER(Suppliers!D28)),Suppliers!L28="Expired",Suppliers!L28="Terminate"),"",Suppliers!D28*-1*IF(Suppliers!E28="Monthly",IF(AND(ISNUMBER(Suppliers!G28),(YEAR(EDATE(DATE(YEAR(TODAY()),MONTH(TODAY()),1),9))*12+MONTH(EDATE(DATE(YEAR(TODAY()),MONTH(TODAY()),1),9)))&gt;(YEAR(Suppliers!G28)*12+MONTH(Suppliers!G28))),"",1),IF(Suppliers!E28="Quarterly",IF(MOD((YEAR(EDATE(DATE(YEAR(TODAY()),MONTH(TODAY()),1),9))-YEAR(IF(ISNUMBER(Suppliers!F28),Suppliers!F28,DATE(YEAR(TODAY()),MONTH(TODAY()),1))))*12+MONTH(EDATE(DATE(YEAR(TODAY()),MONTH(TODAY()),1),9))-MONTH(IF(ISNUMBER(Suppliers!F28),Suppliers!F28,DATE(YEAR(TODAY()),MONTH(TODAY()),1))),3)=0,1,0),IF(Suppliers!E28="Semi-annual",IF(MOD((YEAR(EDATE(DATE(YEAR(TODAY()),MONTH(TODAY()),1),9))-YEAR(IF(ISNUMBER(Suppliers!F28),Suppliers!F28,DATE(YEAR(TODAY()),MONTH(TODAY()),1))))*12+MONTH(EDATE(DATE(YEAR(TODAY()),MONTH(TODAY()),1),9))-MONTH(IF(ISNUMBER(Suppliers!F28),Suppliers!F28,DATE(YEAR(TODAY()),MONTH(TODAY()),1))),6)=0,1,0),IF(Suppliers!E28="Annual",IF(MOD((YEAR(EDATE(DATE(YEAR(TODAY()),MONTH(TODAY()),1),9))-YEAR(IF(ISNUMBER(Suppliers!F28),Suppliers!F28,DATE(YEAR(TODAY()),MONTH(TODAY()),1))))*12+MONTH(EDATE(DATE(YEAR(TODAY()),MONTH(TODAY()),1),9))-MONTH(IF(ISNUMBER(Suppliers!F28),Suppliers!F28,DATE(YEAR(TODAY()),MONTH(TODAY()),1))),12)=0,1,0),IF(Suppliers!E28="One-time",IF(9=0,1,0),1)))))),"")</f>
        <v/>
      </c>
      <c r="P30" s="10" t="str">
        <f ca="1">IFERROR(IF(OR(10&gt;=$B$1,Suppliers!A28="",NOT(ISNUMBER(Suppliers!D28)),Suppliers!L28="Expired",Suppliers!L28="Terminate"),"",Suppliers!D28*-1*IF(Suppliers!E28="Monthly",IF(AND(ISNUMBER(Suppliers!G28),(YEAR(EDATE(DATE(YEAR(TODAY()),MONTH(TODAY()),1),10))*12+MONTH(EDATE(DATE(YEAR(TODAY()),MONTH(TODAY()),1),10)))&gt;(YEAR(Suppliers!G28)*12+MONTH(Suppliers!G28))),"",1),IF(Suppliers!E28="Quarterly",IF(MOD((YEAR(EDATE(DATE(YEAR(TODAY()),MONTH(TODAY()),1),10))-YEAR(IF(ISNUMBER(Suppliers!F28),Suppliers!F28,DATE(YEAR(TODAY()),MONTH(TODAY()),1))))*12+MONTH(EDATE(DATE(YEAR(TODAY()),MONTH(TODAY()),1),10))-MONTH(IF(ISNUMBER(Suppliers!F28),Suppliers!F28,DATE(YEAR(TODAY()),MONTH(TODAY()),1))),3)=0,1,0),IF(Suppliers!E28="Semi-annual",IF(MOD((YEAR(EDATE(DATE(YEAR(TODAY()),MONTH(TODAY()),1),10))-YEAR(IF(ISNUMBER(Suppliers!F28),Suppliers!F28,DATE(YEAR(TODAY()),MONTH(TODAY()),1))))*12+MONTH(EDATE(DATE(YEAR(TODAY()),MONTH(TODAY()),1),10))-MONTH(IF(ISNUMBER(Suppliers!F28),Suppliers!F28,DATE(YEAR(TODAY()),MONTH(TODAY()),1))),6)=0,1,0),IF(Suppliers!E28="Annual",IF(MOD((YEAR(EDATE(DATE(YEAR(TODAY()),MONTH(TODAY()),1),10))-YEAR(IF(ISNUMBER(Suppliers!F28),Suppliers!F28,DATE(YEAR(TODAY()),MONTH(TODAY()),1))))*12+MONTH(EDATE(DATE(YEAR(TODAY()),MONTH(TODAY()),1),10))-MONTH(IF(ISNUMBER(Suppliers!F28),Suppliers!F28,DATE(YEAR(TODAY()),MONTH(TODAY()),1))),12)=0,1,0),IF(Suppliers!E28="One-time",IF(10=0,1,0),1)))))),"")</f>
        <v/>
      </c>
      <c r="Q30" s="10" t="str">
        <f ca="1">IFERROR(IF(OR(11&gt;=$B$1,Suppliers!A28="",NOT(ISNUMBER(Suppliers!D28)),Suppliers!L28="Expired",Suppliers!L28="Terminate"),"",Suppliers!D28*-1*IF(Suppliers!E28="Monthly",IF(AND(ISNUMBER(Suppliers!G28),(YEAR(EDATE(DATE(YEAR(TODAY()),MONTH(TODAY()),1),11))*12+MONTH(EDATE(DATE(YEAR(TODAY()),MONTH(TODAY()),1),11)))&gt;(YEAR(Suppliers!G28)*12+MONTH(Suppliers!G28))),"",1),IF(Suppliers!E28="Quarterly",IF(MOD((YEAR(EDATE(DATE(YEAR(TODAY()),MONTH(TODAY()),1),11))-YEAR(IF(ISNUMBER(Suppliers!F28),Suppliers!F28,DATE(YEAR(TODAY()),MONTH(TODAY()),1))))*12+MONTH(EDATE(DATE(YEAR(TODAY()),MONTH(TODAY()),1),11))-MONTH(IF(ISNUMBER(Suppliers!F28),Suppliers!F28,DATE(YEAR(TODAY()),MONTH(TODAY()),1))),3)=0,1,0),IF(Suppliers!E28="Semi-annual",IF(MOD((YEAR(EDATE(DATE(YEAR(TODAY()),MONTH(TODAY()),1),11))-YEAR(IF(ISNUMBER(Suppliers!F28),Suppliers!F28,DATE(YEAR(TODAY()),MONTH(TODAY()),1))))*12+MONTH(EDATE(DATE(YEAR(TODAY()),MONTH(TODAY()),1),11))-MONTH(IF(ISNUMBER(Suppliers!F28),Suppliers!F28,DATE(YEAR(TODAY()),MONTH(TODAY()),1))),6)=0,1,0),IF(Suppliers!E28="Annual",IF(MOD((YEAR(EDATE(DATE(YEAR(TODAY()),MONTH(TODAY()),1),11))-YEAR(IF(ISNUMBER(Suppliers!F28),Suppliers!F28,DATE(YEAR(TODAY()),MONTH(TODAY()),1))))*12+MONTH(EDATE(DATE(YEAR(TODAY()),MONTH(TODAY()),1),11))-MONTH(IF(ISNUMBER(Suppliers!F28),Suppliers!F28,DATE(YEAR(TODAY()),MONTH(TODAY()),1))),12)=0,1,0),IF(Suppliers!E28="One-time",IF(11=0,1,0),1)))))),"")</f>
        <v/>
      </c>
      <c r="R30" s="10" t="str">
        <f ca="1">IFERROR(IF(OR(12&gt;=$B$1,Suppliers!A28="",NOT(ISNUMBER(Suppliers!D28)),Suppliers!L28="Expired",Suppliers!L28="Terminate"),"",Suppliers!D28*-1*IF(Suppliers!E28="Monthly",IF(AND(ISNUMBER(Suppliers!G28),(YEAR(EDATE(DATE(YEAR(TODAY()),MONTH(TODAY()),1),12))*12+MONTH(EDATE(DATE(YEAR(TODAY()),MONTH(TODAY()),1),12)))&gt;(YEAR(Suppliers!G28)*12+MONTH(Suppliers!G28))),"",1),IF(Suppliers!E28="Quarterly",IF(MOD((YEAR(EDATE(DATE(YEAR(TODAY()),MONTH(TODAY()),1),12))-YEAR(IF(ISNUMBER(Suppliers!F28),Suppliers!F28,DATE(YEAR(TODAY()),MONTH(TODAY()),1))))*12+MONTH(EDATE(DATE(YEAR(TODAY()),MONTH(TODAY()),1),12))-MONTH(IF(ISNUMBER(Suppliers!F28),Suppliers!F28,DATE(YEAR(TODAY()),MONTH(TODAY()),1))),3)=0,1,0),IF(Suppliers!E28="Semi-annual",IF(MOD((YEAR(EDATE(DATE(YEAR(TODAY()),MONTH(TODAY()),1),12))-YEAR(IF(ISNUMBER(Suppliers!F28),Suppliers!F28,DATE(YEAR(TODAY()),MONTH(TODAY()),1))))*12+MONTH(EDATE(DATE(YEAR(TODAY()),MONTH(TODAY()),1),12))-MONTH(IF(ISNUMBER(Suppliers!F28),Suppliers!F28,DATE(YEAR(TODAY()),MONTH(TODAY()),1))),6)=0,1,0),IF(Suppliers!E28="Annual",IF(MOD((YEAR(EDATE(DATE(YEAR(TODAY()),MONTH(TODAY()),1),12))-YEAR(IF(ISNUMBER(Suppliers!F28),Suppliers!F28,DATE(YEAR(TODAY()),MONTH(TODAY()),1))))*12+MONTH(EDATE(DATE(YEAR(TODAY()),MONTH(TODAY()),1),12))-MONTH(IF(ISNUMBER(Suppliers!F28),Suppliers!F28,DATE(YEAR(TODAY()),MONTH(TODAY()),1))),12)=0,1,0),IF(Suppliers!E28="One-time",IF(12=0,1,0),1)))))),"")</f>
        <v/>
      </c>
      <c r="S30" s="10" t="str">
        <f ca="1">IFERROR(IF(OR(13&gt;=$B$1,Suppliers!A28="",NOT(ISNUMBER(Suppliers!D28)),Suppliers!L28="Expired",Suppliers!L28="Terminate"),"",Suppliers!D28*-1*IF(Suppliers!E28="Monthly",IF(AND(ISNUMBER(Suppliers!G28),(YEAR(EDATE(DATE(YEAR(TODAY()),MONTH(TODAY()),1),13))*12+MONTH(EDATE(DATE(YEAR(TODAY()),MONTH(TODAY()),1),13)))&gt;(YEAR(Suppliers!G28)*12+MONTH(Suppliers!G28))),"",1),IF(Suppliers!E28="Quarterly",IF(MOD((YEAR(EDATE(DATE(YEAR(TODAY()),MONTH(TODAY()),1),13))-YEAR(IF(ISNUMBER(Suppliers!F28),Suppliers!F28,DATE(YEAR(TODAY()),MONTH(TODAY()),1))))*12+MONTH(EDATE(DATE(YEAR(TODAY()),MONTH(TODAY()),1),13))-MONTH(IF(ISNUMBER(Suppliers!F28),Suppliers!F28,DATE(YEAR(TODAY()),MONTH(TODAY()),1))),3)=0,1,0),IF(Suppliers!E28="Semi-annual",IF(MOD((YEAR(EDATE(DATE(YEAR(TODAY()),MONTH(TODAY()),1),13))-YEAR(IF(ISNUMBER(Suppliers!F28),Suppliers!F28,DATE(YEAR(TODAY()),MONTH(TODAY()),1))))*12+MONTH(EDATE(DATE(YEAR(TODAY()),MONTH(TODAY()),1),13))-MONTH(IF(ISNUMBER(Suppliers!F28),Suppliers!F28,DATE(YEAR(TODAY()),MONTH(TODAY()),1))),6)=0,1,0),IF(Suppliers!E28="Annual",IF(MOD((YEAR(EDATE(DATE(YEAR(TODAY()),MONTH(TODAY()),1),13))-YEAR(IF(ISNUMBER(Suppliers!F28),Suppliers!F28,DATE(YEAR(TODAY()),MONTH(TODAY()),1))))*12+MONTH(EDATE(DATE(YEAR(TODAY()),MONTH(TODAY()),1),13))-MONTH(IF(ISNUMBER(Suppliers!F28),Suppliers!F28,DATE(YEAR(TODAY()),MONTH(TODAY()),1))),12)=0,1,0),IF(Suppliers!E28="One-time",IF(13=0,1,0),1)))))),"")</f>
        <v/>
      </c>
      <c r="T30" s="10" t="str">
        <f ca="1">IFERROR(IF(OR(14&gt;=$B$1,Suppliers!A28="",NOT(ISNUMBER(Suppliers!D28)),Suppliers!L28="Expired",Suppliers!L28="Terminate"),"",Suppliers!D28*-1*IF(Suppliers!E28="Monthly",IF(AND(ISNUMBER(Suppliers!G28),(YEAR(EDATE(DATE(YEAR(TODAY()),MONTH(TODAY()),1),14))*12+MONTH(EDATE(DATE(YEAR(TODAY()),MONTH(TODAY()),1),14)))&gt;(YEAR(Suppliers!G28)*12+MONTH(Suppliers!G28))),"",1),IF(Suppliers!E28="Quarterly",IF(MOD((YEAR(EDATE(DATE(YEAR(TODAY()),MONTH(TODAY()),1),14))-YEAR(IF(ISNUMBER(Suppliers!F28),Suppliers!F28,DATE(YEAR(TODAY()),MONTH(TODAY()),1))))*12+MONTH(EDATE(DATE(YEAR(TODAY()),MONTH(TODAY()),1),14))-MONTH(IF(ISNUMBER(Suppliers!F28),Suppliers!F28,DATE(YEAR(TODAY()),MONTH(TODAY()),1))),3)=0,1,0),IF(Suppliers!E28="Semi-annual",IF(MOD((YEAR(EDATE(DATE(YEAR(TODAY()),MONTH(TODAY()),1),14))-YEAR(IF(ISNUMBER(Suppliers!F28),Suppliers!F28,DATE(YEAR(TODAY()),MONTH(TODAY()),1))))*12+MONTH(EDATE(DATE(YEAR(TODAY()),MONTH(TODAY()),1),14))-MONTH(IF(ISNUMBER(Suppliers!F28),Suppliers!F28,DATE(YEAR(TODAY()),MONTH(TODAY()),1))),6)=0,1,0),IF(Suppliers!E28="Annual",IF(MOD((YEAR(EDATE(DATE(YEAR(TODAY()),MONTH(TODAY()),1),14))-YEAR(IF(ISNUMBER(Suppliers!F28),Suppliers!F28,DATE(YEAR(TODAY()),MONTH(TODAY()),1))))*12+MONTH(EDATE(DATE(YEAR(TODAY()),MONTH(TODAY()),1),14))-MONTH(IF(ISNUMBER(Suppliers!F28),Suppliers!F28,DATE(YEAR(TODAY()),MONTH(TODAY()),1))),12)=0,1,0),IF(Suppliers!E28="One-time",IF(14=0,1,0),1)))))),"")</f>
        <v/>
      </c>
      <c r="U30" s="10" t="str">
        <f ca="1">IFERROR(IF(OR(15&gt;=$B$1,Suppliers!A28="",NOT(ISNUMBER(Suppliers!D28)),Suppliers!L28="Expired",Suppliers!L28="Terminate"),"",Suppliers!D28*-1*IF(Suppliers!E28="Monthly",IF(AND(ISNUMBER(Suppliers!G28),(YEAR(EDATE(DATE(YEAR(TODAY()),MONTH(TODAY()),1),15))*12+MONTH(EDATE(DATE(YEAR(TODAY()),MONTH(TODAY()),1),15)))&gt;(YEAR(Suppliers!G28)*12+MONTH(Suppliers!G28))),"",1),IF(Suppliers!E28="Quarterly",IF(MOD((YEAR(EDATE(DATE(YEAR(TODAY()),MONTH(TODAY()),1),15))-YEAR(IF(ISNUMBER(Suppliers!F28),Suppliers!F28,DATE(YEAR(TODAY()),MONTH(TODAY()),1))))*12+MONTH(EDATE(DATE(YEAR(TODAY()),MONTH(TODAY()),1),15))-MONTH(IF(ISNUMBER(Suppliers!F28),Suppliers!F28,DATE(YEAR(TODAY()),MONTH(TODAY()),1))),3)=0,1,0),IF(Suppliers!E28="Semi-annual",IF(MOD((YEAR(EDATE(DATE(YEAR(TODAY()),MONTH(TODAY()),1),15))-YEAR(IF(ISNUMBER(Suppliers!F28),Suppliers!F28,DATE(YEAR(TODAY()),MONTH(TODAY()),1))))*12+MONTH(EDATE(DATE(YEAR(TODAY()),MONTH(TODAY()),1),15))-MONTH(IF(ISNUMBER(Suppliers!F28),Suppliers!F28,DATE(YEAR(TODAY()),MONTH(TODAY()),1))),6)=0,1,0),IF(Suppliers!E28="Annual",IF(MOD((YEAR(EDATE(DATE(YEAR(TODAY()),MONTH(TODAY()),1),15))-YEAR(IF(ISNUMBER(Suppliers!F28),Suppliers!F28,DATE(YEAR(TODAY()),MONTH(TODAY()),1))))*12+MONTH(EDATE(DATE(YEAR(TODAY()),MONTH(TODAY()),1),15))-MONTH(IF(ISNUMBER(Suppliers!F28),Suppliers!F28,DATE(YEAR(TODAY()),MONTH(TODAY()),1))),12)=0,1,0),IF(Suppliers!E28="One-time",IF(15=0,1,0),1)))))),"")</f>
        <v/>
      </c>
      <c r="V30" s="10" t="str">
        <f ca="1">IFERROR(IF(OR(16&gt;=$B$1,Suppliers!A28="",NOT(ISNUMBER(Suppliers!D28)),Suppliers!L28="Expired",Suppliers!L28="Terminate"),"",Suppliers!D28*-1*IF(Suppliers!E28="Monthly",IF(AND(ISNUMBER(Suppliers!G28),(YEAR(EDATE(DATE(YEAR(TODAY()),MONTH(TODAY()),1),16))*12+MONTH(EDATE(DATE(YEAR(TODAY()),MONTH(TODAY()),1),16)))&gt;(YEAR(Suppliers!G28)*12+MONTH(Suppliers!G28))),"",1),IF(Suppliers!E28="Quarterly",IF(MOD((YEAR(EDATE(DATE(YEAR(TODAY()),MONTH(TODAY()),1),16))-YEAR(IF(ISNUMBER(Suppliers!F28),Suppliers!F28,DATE(YEAR(TODAY()),MONTH(TODAY()),1))))*12+MONTH(EDATE(DATE(YEAR(TODAY()),MONTH(TODAY()),1),16))-MONTH(IF(ISNUMBER(Suppliers!F28),Suppliers!F28,DATE(YEAR(TODAY()),MONTH(TODAY()),1))),3)=0,1,0),IF(Suppliers!E28="Semi-annual",IF(MOD((YEAR(EDATE(DATE(YEAR(TODAY()),MONTH(TODAY()),1),16))-YEAR(IF(ISNUMBER(Suppliers!F28),Suppliers!F28,DATE(YEAR(TODAY()),MONTH(TODAY()),1))))*12+MONTH(EDATE(DATE(YEAR(TODAY()),MONTH(TODAY()),1),16))-MONTH(IF(ISNUMBER(Suppliers!F28),Suppliers!F28,DATE(YEAR(TODAY()),MONTH(TODAY()),1))),6)=0,1,0),IF(Suppliers!E28="Annual",IF(MOD((YEAR(EDATE(DATE(YEAR(TODAY()),MONTH(TODAY()),1),16))-YEAR(IF(ISNUMBER(Suppliers!F28),Suppliers!F28,DATE(YEAR(TODAY()),MONTH(TODAY()),1))))*12+MONTH(EDATE(DATE(YEAR(TODAY()),MONTH(TODAY()),1),16))-MONTH(IF(ISNUMBER(Suppliers!F28),Suppliers!F28,DATE(YEAR(TODAY()),MONTH(TODAY()),1))),12)=0,1,0),IF(Suppliers!E28="One-time",IF(16=0,1,0),1)))))),"")</f>
        <v/>
      </c>
      <c r="W30" s="10" t="str">
        <f ca="1">IFERROR(IF(OR(17&gt;=$B$1,Suppliers!A28="",NOT(ISNUMBER(Suppliers!D28)),Suppliers!L28="Expired",Suppliers!L28="Terminate"),"",Suppliers!D28*-1*IF(Suppliers!E28="Monthly",IF(AND(ISNUMBER(Suppliers!G28),(YEAR(EDATE(DATE(YEAR(TODAY()),MONTH(TODAY()),1),17))*12+MONTH(EDATE(DATE(YEAR(TODAY()),MONTH(TODAY()),1),17)))&gt;(YEAR(Suppliers!G28)*12+MONTH(Suppliers!G28))),"",1),IF(Suppliers!E28="Quarterly",IF(MOD((YEAR(EDATE(DATE(YEAR(TODAY()),MONTH(TODAY()),1),17))-YEAR(IF(ISNUMBER(Suppliers!F28),Suppliers!F28,DATE(YEAR(TODAY()),MONTH(TODAY()),1))))*12+MONTH(EDATE(DATE(YEAR(TODAY()),MONTH(TODAY()),1),17))-MONTH(IF(ISNUMBER(Suppliers!F28),Suppliers!F28,DATE(YEAR(TODAY()),MONTH(TODAY()),1))),3)=0,1,0),IF(Suppliers!E28="Semi-annual",IF(MOD((YEAR(EDATE(DATE(YEAR(TODAY()),MONTH(TODAY()),1),17))-YEAR(IF(ISNUMBER(Suppliers!F28),Suppliers!F28,DATE(YEAR(TODAY()),MONTH(TODAY()),1))))*12+MONTH(EDATE(DATE(YEAR(TODAY()),MONTH(TODAY()),1),17))-MONTH(IF(ISNUMBER(Suppliers!F28),Suppliers!F28,DATE(YEAR(TODAY()),MONTH(TODAY()),1))),6)=0,1,0),IF(Suppliers!E28="Annual",IF(MOD((YEAR(EDATE(DATE(YEAR(TODAY()),MONTH(TODAY()),1),17))-YEAR(IF(ISNUMBER(Suppliers!F28),Suppliers!F28,DATE(YEAR(TODAY()),MONTH(TODAY()),1))))*12+MONTH(EDATE(DATE(YEAR(TODAY()),MONTH(TODAY()),1),17))-MONTH(IF(ISNUMBER(Suppliers!F28),Suppliers!F28,DATE(YEAR(TODAY()),MONTH(TODAY()),1))),12)=0,1,0),IF(Suppliers!E28="One-time",IF(17=0,1,0),1)))))),"")</f>
        <v/>
      </c>
      <c r="X30" s="10" t="str">
        <f ca="1">IFERROR(IF(OR(18&gt;=$B$1,Suppliers!A28="",NOT(ISNUMBER(Suppliers!D28)),Suppliers!L28="Expired",Suppliers!L28="Terminate"),"",Suppliers!D28*-1*IF(Suppliers!E28="Monthly",IF(AND(ISNUMBER(Suppliers!G28),(YEAR(EDATE(DATE(YEAR(TODAY()),MONTH(TODAY()),1),18))*12+MONTH(EDATE(DATE(YEAR(TODAY()),MONTH(TODAY()),1),18)))&gt;(YEAR(Suppliers!G28)*12+MONTH(Suppliers!G28))),"",1),IF(Suppliers!E28="Quarterly",IF(MOD((YEAR(EDATE(DATE(YEAR(TODAY()),MONTH(TODAY()),1),18))-YEAR(IF(ISNUMBER(Suppliers!F28),Suppliers!F28,DATE(YEAR(TODAY()),MONTH(TODAY()),1))))*12+MONTH(EDATE(DATE(YEAR(TODAY()),MONTH(TODAY()),1),18))-MONTH(IF(ISNUMBER(Suppliers!F28),Suppliers!F28,DATE(YEAR(TODAY()),MONTH(TODAY()),1))),3)=0,1,0),IF(Suppliers!E28="Semi-annual",IF(MOD((YEAR(EDATE(DATE(YEAR(TODAY()),MONTH(TODAY()),1),18))-YEAR(IF(ISNUMBER(Suppliers!F28),Suppliers!F28,DATE(YEAR(TODAY()),MONTH(TODAY()),1))))*12+MONTH(EDATE(DATE(YEAR(TODAY()),MONTH(TODAY()),1),18))-MONTH(IF(ISNUMBER(Suppliers!F28),Suppliers!F28,DATE(YEAR(TODAY()),MONTH(TODAY()),1))),6)=0,1,0),IF(Suppliers!E28="Annual",IF(MOD((YEAR(EDATE(DATE(YEAR(TODAY()),MONTH(TODAY()),1),18))-YEAR(IF(ISNUMBER(Suppliers!F28),Suppliers!F28,DATE(YEAR(TODAY()),MONTH(TODAY()),1))))*12+MONTH(EDATE(DATE(YEAR(TODAY()),MONTH(TODAY()),1),18))-MONTH(IF(ISNUMBER(Suppliers!F28),Suppliers!F28,DATE(YEAR(TODAY()),MONTH(TODAY()),1))),12)=0,1,0),IF(Suppliers!E28="One-time",IF(18=0,1,0),1)))))),"")</f>
        <v/>
      </c>
      <c r="Y30" s="10" t="str">
        <f ca="1">IFERROR(IF(OR(19&gt;=$B$1,Suppliers!A28="",NOT(ISNUMBER(Suppliers!D28)),Suppliers!L28="Expired",Suppliers!L28="Terminate"),"",Suppliers!D28*-1*IF(Suppliers!E28="Monthly",IF(AND(ISNUMBER(Suppliers!G28),(YEAR(EDATE(DATE(YEAR(TODAY()),MONTH(TODAY()),1),19))*12+MONTH(EDATE(DATE(YEAR(TODAY()),MONTH(TODAY()),1),19)))&gt;(YEAR(Suppliers!G28)*12+MONTH(Suppliers!G28))),"",1),IF(Suppliers!E28="Quarterly",IF(MOD((YEAR(EDATE(DATE(YEAR(TODAY()),MONTH(TODAY()),1),19))-YEAR(IF(ISNUMBER(Suppliers!F28),Suppliers!F28,DATE(YEAR(TODAY()),MONTH(TODAY()),1))))*12+MONTH(EDATE(DATE(YEAR(TODAY()),MONTH(TODAY()),1),19))-MONTH(IF(ISNUMBER(Suppliers!F28),Suppliers!F28,DATE(YEAR(TODAY()),MONTH(TODAY()),1))),3)=0,1,0),IF(Suppliers!E28="Semi-annual",IF(MOD((YEAR(EDATE(DATE(YEAR(TODAY()),MONTH(TODAY()),1),19))-YEAR(IF(ISNUMBER(Suppliers!F28),Suppliers!F28,DATE(YEAR(TODAY()),MONTH(TODAY()),1))))*12+MONTH(EDATE(DATE(YEAR(TODAY()),MONTH(TODAY()),1),19))-MONTH(IF(ISNUMBER(Suppliers!F28),Suppliers!F28,DATE(YEAR(TODAY()),MONTH(TODAY()),1))),6)=0,1,0),IF(Suppliers!E28="Annual",IF(MOD((YEAR(EDATE(DATE(YEAR(TODAY()),MONTH(TODAY()),1),19))-YEAR(IF(ISNUMBER(Suppliers!F28),Suppliers!F28,DATE(YEAR(TODAY()),MONTH(TODAY()),1))))*12+MONTH(EDATE(DATE(YEAR(TODAY()),MONTH(TODAY()),1),19))-MONTH(IF(ISNUMBER(Suppliers!F28),Suppliers!F28,DATE(YEAR(TODAY()),MONTH(TODAY()),1))),12)=0,1,0),IF(Suppliers!E28="One-time",IF(19=0,1,0),1)))))),"")</f>
        <v/>
      </c>
      <c r="Z30" s="10" t="str">
        <f ca="1">IFERROR(IF(OR(20&gt;=$B$1,Suppliers!A28="",NOT(ISNUMBER(Suppliers!D28)),Suppliers!L28="Expired",Suppliers!L28="Terminate"),"",Suppliers!D28*-1*IF(Suppliers!E28="Monthly",IF(AND(ISNUMBER(Suppliers!G28),(YEAR(EDATE(DATE(YEAR(TODAY()),MONTH(TODAY()),1),20))*12+MONTH(EDATE(DATE(YEAR(TODAY()),MONTH(TODAY()),1),20)))&gt;(YEAR(Suppliers!G28)*12+MONTH(Suppliers!G28))),"",1),IF(Suppliers!E28="Quarterly",IF(MOD((YEAR(EDATE(DATE(YEAR(TODAY()),MONTH(TODAY()),1),20))-YEAR(IF(ISNUMBER(Suppliers!F28),Suppliers!F28,DATE(YEAR(TODAY()),MONTH(TODAY()),1))))*12+MONTH(EDATE(DATE(YEAR(TODAY()),MONTH(TODAY()),1),20))-MONTH(IF(ISNUMBER(Suppliers!F28),Suppliers!F28,DATE(YEAR(TODAY()),MONTH(TODAY()),1))),3)=0,1,0),IF(Suppliers!E28="Semi-annual",IF(MOD((YEAR(EDATE(DATE(YEAR(TODAY()),MONTH(TODAY()),1),20))-YEAR(IF(ISNUMBER(Suppliers!F28),Suppliers!F28,DATE(YEAR(TODAY()),MONTH(TODAY()),1))))*12+MONTH(EDATE(DATE(YEAR(TODAY()),MONTH(TODAY()),1),20))-MONTH(IF(ISNUMBER(Suppliers!F28),Suppliers!F28,DATE(YEAR(TODAY()),MONTH(TODAY()),1))),6)=0,1,0),IF(Suppliers!E28="Annual",IF(MOD((YEAR(EDATE(DATE(YEAR(TODAY()),MONTH(TODAY()),1),20))-YEAR(IF(ISNUMBER(Suppliers!F28),Suppliers!F28,DATE(YEAR(TODAY()),MONTH(TODAY()),1))))*12+MONTH(EDATE(DATE(YEAR(TODAY()),MONTH(TODAY()),1),20))-MONTH(IF(ISNUMBER(Suppliers!F28),Suppliers!F28,DATE(YEAR(TODAY()),MONTH(TODAY()),1))),12)=0,1,0),IF(Suppliers!E28="One-time",IF(20=0,1,0),1)))))),"")</f>
        <v/>
      </c>
      <c r="AA30" s="10" t="str">
        <f ca="1">IFERROR(IF(OR(21&gt;=$B$1,Suppliers!A28="",NOT(ISNUMBER(Suppliers!D28)),Suppliers!L28="Expired",Suppliers!L28="Terminate"),"",Suppliers!D28*-1*IF(Suppliers!E28="Monthly",IF(AND(ISNUMBER(Suppliers!G28),(YEAR(EDATE(DATE(YEAR(TODAY()),MONTH(TODAY()),1),21))*12+MONTH(EDATE(DATE(YEAR(TODAY()),MONTH(TODAY()),1),21)))&gt;(YEAR(Suppliers!G28)*12+MONTH(Suppliers!G28))),"",1),IF(Suppliers!E28="Quarterly",IF(MOD((YEAR(EDATE(DATE(YEAR(TODAY()),MONTH(TODAY()),1),21))-YEAR(IF(ISNUMBER(Suppliers!F28),Suppliers!F28,DATE(YEAR(TODAY()),MONTH(TODAY()),1))))*12+MONTH(EDATE(DATE(YEAR(TODAY()),MONTH(TODAY()),1),21))-MONTH(IF(ISNUMBER(Suppliers!F28),Suppliers!F28,DATE(YEAR(TODAY()),MONTH(TODAY()),1))),3)=0,1,0),IF(Suppliers!E28="Semi-annual",IF(MOD((YEAR(EDATE(DATE(YEAR(TODAY()),MONTH(TODAY()),1),21))-YEAR(IF(ISNUMBER(Suppliers!F28),Suppliers!F28,DATE(YEAR(TODAY()),MONTH(TODAY()),1))))*12+MONTH(EDATE(DATE(YEAR(TODAY()),MONTH(TODAY()),1),21))-MONTH(IF(ISNUMBER(Suppliers!F28),Suppliers!F28,DATE(YEAR(TODAY()),MONTH(TODAY()),1))),6)=0,1,0),IF(Suppliers!E28="Annual",IF(MOD((YEAR(EDATE(DATE(YEAR(TODAY()),MONTH(TODAY()),1),21))-YEAR(IF(ISNUMBER(Suppliers!F28),Suppliers!F28,DATE(YEAR(TODAY()),MONTH(TODAY()),1))))*12+MONTH(EDATE(DATE(YEAR(TODAY()),MONTH(TODAY()),1),21))-MONTH(IF(ISNUMBER(Suppliers!F28),Suppliers!F28,DATE(YEAR(TODAY()),MONTH(TODAY()),1))),12)=0,1,0),IF(Suppliers!E28="One-time",IF(21=0,1,0),1)))))),"")</f>
        <v/>
      </c>
      <c r="AB30" s="10" t="str">
        <f ca="1">IFERROR(IF(OR(22&gt;=$B$1,Suppliers!A28="",NOT(ISNUMBER(Suppliers!D28)),Suppliers!L28="Expired",Suppliers!L28="Terminate"),"",Suppliers!D28*-1*IF(Suppliers!E28="Monthly",IF(AND(ISNUMBER(Suppliers!G28),(YEAR(EDATE(DATE(YEAR(TODAY()),MONTH(TODAY()),1),22))*12+MONTH(EDATE(DATE(YEAR(TODAY()),MONTH(TODAY()),1),22)))&gt;(YEAR(Suppliers!G28)*12+MONTH(Suppliers!G28))),"",1),IF(Suppliers!E28="Quarterly",IF(MOD((YEAR(EDATE(DATE(YEAR(TODAY()),MONTH(TODAY()),1),22))-YEAR(IF(ISNUMBER(Suppliers!F28),Suppliers!F28,DATE(YEAR(TODAY()),MONTH(TODAY()),1))))*12+MONTH(EDATE(DATE(YEAR(TODAY()),MONTH(TODAY()),1),22))-MONTH(IF(ISNUMBER(Suppliers!F28),Suppliers!F28,DATE(YEAR(TODAY()),MONTH(TODAY()),1))),3)=0,1,0),IF(Suppliers!E28="Semi-annual",IF(MOD((YEAR(EDATE(DATE(YEAR(TODAY()),MONTH(TODAY()),1),22))-YEAR(IF(ISNUMBER(Suppliers!F28),Suppliers!F28,DATE(YEAR(TODAY()),MONTH(TODAY()),1))))*12+MONTH(EDATE(DATE(YEAR(TODAY()),MONTH(TODAY()),1),22))-MONTH(IF(ISNUMBER(Suppliers!F28),Suppliers!F28,DATE(YEAR(TODAY()),MONTH(TODAY()),1))),6)=0,1,0),IF(Suppliers!E28="Annual",IF(MOD((YEAR(EDATE(DATE(YEAR(TODAY()),MONTH(TODAY()),1),22))-YEAR(IF(ISNUMBER(Suppliers!F28),Suppliers!F28,DATE(YEAR(TODAY()),MONTH(TODAY()),1))))*12+MONTH(EDATE(DATE(YEAR(TODAY()),MONTH(TODAY()),1),22))-MONTH(IF(ISNUMBER(Suppliers!F28),Suppliers!F28,DATE(YEAR(TODAY()),MONTH(TODAY()),1))),12)=0,1,0),IF(Suppliers!E28="One-time",IF(22=0,1,0),1)))))),"")</f>
        <v/>
      </c>
      <c r="AC30" s="10" t="str">
        <f ca="1">IFERROR(IF(OR(23&gt;=$B$1,Suppliers!A28="",NOT(ISNUMBER(Suppliers!D28)),Suppliers!L28="Expired",Suppliers!L28="Terminate"),"",Suppliers!D28*-1*IF(Suppliers!E28="Monthly",IF(AND(ISNUMBER(Suppliers!G28),(YEAR(EDATE(DATE(YEAR(TODAY()),MONTH(TODAY()),1),23))*12+MONTH(EDATE(DATE(YEAR(TODAY()),MONTH(TODAY()),1),23)))&gt;(YEAR(Suppliers!G28)*12+MONTH(Suppliers!G28))),"",1),IF(Suppliers!E28="Quarterly",IF(MOD((YEAR(EDATE(DATE(YEAR(TODAY()),MONTH(TODAY()),1),23))-YEAR(IF(ISNUMBER(Suppliers!F28),Suppliers!F28,DATE(YEAR(TODAY()),MONTH(TODAY()),1))))*12+MONTH(EDATE(DATE(YEAR(TODAY()),MONTH(TODAY()),1),23))-MONTH(IF(ISNUMBER(Suppliers!F28),Suppliers!F28,DATE(YEAR(TODAY()),MONTH(TODAY()),1))),3)=0,1,0),IF(Suppliers!E28="Semi-annual",IF(MOD((YEAR(EDATE(DATE(YEAR(TODAY()),MONTH(TODAY()),1),23))-YEAR(IF(ISNUMBER(Suppliers!F28),Suppliers!F28,DATE(YEAR(TODAY()),MONTH(TODAY()),1))))*12+MONTH(EDATE(DATE(YEAR(TODAY()),MONTH(TODAY()),1),23))-MONTH(IF(ISNUMBER(Suppliers!F28),Suppliers!F28,DATE(YEAR(TODAY()),MONTH(TODAY()),1))),6)=0,1,0),IF(Suppliers!E28="Annual",IF(MOD((YEAR(EDATE(DATE(YEAR(TODAY()),MONTH(TODAY()),1),23))-YEAR(IF(ISNUMBER(Suppliers!F28),Suppliers!F28,DATE(YEAR(TODAY()),MONTH(TODAY()),1))))*12+MONTH(EDATE(DATE(YEAR(TODAY()),MONTH(TODAY()),1),23))-MONTH(IF(ISNUMBER(Suppliers!F28),Suppliers!F28,DATE(YEAR(TODAY()),MONTH(TODAY()),1))),12)=0,1,0),IF(Suppliers!E28="One-time",IF(23=0,1,0),1)))))),"")</f>
        <v/>
      </c>
    </row>
    <row r="31" spans="1:29" ht="15" customHeight="1" x14ac:dyDescent="0.35">
      <c r="A31" s="4" t="s">
        <v>80</v>
      </c>
      <c r="B31" s="4" t="str">
        <f>IF(Suppliers!A29="","",Suppliers!A29)</f>
        <v/>
      </c>
      <c r="C31" s="10" t="str">
        <f>IF(Suppliers!C29="","",Suppliers!C29)</f>
        <v/>
      </c>
      <c r="D31" s="10" t="str">
        <f>IF(Suppliers!D29="","",Suppliers!D29)</f>
        <v/>
      </c>
      <c r="E31" s="4" t="str">
        <f>IF(Suppliers!E29="","",Suppliers!E29)</f>
        <v/>
      </c>
      <c r="F31" s="10" t="str">
        <f ca="1">IFERROR(IF(OR(0&gt;=$B$1,Suppliers!A29="",NOT(ISNUMBER(Suppliers!D29)),Suppliers!L29="Expired",Suppliers!L29="Terminate"),"",Suppliers!D29*-1*IF(Suppliers!E29="Monthly",IF(AND(ISNUMBER(Suppliers!G29),(YEAR(EDATE(DATE(YEAR(TODAY()),MONTH(TODAY()),1),0))*12+MONTH(EDATE(DATE(YEAR(TODAY()),MONTH(TODAY()),1),0)))&gt;(YEAR(Suppliers!G29)*12+MONTH(Suppliers!G29))),"",1),IF(Suppliers!E29="Quarterly",IF(MOD((YEAR(EDATE(DATE(YEAR(TODAY()),MONTH(TODAY()),1),0))-YEAR(IF(ISNUMBER(Suppliers!F29),Suppliers!F29,DATE(YEAR(TODAY()),MONTH(TODAY()),1))))*12+MONTH(EDATE(DATE(YEAR(TODAY()),MONTH(TODAY()),1),0))-MONTH(IF(ISNUMBER(Suppliers!F29),Suppliers!F29,DATE(YEAR(TODAY()),MONTH(TODAY()),1))),3)=0,1,0),IF(Suppliers!E29="Semi-annual",IF(MOD((YEAR(EDATE(DATE(YEAR(TODAY()),MONTH(TODAY()),1),0))-YEAR(IF(ISNUMBER(Suppliers!F29),Suppliers!F29,DATE(YEAR(TODAY()),MONTH(TODAY()),1))))*12+MONTH(EDATE(DATE(YEAR(TODAY()),MONTH(TODAY()),1),0))-MONTH(IF(ISNUMBER(Suppliers!F29),Suppliers!F29,DATE(YEAR(TODAY()),MONTH(TODAY()),1))),6)=0,1,0),IF(Suppliers!E29="Annual",IF(MOD((YEAR(EDATE(DATE(YEAR(TODAY()),MONTH(TODAY()),1),0))-YEAR(IF(ISNUMBER(Suppliers!F29),Suppliers!F29,DATE(YEAR(TODAY()),MONTH(TODAY()),1))))*12+MONTH(EDATE(DATE(YEAR(TODAY()),MONTH(TODAY()),1),0))-MONTH(IF(ISNUMBER(Suppliers!F29),Suppliers!F29,DATE(YEAR(TODAY()),MONTH(TODAY()),1))),12)=0,1,0),IF(Suppliers!E29="One-time",IF(0=0,1,0),1)))))),"")</f>
        <v/>
      </c>
      <c r="G31" s="10" t="str">
        <f ca="1">IFERROR(IF(OR(1&gt;=$B$1,Suppliers!A29="",NOT(ISNUMBER(Suppliers!D29)),Suppliers!L29="Expired",Suppliers!L29="Terminate"),"",Suppliers!D29*-1*IF(Suppliers!E29="Monthly",IF(AND(ISNUMBER(Suppliers!G29),(YEAR(EDATE(DATE(YEAR(TODAY()),MONTH(TODAY()),1),1))*12+MONTH(EDATE(DATE(YEAR(TODAY()),MONTH(TODAY()),1),1)))&gt;(YEAR(Suppliers!G29)*12+MONTH(Suppliers!G29))),"",1),IF(Suppliers!E29="Quarterly",IF(MOD((YEAR(EDATE(DATE(YEAR(TODAY()),MONTH(TODAY()),1),1))-YEAR(IF(ISNUMBER(Suppliers!F29),Suppliers!F29,DATE(YEAR(TODAY()),MONTH(TODAY()),1))))*12+MONTH(EDATE(DATE(YEAR(TODAY()),MONTH(TODAY()),1),1))-MONTH(IF(ISNUMBER(Suppliers!F29),Suppliers!F29,DATE(YEAR(TODAY()),MONTH(TODAY()),1))),3)=0,1,0),IF(Suppliers!E29="Semi-annual",IF(MOD((YEAR(EDATE(DATE(YEAR(TODAY()),MONTH(TODAY()),1),1))-YEAR(IF(ISNUMBER(Suppliers!F29),Suppliers!F29,DATE(YEAR(TODAY()),MONTH(TODAY()),1))))*12+MONTH(EDATE(DATE(YEAR(TODAY()),MONTH(TODAY()),1),1))-MONTH(IF(ISNUMBER(Suppliers!F29),Suppliers!F29,DATE(YEAR(TODAY()),MONTH(TODAY()),1))),6)=0,1,0),IF(Suppliers!E29="Annual",IF(MOD((YEAR(EDATE(DATE(YEAR(TODAY()),MONTH(TODAY()),1),1))-YEAR(IF(ISNUMBER(Suppliers!F29),Suppliers!F29,DATE(YEAR(TODAY()),MONTH(TODAY()),1))))*12+MONTH(EDATE(DATE(YEAR(TODAY()),MONTH(TODAY()),1),1))-MONTH(IF(ISNUMBER(Suppliers!F29),Suppliers!F29,DATE(YEAR(TODAY()),MONTH(TODAY()),1))),12)=0,1,0),IF(Suppliers!E29="One-time",IF(1=0,1,0),1)))))),"")</f>
        <v/>
      </c>
      <c r="H31" s="10" t="str">
        <f ca="1">IFERROR(IF(OR(2&gt;=$B$1,Suppliers!A29="",NOT(ISNUMBER(Suppliers!D29)),Suppliers!L29="Expired",Suppliers!L29="Terminate"),"",Suppliers!D29*-1*IF(Suppliers!E29="Monthly",IF(AND(ISNUMBER(Suppliers!G29),(YEAR(EDATE(DATE(YEAR(TODAY()),MONTH(TODAY()),1),2))*12+MONTH(EDATE(DATE(YEAR(TODAY()),MONTH(TODAY()),1),2)))&gt;(YEAR(Suppliers!G29)*12+MONTH(Suppliers!G29))),"",1),IF(Suppliers!E29="Quarterly",IF(MOD((YEAR(EDATE(DATE(YEAR(TODAY()),MONTH(TODAY()),1),2))-YEAR(IF(ISNUMBER(Suppliers!F29),Suppliers!F29,DATE(YEAR(TODAY()),MONTH(TODAY()),1))))*12+MONTH(EDATE(DATE(YEAR(TODAY()),MONTH(TODAY()),1),2))-MONTH(IF(ISNUMBER(Suppliers!F29),Suppliers!F29,DATE(YEAR(TODAY()),MONTH(TODAY()),1))),3)=0,1,0),IF(Suppliers!E29="Semi-annual",IF(MOD((YEAR(EDATE(DATE(YEAR(TODAY()),MONTH(TODAY()),1),2))-YEAR(IF(ISNUMBER(Suppliers!F29),Suppliers!F29,DATE(YEAR(TODAY()),MONTH(TODAY()),1))))*12+MONTH(EDATE(DATE(YEAR(TODAY()),MONTH(TODAY()),1),2))-MONTH(IF(ISNUMBER(Suppliers!F29),Suppliers!F29,DATE(YEAR(TODAY()),MONTH(TODAY()),1))),6)=0,1,0),IF(Suppliers!E29="Annual",IF(MOD((YEAR(EDATE(DATE(YEAR(TODAY()),MONTH(TODAY()),1),2))-YEAR(IF(ISNUMBER(Suppliers!F29),Suppliers!F29,DATE(YEAR(TODAY()),MONTH(TODAY()),1))))*12+MONTH(EDATE(DATE(YEAR(TODAY()),MONTH(TODAY()),1),2))-MONTH(IF(ISNUMBER(Suppliers!F29),Suppliers!F29,DATE(YEAR(TODAY()),MONTH(TODAY()),1))),12)=0,1,0),IF(Suppliers!E29="One-time",IF(2=0,1,0),1)))))),"")</f>
        <v/>
      </c>
      <c r="I31" s="10" t="str">
        <f ca="1">IFERROR(IF(OR(3&gt;=$B$1,Suppliers!A29="",NOT(ISNUMBER(Suppliers!D29)),Suppliers!L29="Expired",Suppliers!L29="Terminate"),"",Suppliers!D29*-1*IF(Suppliers!E29="Monthly",IF(AND(ISNUMBER(Suppliers!G29),(YEAR(EDATE(DATE(YEAR(TODAY()),MONTH(TODAY()),1),3))*12+MONTH(EDATE(DATE(YEAR(TODAY()),MONTH(TODAY()),1),3)))&gt;(YEAR(Suppliers!G29)*12+MONTH(Suppliers!G29))),"",1),IF(Suppliers!E29="Quarterly",IF(MOD((YEAR(EDATE(DATE(YEAR(TODAY()),MONTH(TODAY()),1),3))-YEAR(IF(ISNUMBER(Suppliers!F29),Suppliers!F29,DATE(YEAR(TODAY()),MONTH(TODAY()),1))))*12+MONTH(EDATE(DATE(YEAR(TODAY()),MONTH(TODAY()),1),3))-MONTH(IF(ISNUMBER(Suppliers!F29),Suppliers!F29,DATE(YEAR(TODAY()),MONTH(TODAY()),1))),3)=0,1,0),IF(Suppliers!E29="Semi-annual",IF(MOD((YEAR(EDATE(DATE(YEAR(TODAY()),MONTH(TODAY()),1),3))-YEAR(IF(ISNUMBER(Suppliers!F29),Suppliers!F29,DATE(YEAR(TODAY()),MONTH(TODAY()),1))))*12+MONTH(EDATE(DATE(YEAR(TODAY()),MONTH(TODAY()),1),3))-MONTH(IF(ISNUMBER(Suppliers!F29),Suppliers!F29,DATE(YEAR(TODAY()),MONTH(TODAY()),1))),6)=0,1,0),IF(Suppliers!E29="Annual",IF(MOD((YEAR(EDATE(DATE(YEAR(TODAY()),MONTH(TODAY()),1),3))-YEAR(IF(ISNUMBER(Suppliers!F29),Suppliers!F29,DATE(YEAR(TODAY()),MONTH(TODAY()),1))))*12+MONTH(EDATE(DATE(YEAR(TODAY()),MONTH(TODAY()),1),3))-MONTH(IF(ISNUMBER(Suppliers!F29),Suppliers!F29,DATE(YEAR(TODAY()),MONTH(TODAY()),1))),12)=0,1,0),IF(Suppliers!E29="One-time",IF(3=0,1,0),1)))))),"")</f>
        <v/>
      </c>
      <c r="J31" s="10" t="str">
        <f ca="1">IFERROR(IF(OR(4&gt;=$B$1,Suppliers!A29="",NOT(ISNUMBER(Suppliers!D29)),Suppliers!L29="Expired",Suppliers!L29="Terminate"),"",Suppliers!D29*-1*IF(Suppliers!E29="Monthly",IF(AND(ISNUMBER(Suppliers!G29),(YEAR(EDATE(DATE(YEAR(TODAY()),MONTH(TODAY()),1),4))*12+MONTH(EDATE(DATE(YEAR(TODAY()),MONTH(TODAY()),1),4)))&gt;(YEAR(Suppliers!G29)*12+MONTH(Suppliers!G29))),"",1),IF(Suppliers!E29="Quarterly",IF(MOD((YEAR(EDATE(DATE(YEAR(TODAY()),MONTH(TODAY()),1),4))-YEAR(IF(ISNUMBER(Suppliers!F29),Suppliers!F29,DATE(YEAR(TODAY()),MONTH(TODAY()),1))))*12+MONTH(EDATE(DATE(YEAR(TODAY()),MONTH(TODAY()),1),4))-MONTH(IF(ISNUMBER(Suppliers!F29),Suppliers!F29,DATE(YEAR(TODAY()),MONTH(TODAY()),1))),3)=0,1,0),IF(Suppliers!E29="Semi-annual",IF(MOD((YEAR(EDATE(DATE(YEAR(TODAY()),MONTH(TODAY()),1),4))-YEAR(IF(ISNUMBER(Suppliers!F29),Suppliers!F29,DATE(YEAR(TODAY()),MONTH(TODAY()),1))))*12+MONTH(EDATE(DATE(YEAR(TODAY()),MONTH(TODAY()),1),4))-MONTH(IF(ISNUMBER(Suppliers!F29),Suppliers!F29,DATE(YEAR(TODAY()),MONTH(TODAY()),1))),6)=0,1,0),IF(Suppliers!E29="Annual",IF(MOD((YEAR(EDATE(DATE(YEAR(TODAY()),MONTH(TODAY()),1),4))-YEAR(IF(ISNUMBER(Suppliers!F29),Suppliers!F29,DATE(YEAR(TODAY()),MONTH(TODAY()),1))))*12+MONTH(EDATE(DATE(YEAR(TODAY()),MONTH(TODAY()),1),4))-MONTH(IF(ISNUMBER(Suppliers!F29),Suppliers!F29,DATE(YEAR(TODAY()),MONTH(TODAY()),1))),12)=0,1,0),IF(Suppliers!E29="One-time",IF(4=0,1,0),1)))))),"")</f>
        <v/>
      </c>
      <c r="K31" s="10" t="str">
        <f ca="1">IFERROR(IF(OR(5&gt;=$B$1,Suppliers!A29="",NOT(ISNUMBER(Suppliers!D29)),Suppliers!L29="Expired",Suppliers!L29="Terminate"),"",Suppliers!D29*-1*IF(Suppliers!E29="Monthly",IF(AND(ISNUMBER(Suppliers!G29),(YEAR(EDATE(DATE(YEAR(TODAY()),MONTH(TODAY()),1),5))*12+MONTH(EDATE(DATE(YEAR(TODAY()),MONTH(TODAY()),1),5)))&gt;(YEAR(Suppliers!G29)*12+MONTH(Suppliers!G29))),"",1),IF(Suppliers!E29="Quarterly",IF(MOD((YEAR(EDATE(DATE(YEAR(TODAY()),MONTH(TODAY()),1),5))-YEAR(IF(ISNUMBER(Suppliers!F29),Suppliers!F29,DATE(YEAR(TODAY()),MONTH(TODAY()),1))))*12+MONTH(EDATE(DATE(YEAR(TODAY()),MONTH(TODAY()),1),5))-MONTH(IF(ISNUMBER(Suppliers!F29),Suppliers!F29,DATE(YEAR(TODAY()),MONTH(TODAY()),1))),3)=0,1,0),IF(Suppliers!E29="Semi-annual",IF(MOD((YEAR(EDATE(DATE(YEAR(TODAY()),MONTH(TODAY()),1),5))-YEAR(IF(ISNUMBER(Suppliers!F29),Suppliers!F29,DATE(YEAR(TODAY()),MONTH(TODAY()),1))))*12+MONTH(EDATE(DATE(YEAR(TODAY()),MONTH(TODAY()),1),5))-MONTH(IF(ISNUMBER(Suppliers!F29),Suppliers!F29,DATE(YEAR(TODAY()),MONTH(TODAY()),1))),6)=0,1,0),IF(Suppliers!E29="Annual",IF(MOD((YEAR(EDATE(DATE(YEAR(TODAY()),MONTH(TODAY()),1),5))-YEAR(IF(ISNUMBER(Suppliers!F29),Suppliers!F29,DATE(YEAR(TODAY()),MONTH(TODAY()),1))))*12+MONTH(EDATE(DATE(YEAR(TODAY()),MONTH(TODAY()),1),5))-MONTH(IF(ISNUMBER(Suppliers!F29),Suppliers!F29,DATE(YEAR(TODAY()),MONTH(TODAY()),1))),12)=0,1,0),IF(Suppliers!E29="One-time",IF(5=0,1,0),1)))))),"")</f>
        <v/>
      </c>
      <c r="L31" s="10" t="str">
        <f ca="1">IFERROR(IF(OR(6&gt;=$B$1,Suppliers!A29="",NOT(ISNUMBER(Suppliers!D29)),Suppliers!L29="Expired",Suppliers!L29="Terminate"),"",Suppliers!D29*-1*IF(Suppliers!E29="Monthly",IF(AND(ISNUMBER(Suppliers!G29),(YEAR(EDATE(DATE(YEAR(TODAY()),MONTH(TODAY()),1),6))*12+MONTH(EDATE(DATE(YEAR(TODAY()),MONTH(TODAY()),1),6)))&gt;(YEAR(Suppliers!G29)*12+MONTH(Suppliers!G29))),"",1),IF(Suppliers!E29="Quarterly",IF(MOD((YEAR(EDATE(DATE(YEAR(TODAY()),MONTH(TODAY()),1),6))-YEAR(IF(ISNUMBER(Suppliers!F29),Suppliers!F29,DATE(YEAR(TODAY()),MONTH(TODAY()),1))))*12+MONTH(EDATE(DATE(YEAR(TODAY()),MONTH(TODAY()),1),6))-MONTH(IF(ISNUMBER(Suppliers!F29),Suppliers!F29,DATE(YEAR(TODAY()),MONTH(TODAY()),1))),3)=0,1,0),IF(Suppliers!E29="Semi-annual",IF(MOD((YEAR(EDATE(DATE(YEAR(TODAY()),MONTH(TODAY()),1),6))-YEAR(IF(ISNUMBER(Suppliers!F29),Suppliers!F29,DATE(YEAR(TODAY()),MONTH(TODAY()),1))))*12+MONTH(EDATE(DATE(YEAR(TODAY()),MONTH(TODAY()),1),6))-MONTH(IF(ISNUMBER(Suppliers!F29),Suppliers!F29,DATE(YEAR(TODAY()),MONTH(TODAY()),1))),6)=0,1,0),IF(Suppliers!E29="Annual",IF(MOD((YEAR(EDATE(DATE(YEAR(TODAY()),MONTH(TODAY()),1),6))-YEAR(IF(ISNUMBER(Suppliers!F29),Suppliers!F29,DATE(YEAR(TODAY()),MONTH(TODAY()),1))))*12+MONTH(EDATE(DATE(YEAR(TODAY()),MONTH(TODAY()),1),6))-MONTH(IF(ISNUMBER(Suppliers!F29),Suppliers!F29,DATE(YEAR(TODAY()),MONTH(TODAY()),1))),12)=0,1,0),IF(Suppliers!E29="One-time",IF(6=0,1,0),1)))))),"")</f>
        <v/>
      </c>
      <c r="M31" s="10" t="str">
        <f ca="1">IFERROR(IF(OR(7&gt;=$B$1,Suppliers!A29="",NOT(ISNUMBER(Suppliers!D29)),Suppliers!L29="Expired",Suppliers!L29="Terminate"),"",Suppliers!D29*-1*IF(Suppliers!E29="Monthly",IF(AND(ISNUMBER(Suppliers!G29),(YEAR(EDATE(DATE(YEAR(TODAY()),MONTH(TODAY()),1),7))*12+MONTH(EDATE(DATE(YEAR(TODAY()),MONTH(TODAY()),1),7)))&gt;(YEAR(Suppliers!G29)*12+MONTH(Suppliers!G29))),"",1),IF(Suppliers!E29="Quarterly",IF(MOD((YEAR(EDATE(DATE(YEAR(TODAY()),MONTH(TODAY()),1),7))-YEAR(IF(ISNUMBER(Suppliers!F29),Suppliers!F29,DATE(YEAR(TODAY()),MONTH(TODAY()),1))))*12+MONTH(EDATE(DATE(YEAR(TODAY()),MONTH(TODAY()),1),7))-MONTH(IF(ISNUMBER(Suppliers!F29),Suppliers!F29,DATE(YEAR(TODAY()),MONTH(TODAY()),1))),3)=0,1,0),IF(Suppliers!E29="Semi-annual",IF(MOD((YEAR(EDATE(DATE(YEAR(TODAY()),MONTH(TODAY()),1),7))-YEAR(IF(ISNUMBER(Suppliers!F29),Suppliers!F29,DATE(YEAR(TODAY()),MONTH(TODAY()),1))))*12+MONTH(EDATE(DATE(YEAR(TODAY()),MONTH(TODAY()),1),7))-MONTH(IF(ISNUMBER(Suppliers!F29),Suppliers!F29,DATE(YEAR(TODAY()),MONTH(TODAY()),1))),6)=0,1,0),IF(Suppliers!E29="Annual",IF(MOD((YEAR(EDATE(DATE(YEAR(TODAY()),MONTH(TODAY()),1),7))-YEAR(IF(ISNUMBER(Suppliers!F29),Suppliers!F29,DATE(YEAR(TODAY()),MONTH(TODAY()),1))))*12+MONTH(EDATE(DATE(YEAR(TODAY()),MONTH(TODAY()),1),7))-MONTH(IF(ISNUMBER(Suppliers!F29),Suppliers!F29,DATE(YEAR(TODAY()),MONTH(TODAY()),1))),12)=0,1,0),IF(Suppliers!E29="One-time",IF(7=0,1,0),1)))))),"")</f>
        <v/>
      </c>
      <c r="N31" s="10" t="str">
        <f ca="1">IFERROR(IF(OR(8&gt;=$B$1,Suppliers!A29="",NOT(ISNUMBER(Suppliers!D29)),Suppliers!L29="Expired",Suppliers!L29="Terminate"),"",Suppliers!D29*-1*IF(Suppliers!E29="Monthly",IF(AND(ISNUMBER(Suppliers!G29),(YEAR(EDATE(DATE(YEAR(TODAY()),MONTH(TODAY()),1),8))*12+MONTH(EDATE(DATE(YEAR(TODAY()),MONTH(TODAY()),1),8)))&gt;(YEAR(Suppliers!G29)*12+MONTH(Suppliers!G29))),"",1),IF(Suppliers!E29="Quarterly",IF(MOD((YEAR(EDATE(DATE(YEAR(TODAY()),MONTH(TODAY()),1),8))-YEAR(IF(ISNUMBER(Suppliers!F29),Suppliers!F29,DATE(YEAR(TODAY()),MONTH(TODAY()),1))))*12+MONTH(EDATE(DATE(YEAR(TODAY()),MONTH(TODAY()),1),8))-MONTH(IF(ISNUMBER(Suppliers!F29),Suppliers!F29,DATE(YEAR(TODAY()),MONTH(TODAY()),1))),3)=0,1,0),IF(Suppliers!E29="Semi-annual",IF(MOD((YEAR(EDATE(DATE(YEAR(TODAY()),MONTH(TODAY()),1),8))-YEAR(IF(ISNUMBER(Suppliers!F29),Suppliers!F29,DATE(YEAR(TODAY()),MONTH(TODAY()),1))))*12+MONTH(EDATE(DATE(YEAR(TODAY()),MONTH(TODAY()),1),8))-MONTH(IF(ISNUMBER(Suppliers!F29),Suppliers!F29,DATE(YEAR(TODAY()),MONTH(TODAY()),1))),6)=0,1,0),IF(Suppliers!E29="Annual",IF(MOD((YEAR(EDATE(DATE(YEAR(TODAY()),MONTH(TODAY()),1),8))-YEAR(IF(ISNUMBER(Suppliers!F29),Suppliers!F29,DATE(YEAR(TODAY()),MONTH(TODAY()),1))))*12+MONTH(EDATE(DATE(YEAR(TODAY()),MONTH(TODAY()),1),8))-MONTH(IF(ISNUMBER(Suppliers!F29),Suppliers!F29,DATE(YEAR(TODAY()),MONTH(TODAY()),1))),12)=0,1,0),IF(Suppliers!E29="One-time",IF(8=0,1,0),1)))))),"")</f>
        <v/>
      </c>
      <c r="O31" s="10" t="str">
        <f ca="1">IFERROR(IF(OR(9&gt;=$B$1,Suppliers!A29="",NOT(ISNUMBER(Suppliers!D29)),Suppliers!L29="Expired",Suppliers!L29="Terminate"),"",Suppliers!D29*-1*IF(Suppliers!E29="Monthly",IF(AND(ISNUMBER(Suppliers!G29),(YEAR(EDATE(DATE(YEAR(TODAY()),MONTH(TODAY()),1),9))*12+MONTH(EDATE(DATE(YEAR(TODAY()),MONTH(TODAY()),1),9)))&gt;(YEAR(Suppliers!G29)*12+MONTH(Suppliers!G29))),"",1),IF(Suppliers!E29="Quarterly",IF(MOD((YEAR(EDATE(DATE(YEAR(TODAY()),MONTH(TODAY()),1),9))-YEAR(IF(ISNUMBER(Suppliers!F29),Suppliers!F29,DATE(YEAR(TODAY()),MONTH(TODAY()),1))))*12+MONTH(EDATE(DATE(YEAR(TODAY()),MONTH(TODAY()),1),9))-MONTH(IF(ISNUMBER(Suppliers!F29),Suppliers!F29,DATE(YEAR(TODAY()),MONTH(TODAY()),1))),3)=0,1,0),IF(Suppliers!E29="Semi-annual",IF(MOD((YEAR(EDATE(DATE(YEAR(TODAY()),MONTH(TODAY()),1),9))-YEAR(IF(ISNUMBER(Suppliers!F29),Suppliers!F29,DATE(YEAR(TODAY()),MONTH(TODAY()),1))))*12+MONTH(EDATE(DATE(YEAR(TODAY()),MONTH(TODAY()),1),9))-MONTH(IF(ISNUMBER(Suppliers!F29),Suppliers!F29,DATE(YEAR(TODAY()),MONTH(TODAY()),1))),6)=0,1,0),IF(Suppliers!E29="Annual",IF(MOD((YEAR(EDATE(DATE(YEAR(TODAY()),MONTH(TODAY()),1),9))-YEAR(IF(ISNUMBER(Suppliers!F29),Suppliers!F29,DATE(YEAR(TODAY()),MONTH(TODAY()),1))))*12+MONTH(EDATE(DATE(YEAR(TODAY()),MONTH(TODAY()),1),9))-MONTH(IF(ISNUMBER(Suppliers!F29),Suppliers!F29,DATE(YEAR(TODAY()),MONTH(TODAY()),1))),12)=0,1,0),IF(Suppliers!E29="One-time",IF(9=0,1,0),1)))))),"")</f>
        <v/>
      </c>
      <c r="P31" s="10" t="str">
        <f ca="1">IFERROR(IF(OR(10&gt;=$B$1,Suppliers!A29="",NOT(ISNUMBER(Suppliers!D29)),Suppliers!L29="Expired",Suppliers!L29="Terminate"),"",Suppliers!D29*-1*IF(Suppliers!E29="Monthly",IF(AND(ISNUMBER(Suppliers!G29),(YEAR(EDATE(DATE(YEAR(TODAY()),MONTH(TODAY()),1),10))*12+MONTH(EDATE(DATE(YEAR(TODAY()),MONTH(TODAY()),1),10)))&gt;(YEAR(Suppliers!G29)*12+MONTH(Suppliers!G29))),"",1),IF(Suppliers!E29="Quarterly",IF(MOD((YEAR(EDATE(DATE(YEAR(TODAY()),MONTH(TODAY()),1),10))-YEAR(IF(ISNUMBER(Suppliers!F29),Suppliers!F29,DATE(YEAR(TODAY()),MONTH(TODAY()),1))))*12+MONTH(EDATE(DATE(YEAR(TODAY()),MONTH(TODAY()),1),10))-MONTH(IF(ISNUMBER(Suppliers!F29),Suppliers!F29,DATE(YEAR(TODAY()),MONTH(TODAY()),1))),3)=0,1,0),IF(Suppliers!E29="Semi-annual",IF(MOD((YEAR(EDATE(DATE(YEAR(TODAY()),MONTH(TODAY()),1),10))-YEAR(IF(ISNUMBER(Suppliers!F29),Suppliers!F29,DATE(YEAR(TODAY()),MONTH(TODAY()),1))))*12+MONTH(EDATE(DATE(YEAR(TODAY()),MONTH(TODAY()),1),10))-MONTH(IF(ISNUMBER(Suppliers!F29),Suppliers!F29,DATE(YEAR(TODAY()),MONTH(TODAY()),1))),6)=0,1,0),IF(Suppliers!E29="Annual",IF(MOD((YEAR(EDATE(DATE(YEAR(TODAY()),MONTH(TODAY()),1),10))-YEAR(IF(ISNUMBER(Suppliers!F29),Suppliers!F29,DATE(YEAR(TODAY()),MONTH(TODAY()),1))))*12+MONTH(EDATE(DATE(YEAR(TODAY()),MONTH(TODAY()),1),10))-MONTH(IF(ISNUMBER(Suppliers!F29),Suppliers!F29,DATE(YEAR(TODAY()),MONTH(TODAY()),1))),12)=0,1,0),IF(Suppliers!E29="One-time",IF(10=0,1,0),1)))))),"")</f>
        <v/>
      </c>
      <c r="Q31" s="10" t="str">
        <f ca="1">IFERROR(IF(OR(11&gt;=$B$1,Suppliers!A29="",NOT(ISNUMBER(Suppliers!D29)),Suppliers!L29="Expired",Suppliers!L29="Terminate"),"",Suppliers!D29*-1*IF(Suppliers!E29="Monthly",IF(AND(ISNUMBER(Suppliers!G29),(YEAR(EDATE(DATE(YEAR(TODAY()),MONTH(TODAY()),1),11))*12+MONTH(EDATE(DATE(YEAR(TODAY()),MONTH(TODAY()),1),11)))&gt;(YEAR(Suppliers!G29)*12+MONTH(Suppliers!G29))),"",1),IF(Suppliers!E29="Quarterly",IF(MOD((YEAR(EDATE(DATE(YEAR(TODAY()),MONTH(TODAY()),1),11))-YEAR(IF(ISNUMBER(Suppliers!F29),Suppliers!F29,DATE(YEAR(TODAY()),MONTH(TODAY()),1))))*12+MONTH(EDATE(DATE(YEAR(TODAY()),MONTH(TODAY()),1),11))-MONTH(IF(ISNUMBER(Suppliers!F29),Suppliers!F29,DATE(YEAR(TODAY()),MONTH(TODAY()),1))),3)=0,1,0),IF(Suppliers!E29="Semi-annual",IF(MOD((YEAR(EDATE(DATE(YEAR(TODAY()),MONTH(TODAY()),1),11))-YEAR(IF(ISNUMBER(Suppliers!F29),Suppliers!F29,DATE(YEAR(TODAY()),MONTH(TODAY()),1))))*12+MONTH(EDATE(DATE(YEAR(TODAY()),MONTH(TODAY()),1),11))-MONTH(IF(ISNUMBER(Suppliers!F29),Suppliers!F29,DATE(YEAR(TODAY()),MONTH(TODAY()),1))),6)=0,1,0),IF(Suppliers!E29="Annual",IF(MOD((YEAR(EDATE(DATE(YEAR(TODAY()),MONTH(TODAY()),1),11))-YEAR(IF(ISNUMBER(Suppliers!F29),Suppliers!F29,DATE(YEAR(TODAY()),MONTH(TODAY()),1))))*12+MONTH(EDATE(DATE(YEAR(TODAY()),MONTH(TODAY()),1),11))-MONTH(IF(ISNUMBER(Suppliers!F29),Suppliers!F29,DATE(YEAR(TODAY()),MONTH(TODAY()),1))),12)=0,1,0),IF(Suppliers!E29="One-time",IF(11=0,1,0),1)))))),"")</f>
        <v/>
      </c>
      <c r="R31" s="10" t="str">
        <f ca="1">IFERROR(IF(OR(12&gt;=$B$1,Suppliers!A29="",NOT(ISNUMBER(Suppliers!D29)),Suppliers!L29="Expired",Suppliers!L29="Terminate"),"",Suppliers!D29*-1*IF(Suppliers!E29="Monthly",IF(AND(ISNUMBER(Suppliers!G29),(YEAR(EDATE(DATE(YEAR(TODAY()),MONTH(TODAY()),1),12))*12+MONTH(EDATE(DATE(YEAR(TODAY()),MONTH(TODAY()),1),12)))&gt;(YEAR(Suppliers!G29)*12+MONTH(Suppliers!G29))),"",1),IF(Suppliers!E29="Quarterly",IF(MOD((YEAR(EDATE(DATE(YEAR(TODAY()),MONTH(TODAY()),1),12))-YEAR(IF(ISNUMBER(Suppliers!F29),Suppliers!F29,DATE(YEAR(TODAY()),MONTH(TODAY()),1))))*12+MONTH(EDATE(DATE(YEAR(TODAY()),MONTH(TODAY()),1),12))-MONTH(IF(ISNUMBER(Suppliers!F29),Suppliers!F29,DATE(YEAR(TODAY()),MONTH(TODAY()),1))),3)=0,1,0),IF(Suppliers!E29="Semi-annual",IF(MOD((YEAR(EDATE(DATE(YEAR(TODAY()),MONTH(TODAY()),1),12))-YEAR(IF(ISNUMBER(Suppliers!F29),Suppliers!F29,DATE(YEAR(TODAY()),MONTH(TODAY()),1))))*12+MONTH(EDATE(DATE(YEAR(TODAY()),MONTH(TODAY()),1),12))-MONTH(IF(ISNUMBER(Suppliers!F29),Suppliers!F29,DATE(YEAR(TODAY()),MONTH(TODAY()),1))),6)=0,1,0),IF(Suppliers!E29="Annual",IF(MOD((YEAR(EDATE(DATE(YEAR(TODAY()),MONTH(TODAY()),1),12))-YEAR(IF(ISNUMBER(Suppliers!F29),Suppliers!F29,DATE(YEAR(TODAY()),MONTH(TODAY()),1))))*12+MONTH(EDATE(DATE(YEAR(TODAY()),MONTH(TODAY()),1),12))-MONTH(IF(ISNUMBER(Suppliers!F29),Suppliers!F29,DATE(YEAR(TODAY()),MONTH(TODAY()),1))),12)=0,1,0),IF(Suppliers!E29="One-time",IF(12=0,1,0),1)))))),"")</f>
        <v/>
      </c>
      <c r="S31" s="10" t="str">
        <f ca="1">IFERROR(IF(OR(13&gt;=$B$1,Suppliers!A29="",NOT(ISNUMBER(Suppliers!D29)),Suppliers!L29="Expired",Suppliers!L29="Terminate"),"",Suppliers!D29*-1*IF(Suppliers!E29="Monthly",IF(AND(ISNUMBER(Suppliers!G29),(YEAR(EDATE(DATE(YEAR(TODAY()),MONTH(TODAY()),1),13))*12+MONTH(EDATE(DATE(YEAR(TODAY()),MONTH(TODAY()),1),13)))&gt;(YEAR(Suppliers!G29)*12+MONTH(Suppliers!G29))),"",1),IF(Suppliers!E29="Quarterly",IF(MOD((YEAR(EDATE(DATE(YEAR(TODAY()),MONTH(TODAY()),1),13))-YEAR(IF(ISNUMBER(Suppliers!F29),Suppliers!F29,DATE(YEAR(TODAY()),MONTH(TODAY()),1))))*12+MONTH(EDATE(DATE(YEAR(TODAY()),MONTH(TODAY()),1),13))-MONTH(IF(ISNUMBER(Suppliers!F29),Suppliers!F29,DATE(YEAR(TODAY()),MONTH(TODAY()),1))),3)=0,1,0),IF(Suppliers!E29="Semi-annual",IF(MOD((YEAR(EDATE(DATE(YEAR(TODAY()),MONTH(TODAY()),1),13))-YEAR(IF(ISNUMBER(Suppliers!F29),Suppliers!F29,DATE(YEAR(TODAY()),MONTH(TODAY()),1))))*12+MONTH(EDATE(DATE(YEAR(TODAY()),MONTH(TODAY()),1),13))-MONTH(IF(ISNUMBER(Suppliers!F29),Suppliers!F29,DATE(YEAR(TODAY()),MONTH(TODAY()),1))),6)=0,1,0),IF(Suppliers!E29="Annual",IF(MOD((YEAR(EDATE(DATE(YEAR(TODAY()),MONTH(TODAY()),1),13))-YEAR(IF(ISNUMBER(Suppliers!F29),Suppliers!F29,DATE(YEAR(TODAY()),MONTH(TODAY()),1))))*12+MONTH(EDATE(DATE(YEAR(TODAY()),MONTH(TODAY()),1),13))-MONTH(IF(ISNUMBER(Suppliers!F29),Suppliers!F29,DATE(YEAR(TODAY()),MONTH(TODAY()),1))),12)=0,1,0),IF(Suppliers!E29="One-time",IF(13=0,1,0),1)))))),"")</f>
        <v/>
      </c>
      <c r="T31" s="10" t="str">
        <f ca="1">IFERROR(IF(OR(14&gt;=$B$1,Suppliers!A29="",NOT(ISNUMBER(Suppliers!D29)),Suppliers!L29="Expired",Suppliers!L29="Terminate"),"",Suppliers!D29*-1*IF(Suppliers!E29="Monthly",IF(AND(ISNUMBER(Suppliers!G29),(YEAR(EDATE(DATE(YEAR(TODAY()),MONTH(TODAY()),1),14))*12+MONTH(EDATE(DATE(YEAR(TODAY()),MONTH(TODAY()),1),14)))&gt;(YEAR(Suppliers!G29)*12+MONTH(Suppliers!G29))),"",1),IF(Suppliers!E29="Quarterly",IF(MOD((YEAR(EDATE(DATE(YEAR(TODAY()),MONTH(TODAY()),1),14))-YEAR(IF(ISNUMBER(Suppliers!F29),Suppliers!F29,DATE(YEAR(TODAY()),MONTH(TODAY()),1))))*12+MONTH(EDATE(DATE(YEAR(TODAY()),MONTH(TODAY()),1),14))-MONTH(IF(ISNUMBER(Suppliers!F29),Suppliers!F29,DATE(YEAR(TODAY()),MONTH(TODAY()),1))),3)=0,1,0),IF(Suppliers!E29="Semi-annual",IF(MOD((YEAR(EDATE(DATE(YEAR(TODAY()),MONTH(TODAY()),1),14))-YEAR(IF(ISNUMBER(Suppliers!F29),Suppliers!F29,DATE(YEAR(TODAY()),MONTH(TODAY()),1))))*12+MONTH(EDATE(DATE(YEAR(TODAY()),MONTH(TODAY()),1),14))-MONTH(IF(ISNUMBER(Suppliers!F29),Suppliers!F29,DATE(YEAR(TODAY()),MONTH(TODAY()),1))),6)=0,1,0),IF(Suppliers!E29="Annual",IF(MOD((YEAR(EDATE(DATE(YEAR(TODAY()),MONTH(TODAY()),1),14))-YEAR(IF(ISNUMBER(Suppliers!F29),Suppliers!F29,DATE(YEAR(TODAY()),MONTH(TODAY()),1))))*12+MONTH(EDATE(DATE(YEAR(TODAY()),MONTH(TODAY()),1),14))-MONTH(IF(ISNUMBER(Suppliers!F29),Suppliers!F29,DATE(YEAR(TODAY()),MONTH(TODAY()),1))),12)=0,1,0),IF(Suppliers!E29="One-time",IF(14=0,1,0),1)))))),"")</f>
        <v/>
      </c>
      <c r="U31" s="10" t="str">
        <f ca="1">IFERROR(IF(OR(15&gt;=$B$1,Suppliers!A29="",NOT(ISNUMBER(Suppliers!D29)),Suppliers!L29="Expired",Suppliers!L29="Terminate"),"",Suppliers!D29*-1*IF(Suppliers!E29="Monthly",IF(AND(ISNUMBER(Suppliers!G29),(YEAR(EDATE(DATE(YEAR(TODAY()),MONTH(TODAY()),1),15))*12+MONTH(EDATE(DATE(YEAR(TODAY()),MONTH(TODAY()),1),15)))&gt;(YEAR(Suppliers!G29)*12+MONTH(Suppliers!G29))),"",1),IF(Suppliers!E29="Quarterly",IF(MOD((YEAR(EDATE(DATE(YEAR(TODAY()),MONTH(TODAY()),1),15))-YEAR(IF(ISNUMBER(Suppliers!F29),Suppliers!F29,DATE(YEAR(TODAY()),MONTH(TODAY()),1))))*12+MONTH(EDATE(DATE(YEAR(TODAY()),MONTH(TODAY()),1),15))-MONTH(IF(ISNUMBER(Suppliers!F29),Suppliers!F29,DATE(YEAR(TODAY()),MONTH(TODAY()),1))),3)=0,1,0),IF(Suppliers!E29="Semi-annual",IF(MOD((YEAR(EDATE(DATE(YEAR(TODAY()),MONTH(TODAY()),1),15))-YEAR(IF(ISNUMBER(Suppliers!F29),Suppliers!F29,DATE(YEAR(TODAY()),MONTH(TODAY()),1))))*12+MONTH(EDATE(DATE(YEAR(TODAY()),MONTH(TODAY()),1),15))-MONTH(IF(ISNUMBER(Suppliers!F29),Suppliers!F29,DATE(YEAR(TODAY()),MONTH(TODAY()),1))),6)=0,1,0),IF(Suppliers!E29="Annual",IF(MOD((YEAR(EDATE(DATE(YEAR(TODAY()),MONTH(TODAY()),1),15))-YEAR(IF(ISNUMBER(Suppliers!F29),Suppliers!F29,DATE(YEAR(TODAY()),MONTH(TODAY()),1))))*12+MONTH(EDATE(DATE(YEAR(TODAY()),MONTH(TODAY()),1),15))-MONTH(IF(ISNUMBER(Suppliers!F29),Suppliers!F29,DATE(YEAR(TODAY()),MONTH(TODAY()),1))),12)=0,1,0),IF(Suppliers!E29="One-time",IF(15=0,1,0),1)))))),"")</f>
        <v/>
      </c>
      <c r="V31" s="10" t="str">
        <f ca="1">IFERROR(IF(OR(16&gt;=$B$1,Suppliers!A29="",NOT(ISNUMBER(Suppliers!D29)),Suppliers!L29="Expired",Suppliers!L29="Terminate"),"",Suppliers!D29*-1*IF(Suppliers!E29="Monthly",IF(AND(ISNUMBER(Suppliers!G29),(YEAR(EDATE(DATE(YEAR(TODAY()),MONTH(TODAY()),1),16))*12+MONTH(EDATE(DATE(YEAR(TODAY()),MONTH(TODAY()),1),16)))&gt;(YEAR(Suppliers!G29)*12+MONTH(Suppliers!G29))),"",1),IF(Suppliers!E29="Quarterly",IF(MOD((YEAR(EDATE(DATE(YEAR(TODAY()),MONTH(TODAY()),1),16))-YEAR(IF(ISNUMBER(Suppliers!F29),Suppliers!F29,DATE(YEAR(TODAY()),MONTH(TODAY()),1))))*12+MONTH(EDATE(DATE(YEAR(TODAY()),MONTH(TODAY()),1),16))-MONTH(IF(ISNUMBER(Suppliers!F29),Suppliers!F29,DATE(YEAR(TODAY()),MONTH(TODAY()),1))),3)=0,1,0),IF(Suppliers!E29="Semi-annual",IF(MOD((YEAR(EDATE(DATE(YEAR(TODAY()),MONTH(TODAY()),1),16))-YEAR(IF(ISNUMBER(Suppliers!F29),Suppliers!F29,DATE(YEAR(TODAY()),MONTH(TODAY()),1))))*12+MONTH(EDATE(DATE(YEAR(TODAY()),MONTH(TODAY()),1),16))-MONTH(IF(ISNUMBER(Suppliers!F29),Suppliers!F29,DATE(YEAR(TODAY()),MONTH(TODAY()),1))),6)=0,1,0),IF(Suppliers!E29="Annual",IF(MOD((YEAR(EDATE(DATE(YEAR(TODAY()),MONTH(TODAY()),1),16))-YEAR(IF(ISNUMBER(Suppliers!F29),Suppliers!F29,DATE(YEAR(TODAY()),MONTH(TODAY()),1))))*12+MONTH(EDATE(DATE(YEAR(TODAY()),MONTH(TODAY()),1),16))-MONTH(IF(ISNUMBER(Suppliers!F29),Suppliers!F29,DATE(YEAR(TODAY()),MONTH(TODAY()),1))),12)=0,1,0),IF(Suppliers!E29="One-time",IF(16=0,1,0),1)))))),"")</f>
        <v/>
      </c>
      <c r="W31" s="10" t="str">
        <f ca="1">IFERROR(IF(OR(17&gt;=$B$1,Suppliers!A29="",NOT(ISNUMBER(Suppliers!D29)),Suppliers!L29="Expired",Suppliers!L29="Terminate"),"",Suppliers!D29*-1*IF(Suppliers!E29="Monthly",IF(AND(ISNUMBER(Suppliers!G29),(YEAR(EDATE(DATE(YEAR(TODAY()),MONTH(TODAY()),1),17))*12+MONTH(EDATE(DATE(YEAR(TODAY()),MONTH(TODAY()),1),17)))&gt;(YEAR(Suppliers!G29)*12+MONTH(Suppliers!G29))),"",1),IF(Suppliers!E29="Quarterly",IF(MOD((YEAR(EDATE(DATE(YEAR(TODAY()),MONTH(TODAY()),1),17))-YEAR(IF(ISNUMBER(Suppliers!F29),Suppliers!F29,DATE(YEAR(TODAY()),MONTH(TODAY()),1))))*12+MONTH(EDATE(DATE(YEAR(TODAY()),MONTH(TODAY()),1),17))-MONTH(IF(ISNUMBER(Suppliers!F29),Suppliers!F29,DATE(YEAR(TODAY()),MONTH(TODAY()),1))),3)=0,1,0),IF(Suppliers!E29="Semi-annual",IF(MOD((YEAR(EDATE(DATE(YEAR(TODAY()),MONTH(TODAY()),1),17))-YEAR(IF(ISNUMBER(Suppliers!F29),Suppliers!F29,DATE(YEAR(TODAY()),MONTH(TODAY()),1))))*12+MONTH(EDATE(DATE(YEAR(TODAY()),MONTH(TODAY()),1),17))-MONTH(IF(ISNUMBER(Suppliers!F29),Suppliers!F29,DATE(YEAR(TODAY()),MONTH(TODAY()),1))),6)=0,1,0),IF(Suppliers!E29="Annual",IF(MOD((YEAR(EDATE(DATE(YEAR(TODAY()),MONTH(TODAY()),1),17))-YEAR(IF(ISNUMBER(Suppliers!F29),Suppliers!F29,DATE(YEAR(TODAY()),MONTH(TODAY()),1))))*12+MONTH(EDATE(DATE(YEAR(TODAY()),MONTH(TODAY()),1),17))-MONTH(IF(ISNUMBER(Suppliers!F29),Suppliers!F29,DATE(YEAR(TODAY()),MONTH(TODAY()),1))),12)=0,1,0),IF(Suppliers!E29="One-time",IF(17=0,1,0),1)))))),"")</f>
        <v/>
      </c>
      <c r="X31" s="10" t="str">
        <f ca="1">IFERROR(IF(OR(18&gt;=$B$1,Suppliers!A29="",NOT(ISNUMBER(Suppliers!D29)),Suppliers!L29="Expired",Suppliers!L29="Terminate"),"",Suppliers!D29*-1*IF(Suppliers!E29="Monthly",IF(AND(ISNUMBER(Suppliers!G29),(YEAR(EDATE(DATE(YEAR(TODAY()),MONTH(TODAY()),1),18))*12+MONTH(EDATE(DATE(YEAR(TODAY()),MONTH(TODAY()),1),18)))&gt;(YEAR(Suppliers!G29)*12+MONTH(Suppliers!G29))),"",1),IF(Suppliers!E29="Quarterly",IF(MOD((YEAR(EDATE(DATE(YEAR(TODAY()),MONTH(TODAY()),1),18))-YEAR(IF(ISNUMBER(Suppliers!F29),Suppliers!F29,DATE(YEAR(TODAY()),MONTH(TODAY()),1))))*12+MONTH(EDATE(DATE(YEAR(TODAY()),MONTH(TODAY()),1),18))-MONTH(IF(ISNUMBER(Suppliers!F29),Suppliers!F29,DATE(YEAR(TODAY()),MONTH(TODAY()),1))),3)=0,1,0),IF(Suppliers!E29="Semi-annual",IF(MOD((YEAR(EDATE(DATE(YEAR(TODAY()),MONTH(TODAY()),1),18))-YEAR(IF(ISNUMBER(Suppliers!F29),Suppliers!F29,DATE(YEAR(TODAY()),MONTH(TODAY()),1))))*12+MONTH(EDATE(DATE(YEAR(TODAY()),MONTH(TODAY()),1),18))-MONTH(IF(ISNUMBER(Suppliers!F29),Suppliers!F29,DATE(YEAR(TODAY()),MONTH(TODAY()),1))),6)=0,1,0),IF(Suppliers!E29="Annual",IF(MOD((YEAR(EDATE(DATE(YEAR(TODAY()),MONTH(TODAY()),1),18))-YEAR(IF(ISNUMBER(Suppliers!F29),Suppliers!F29,DATE(YEAR(TODAY()),MONTH(TODAY()),1))))*12+MONTH(EDATE(DATE(YEAR(TODAY()),MONTH(TODAY()),1),18))-MONTH(IF(ISNUMBER(Suppliers!F29),Suppliers!F29,DATE(YEAR(TODAY()),MONTH(TODAY()),1))),12)=0,1,0),IF(Suppliers!E29="One-time",IF(18=0,1,0),1)))))),"")</f>
        <v/>
      </c>
      <c r="Y31" s="10" t="str">
        <f ca="1">IFERROR(IF(OR(19&gt;=$B$1,Suppliers!A29="",NOT(ISNUMBER(Suppliers!D29)),Suppliers!L29="Expired",Suppliers!L29="Terminate"),"",Suppliers!D29*-1*IF(Suppliers!E29="Monthly",IF(AND(ISNUMBER(Suppliers!G29),(YEAR(EDATE(DATE(YEAR(TODAY()),MONTH(TODAY()),1),19))*12+MONTH(EDATE(DATE(YEAR(TODAY()),MONTH(TODAY()),1),19)))&gt;(YEAR(Suppliers!G29)*12+MONTH(Suppliers!G29))),"",1),IF(Suppliers!E29="Quarterly",IF(MOD((YEAR(EDATE(DATE(YEAR(TODAY()),MONTH(TODAY()),1),19))-YEAR(IF(ISNUMBER(Suppliers!F29),Suppliers!F29,DATE(YEAR(TODAY()),MONTH(TODAY()),1))))*12+MONTH(EDATE(DATE(YEAR(TODAY()),MONTH(TODAY()),1),19))-MONTH(IF(ISNUMBER(Suppliers!F29),Suppliers!F29,DATE(YEAR(TODAY()),MONTH(TODAY()),1))),3)=0,1,0),IF(Suppliers!E29="Semi-annual",IF(MOD((YEAR(EDATE(DATE(YEAR(TODAY()),MONTH(TODAY()),1),19))-YEAR(IF(ISNUMBER(Suppliers!F29),Suppliers!F29,DATE(YEAR(TODAY()),MONTH(TODAY()),1))))*12+MONTH(EDATE(DATE(YEAR(TODAY()),MONTH(TODAY()),1),19))-MONTH(IF(ISNUMBER(Suppliers!F29),Suppliers!F29,DATE(YEAR(TODAY()),MONTH(TODAY()),1))),6)=0,1,0),IF(Suppliers!E29="Annual",IF(MOD((YEAR(EDATE(DATE(YEAR(TODAY()),MONTH(TODAY()),1),19))-YEAR(IF(ISNUMBER(Suppliers!F29),Suppliers!F29,DATE(YEAR(TODAY()),MONTH(TODAY()),1))))*12+MONTH(EDATE(DATE(YEAR(TODAY()),MONTH(TODAY()),1),19))-MONTH(IF(ISNUMBER(Suppliers!F29),Suppliers!F29,DATE(YEAR(TODAY()),MONTH(TODAY()),1))),12)=0,1,0),IF(Suppliers!E29="One-time",IF(19=0,1,0),1)))))),"")</f>
        <v/>
      </c>
      <c r="Z31" s="10" t="str">
        <f ca="1">IFERROR(IF(OR(20&gt;=$B$1,Suppliers!A29="",NOT(ISNUMBER(Suppliers!D29)),Suppliers!L29="Expired",Suppliers!L29="Terminate"),"",Suppliers!D29*-1*IF(Suppliers!E29="Monthly",IF(AND(ISNUMBER(Suppliers!G29),(YEAR(EDATE(DATE(YEAR(TODAY()),MONTH(TODAY()),1),20))*12+MONTH(EDATE(DATE(YEAR(TODAY()),MONTH(TODAY()),1),20)))&gt;(YEAR(Suppliers!G29)*12+MONTH(Suppliers!G29))),"",1),IF(Suppliers!E29="Quarterly",IF(MOD((YEAR(EDATE(DATE(YEAR(TODAY()),MONTH(TODAY()),1),20))-YEAR(IF(ISNUMBER(Suppliers!F29),Suppliers!F29,DATE(YEAR(TODAY()),MONTH(TODAY()),1))))*12+MONTH(EDATE(DATE(YEAR(TODAY()),MONTH(TODAY()),1),20))-MONTH(IF(ISNUMBER(Suppliers!F29),Suppliers!F29,DATE(YEAR(TODAY()),MONTH(TODAY()),1))),3)=0,1,0),IF(Suppliers!E29="Semi-annual",IF(MOD((YEAR(EDATE(DATE(YEAR(TODAY()),MONTH(TODAY()),1),20))-YEAR(IF(ISNUMBER(Suppliers!F29),Suppliers!F29,DATE(YEAR(TODAY()),MONTH(TODAY()),1))))*12+MONTH(EDATE(DATE(YEAR(TODAY()),MONTH(TODAY()),1),20))-MONTH(IF(ISNUMBER(Suppliers!F29),Suppliers!F29,DATE(YEAR(TODAY()),MONTH(TODAY()),1))),6)=0,1,0),IF(Suppliers!E29="Annual",IF(MOD((YEAR(EDATE(DATE(YEAR(TODAY()),MONTH(TODAY()),1),20))-YEAR(IF(ISNUMBER(Suppliers!F29),Suppliers!F29,DATE(YEAR(TODAY()),MONTH(TODAY()),1))))*12+MONTH(EDATE(DATE(YEAR(TODAY()),MONTH(TODAY()),1),20))-MONTH(IF(ISNUMBER(Suppliers!F29),Suppliers!F29,DATE(YEAR(TODAY()),MONTH(TODAY()),1))),12)=0,1,0),IF(Suppliers!E29="One-time",IF(20=0,1,0),1)))))),"")</f>
        <v/>
      </c>
      <c r="AA31" s="10" t="str">
        <f ca="1">IFERROR(IF(OR(21&gt;=$B$1,Suppliers!A29="",NOT(ISNUMBER(Suppliers!D29)),Suppliers!L29="Expired",Suppliers!L29="Terminate"),"",Suppliers!D29*-1*IF(Suppliers!E29="Monthly",IF(AND(ISNUMBER(Suppliers!G29),(YEAR(EDATE(DATE(YEAR(TODAY()),MONTH(TODAY()),1),21))*12+MONTH(EDATE(DATE(YEAR(TODAY()),MONTH(TODAY()),1),21)))&gt;(YEAR(Suppliers!G29)*12+MONTH(Suppliers!G29))),"",1),IF(Suppliers!E29="Quarterly",IF(MOD((YEAR(EDATE(DATE(YEAR(TODAY()),MONTH(TODAY()),1),21))-YEAR(IF(ISNUMBER(Suppliers!F29),Suppliers!F29,DATE(YEAR(TODAY()),MONTH(TODAY()),1))))*12+MONTH(EDATE(DATE(YEAR(TODAY()),MONTH(TODAY()),1),21))-MONTH(IF(ISNUMBER(Suppliers!F29),Suppliers!F29,DATE(YEAR(TODAY()),MONTH(TODAY()),1))),3)=0,1,0),IF(Suppliers!E29="Semi-annual",IF(MOD((YEAR(EDATE(DATE(YEAR(TODAY()),MONTH(TODAY()),1),21))-YEAR(IF(ISNUMBER(Suppliers!F29),Suppliers!F29,DATE(YEAR(TODAY()),MONTH(TODAY()),1))))*12+MONTH(EDATE(DATE(YEAR(TODAY()),MONTH(TODAY()),1),21))-MONTH(IF(ISNUMBER(Suppliers!F29),Suppliers!F29,DATE(YEAR(TODAY()),MONTH(TODAY()),1))),6)=0,1,0),IF(Suppliers!E29="Annual",IF(MOD((YEAR(EDATE(DATE(YEAR(TODAY()),MONTH(TODAY()),1),21))-YEAR(IF(ISNUMBER(Suppliers!F29),Suppliers!F29,DATE(YEAR(TODAY()),MONTH(TODAY()),1))))*12+MONTH(EDATE(DATE(YEAR(TODAY()),MONTH(TODAY()),1),21))-MONTH(IF(ISNUMBER(Suppliers!F29),Suppliers!F29,DATE(YEAR(TODAY()),MONTH(TODAY()),1))),12)=0,1,0),IF(Suppliers!E29="One-time",IF(21=0,1,0),1)))))),"")</f>
        <v/>
      </c>
      <c r="AB31" s="10" t="str">
        <f ca="1">IFERROR(IF(OR(22&gt;=$B$1,Suppliers!A29="",NOT(ISNUMBER(Suppliers!D29)),Suppliers!L29="Expired",Suppliers!L29="Terminate"),"",Suppliers!D29*-1*IF(Suppliers!E29="Monthly",IF(AND(ISNUMBER(Suppliers!G29),(YEAR(EDATE(DATE(YEAR(TODAY()),MONTH(TODAY()),1),22))*12+MONTH(EDATE(DATE(YEAR(TODAY()),MONTH(TODAY()),1),22)))&gt;(YEAR(Suppliers!G29)*12+MONTH(Suppliers!G29))),"",1),IF(Suppliers!E29="Quarterly",IF(MOD((YEAR(EDATE(DATE(YEAR(TODAY()),MONTH(TODAY()),1),22))-YEAR(IF(ISNUMBER(Suppliers!F29),Suppliers!F29,DATE(YEAR(TODAY()),MONTH(TODAY()),1))))*12+MONTH(EDATE(DATE(YEAR(TODAY()),MONTH(TODAY()),1),22))-MONTH(IF(ISNUMBER(Suppliers!F29),Suppliers!F29,DATE(YEAR(TODAY()),MONTH(TODAY()),1))),3)=0,1,0),IF(Suppliers!E29="Semi-annual",IF(MOD((YEAR(EDATE(DATE(YEAR(TODAY()),MONTH(TODAY()),1),22))-YEAR(IF(ISNUMBER(Suppliers!F29),Suppliers!F29,DATE(YEAR(TODAY()),MONTH(TODAY()),1))))*12+MONTH(EDATE(DATE(YEAR(TODAY()),MONTH(TODAY()),1),22))-MONTH(IF(ISNUMBER(Suppliers!F29),Suppliers!F29,DATE(YEAR(TODAY()),MONTH(TODAY()),1))),6)=0,1,0),IF(Suppliers!E29="Annual",IF(MOD((YEAR(EDATE(DATE(YEAR(TODAY()),MONTH(TODAY()),1),22))-YEAR(IF(ISNUMBER(Suppliers!F29),Suppliers!F29,DATE(YEAR(TODAY()),MONTH(TODAY()),1))))*12+MONTH(EDATE(DATE(YEAR(TODAY()),MONTH(TODAY()),1),22))-MONTH(IF(ISNUMBER(Suppliers!F29),Suppliers!F29,DATE(YEAR(TODAY()),MONTH(TODAY()),1))),12)=0,1,0),IF(Suppliers!E29="One-time",IF(22=0,1,0),1)))))),"")</f>
        <v/>
      </c>
      <c r="AC31" s="10" t="str">
        <f ca="1">IFERROR(IF(OR(23&gt;=$B$1,Suppliers!A29="",NOT(ISNUMBER(Suppliers!D29)),Suppliers!L29="Expired",Suppliers!L29="Terminate"),"",Suppliers!D29*-1*IF(Suppliers!E29="Monthly",IF(AND(ISNUMBER(Suppliers!G29),(YEAR(EDATE(DATE(YEAR(TODAY()),MONTH(TODAY()),1),23))*12+MONTH(EDATE(DATE(YEAR(TODAY()),MONTH(TODAY()),1),23)))&gt;(YEAR(Suppliers!G29)*12+MONTH(Suppliers!G29))),"",1),IF(Suppliers!E29="Quarterly",IF(MOD((YEAR(EDATE(DATE(YEAR(TODAY()),MONTH(TODAY()),1),23))-YEAR(IF(ISNUMBER(Suppliers!F29),Suppliers!F29,DATE(YEAR(TODAY()),MONTH(TODAY()),1))))*12+MONTH(EDATE(DATE(YEAR(TODAY()),MONTH(TODAY()),1),23))-MONTH(IF(ISNUMBER(Suppliers!F29),Suppliers!F29,DATE(YEAR(TODAY()),MONTH(TODAY()),1))),3)=0,1,0),IF(Suppliers!E29="Semi-annual",IF(MOD((YEAR(EDATE(DATE(YEAR(TODAY()),MONTH(TODAY()),1),23))-YEAR(IF(ISNUMBER(Suppliers!F29),Suppliers!F29,DATE(YEAR(TODAY()),MONTH(TODAY()),1))))*12+MONTH(EDATE(DATE(YEAR(TODAY()),MONTH(TODAY()),1),23))-MONTH(IF(ISNUMBER(Suppliers!F29),Suppliers!F29,DATE(YEAR(TODAY()),MONTH(TODAY()),1))),6)=0,1,0),IF(Suppliers!E29="Annual",IF(MOD((YEAR(EDATE(DATE(YEAR(TODAY()),MONTH(TODAY()),1),23))-YEAR(IF(ISNUMBER(Suppliers!F29),Suppliers!F29,DATE(YEAR(TODAY()),MONTH(TODAY()),1))))*12+MONTH(EDATE(DATE(YEAR(TODAY()),MONTH(TODAY()),1),23))-MONTH(IF(ISNUMBER(Suppliers!F29),Suppliers!F29,DATE(YEAR(TODAY()),MONTH(TODAY()),1))),12)=0,1,0),IF(Suppliers!E29="One-time",IF(23=0,1,0),1)))))),"")</f>
        <v/>
      </c>
    </row>
    <row r="32" spans="1:29" ht="15" customHeight="1" x14ac:dyDescent="0.35">
      <c r="A32" s="4" t="s">
        <v>80</v>
      </c>
      <c r="B32" s="4" t="str">
        <f>IF(Suppliers!A30="","",Suppliers!A30)</f>
        <v/>
      </c>
      <c r="C32" s="10" t="str">
        <f>IF(Suppliers!C30="","",Suppliers!C30)</f>
        <v/>
      </c>
      <c r="D32" s="10" t="str">
        <f>IF(Suppliers!D30="","",Suppliers!D30)</f>
        <v/>
      </c>
      <c r="E32" s="4" t="str">
        <f>IF(Suppliers!E30="","",Suppliers!E30)</f>
        <v/>
      </c>
      <c r="F32" s="10" t="str">
        <f ca="1">IFERROR(IF(OR(0&gt;=$B$1,Suppliers!A30="",NOT(ISNUMBER(Suppliers!D30)),Suppliers!L30="Expired",Suppliers!L30="Terminate"),"",Suppliers!D30*-1*IF(Suppliers!E30="Monthly",IF(AND(ISNUMBER(Suppliers!G30),(YEAR(EDATE(DATE(YEAR(TODAY()),MONTH(TODAY()),1),0))*12+MONTH(EDATE(DATE(YEAR(TODAY()),MONTH(TODAY()),1),0)))&gt;(YEAR(Suppliers!G30)*12+MONTH(Suppliers!G30))),"",1),IF(Suppliers!E30="Quarterly",IF(MOD((YEAR(EDATE(DATE(YEAR(TODAY()),MONTH(TODAY()),1),0))-YEAR(IF(ISNUMBER(Suppliers!F30),Suppliers!F30,DATE(YEAR(TODAY()),MONTH(TODAY()),1))))*12+MONTH(EDATE(DATE(YEAR(TODAY()),MONTH(TODAY()),1),0))-MONTH(IF(ISNUMBER(Suppliers!F30),Suppliers!F30,DATE(YEAR(TODAY()),MONTH(TODAY()),1))),3)=0,1,0),IF(Suppliers!E30="Semi-annual",IF(MOD((YEAR(EDATE(DATE(YEAR(TODAY()),MONTH(TODAY()),1),0))-YEAR(IF(ISNUMBER(Suppliers!F30),Suppliers!F30,DATE(YEAR(TODAY()),MONTH(TODAY()),1))))*12+MONTH(EDATE(DATE(YEAR(TODAY()),MONTH(TODAY()),1),0))-MONTH(IF(ISNUMBER(Suppliers!F30),Suppliers!F30,DATE(YEAR(TODAY()),MONTH(TODAY()),1))),6)=0,1,0),IF(Suppliers!E30="Annual",IF(MOD((YEAR(EDATE(DATE(YEAR(TODAY()),MONTH(TODAY()),1),0))-YEAR(IF(ISNUMBER(Suppliers!F30),Suppliers!F30,DATE(YEAR(TODAY()),MONTH(TODAY()),1))))*12+MONTH(EDATE(DATE(YEAR(TODAY()),MONTH(TODAY()),1),0))-MONTH(IF(ISNUMBER(Suppliers!F30),Suppliers!F30,DATE(YEAR(TODAY()),MONTH(TODAY()),1))),12)=0,1,0),IF(Suppliers!E30="One-time",IF(0=0,1,0),1)))))),"")</f>
        <v/>
      </c>
      <c r="G32" s="10" t="str">
        <f ca="1">IFERROR(IF(OR(1&gt;=$B$1,Suppliers!A30="",NOT(ISNUMBER(Suppliers!D30)),Suppliers!L30="Expired",Suppliers!L30="Terminate"),"",Suppliers!D30*-1*IF(Suppliers!E30="Monthly",IF(AND(ISNUMBER(Suppliers!G30),(YEAR(EDATE(DATE(YEAR(TODAY()),MONTH(TODAY()),1),1))*12+MONTH(EDATE(DATE(YEAR(TODAY()),MONTH(TODAY()),1),1)))&gt;(YEAR(Suppliers!G30)*12+MONTH(Suppliers!G30))),"",1),IF(Suppliers!E30="Quarterly",IF(MOD((YEAR(EDATE(DATE(YEAR(TODAY()),MONTH(TODAY()),1),1))-YEAR(IF(ISNUMBER(Suppliers!F30),Suppliers!F30,DATE(YEAR(TODAY()),MONTH(TODAY()),1))))*12+MONTH(EDATE(DATE(YEAR(TODAY()),MONTH(TODAY()),1),1))-MONTH(IF(ISNUMBER(Suppliers!F30),Suppliers!F30,DATE(YEAR(TODAY()),MONTH(TODAY()),1))),3)=0,1,0),IF(Suppliers!E30="Semi-annual",IF(MOD((YEAR(EDATE(DATE(YEAR(TODAY()),MONTH(TODAY()),1),1))-YEAR(IF(ISNUMBER(Suppliers!F30),Suppliers!F30,DATE(YEAR(TODAY()),MONTH(TODAY()),1))))*12+MONTH(EDATE(DATE(YEAR(TODAY()),MONTH(TODAY()),1),1))-MONTH(IF(ISNUMBER(Suppliers!F30),Suppliers!F30,DATE(YEAR(TODAY()),MONTH(TODAY()),1))),6)=0,1,0),IF(Suppliers!E30="Annual",IF(MOD((YEAR(EDATE(DATE(YEAR(TODAY()),MONTH(TODAY()),1),1))-YEAR(IF(ISNUMBER(Suppliers!F30),Suppliers!F30,DATE(YEAR(TODAY()),MONTH(TODAY()),1))))*12+MONTH(EDATE(DATE(YEAR(TODAY()),MONTH(TODAY()),1),1))-MONTH(IF(ISNUMBER(Suppliers!F30),Suppliers!F30,DATE(YEAR(TODAY()),MONTH(TODAY()),1))),12)=0,1,0),IF(Suppliers!E30="One-time",IF(1=0,1,0),1)))))),"")</f>
        <v/>
      </c>
      <c r="H32" s="10" t="str">
        <f ca="1">IFERROR(IF(OR(2&gt;=$B$1,Suppliers!A30="",NOT(ISNUMBER(Suppliers!D30)),Suppliers!L30="Expired",Suppliers!L30="Terminate"),"",Suppliers!D30*-1*IF(Suppliers!E30="Monthly",IF(AND(ISNUMBER(Suppliers!G30),(YEAR(EDATE(DATE(YEAR(TODAY()),MONTH(TODAY()),1),2))*12+MONTH(EDATE(DATE(YEAR(TODAY()),MONTH(TODAY()),1),2)))&gt;(YEAR(Suppliers!G30)*12+MONTH(Suppliers!G30))),"",1),IF(Suppliers!E30="Quarterly",IF(MOD((YEAR(EDATE(DATE(YEAR(TODAY()),MONTH(TODAY()),1),2))-YEAR(IF(ISNUMBER(Suppliers!F30),Suppliers!F30,DATE(YEAR(TODAY()),MONTH(TODAY()),1))))*12+MONTH(EDATE(DATE(YEAR(TODAY()),MONTH(TODAY()),1),2))-MONTH(IF(ISNUMBER(Suppliers!F30),Suppliers!F30,DATE(YEAR(TODAY()),MONTH(TODAY()),1))),3)=0,1,0),IF(Suppliers!E30="Semi-annual",IF(MOD((YEAR(EDATE(DATE(YEAR(TODAY()),MONTH(TODAY()),1),2))-YEAR(IF(ISNUMBER(Suppliers!F30),Suppliers!F30,DATE(YEAR(TODAY()),MONTH(TODAY()),1))))*12+MONTH(EDATE(DATE(YEAR(TODAY()),MONTH(TODAY()),1),2))-MONTH(IF(ISNUMBER(Suppliers!F30),Suppliers!F30,DATE(YEAR(TODAY()),MONTH(TODAY()),1))),6)=0,1,0),IF(Suppliers!E30="Annual",IF(MOD((YEAR(EDATE(DATE(YEAR(TODAY()),MONTH(TODAY()),1),2))-YEAR(IF(ISNUMBER(Suppliers!F30),Suppliers!F30,DATE(YEAR(TODAY()),MONTH(TODAY()),1))))*12+MONTH(EDATE(DATE(YEAR(TODAY()),MONTH(TODAY()),1),2))-MONTH(IF(ISNUMBER(Suppliers!F30),Suppliers!F30,DATE(YEAR(TODAY()),MONTH(TODAY()),1))),12)=0,1,0),IF(Suppliers!E30="One-time",IF(2=0,1,0),1)))))),"")</f>
        <v/>
      </c>
      <c r="I32" s="10" t="str">
        <f ca="1">IFERROR(IF(OR(3&gt;=$B$1,Suppliers!A30="",NOT(ISNUMBER(Suppliers!D30)),Suppliers!L30="Expired",Suppliers!L30="Terminate"),"",Suppliers!D30*-1*IF(Suppliers!E30="Monthly",IF(AND(ISNUMBER(Suppliers!G30),(YEAR(EDATE(DATE(YEAR(TODAY()),MONTH(TODAY()),1),3))*12+MONTH(EDATE(DATE(YEAR(TODAY()),MONTH(TODAY()),1),3)))&gt;(YEAR(Suppliers!G30)*12+MONTH(Suppliers!G30))),"",1),IF(Suppliers!E30="Quarterly",IF(MOD((YEAR(EDATE(DATE(YEAR(TODAY()),MONTH(TODAY()),1),3))-YEAR(IF(ISNUMBER(Suppliers!F30),Suppliers!F30,DATE(YEAR(TODAY()),MONTH(TODAY()),1))))*12+MONTH(EDATE(DATE(YEAR(TODAY()),MONTH(TODAY()),1),3))-MONTH(IF(ISNUMBER(Suppliers!F30),Suppliers!F30,DATE(YEAR(TODAY()),MONTH(TODAY()),1))),3)=0,1,0),IF(Suppliers!E30="Semi-annual",IF(MOD((YEAR(EDATE(DATE(YEAR(TODAY()),MONTH(TODAY()),1),3))-YEAR(IF(ISNUMBER(Suppliers!F30),Suppliers!F30,DATE(YEAR(TODAY()),MONTH(TODAY()),1))))*12+MONTH(EDATE(DATE(YEAR(TODAY()),MONTH(TODAY()),1),3))-MONTH(IF(ISNUMBER(Suppliers!F30),Suppliers!F30,DATE(YEAR(TODAY()),MONTH(TODAY()),1))),6)=0,1,0),IF(Suppliers!E30="Annual",IF(MOD((YEAR(EDATE(DATE(YEAR(TODAY()),MONTH(TODAY()),1),3))-YEAR(IF(ISNUMBER(Suppliers!F30),Suppliers!F30,DATE(YEAR(TODAY()),MONTH(TODAY()),1))))*12+MONTH(EDATE(DATE(YEAR(TODAY()),MONTH(TODAY()),1),3))-MONTH(IF(ISNUMBER(Suppliers!F30),Suppliers!F30,DATE(YEAR(TODAY()),MONTH(TODAY()),1))),12)=0,1,0),IF(Suppliers!E30="One-time",IF(3=0,1,0),1)))))),"")</f>
        <v/>
      </c>
      <c r="J32" s="10" t="str">
        <f ca="1">IFERROR(IF(OR(4&gt;=$B$1,Suppliers!A30="",NOT(ISNUMBER(Suppliers!D30)),Suppliers!L30="Expired",Suppliers!L30="Terminate"),"",Suppliers!D30*-1*IF(Suppliers!E30="Monthly",IF(AND(ISNUMBER(Suppliers!G30),(YEAR(EDATE(DATE(YEAR(TODAY()),MONTH(TODAY()),1),4))*12+MONTH(EDATE(DATE(YEAR(TODAY()),MONTH(TODAY()),1),4)))&gt;(YEAR(Suppliers!G30)*12+MONTH(Suppliers!G30))),"",1),IF(Suppliers!E30="Quarterly",IF(MOD((YEAR(EDATE(DATE(YEAR(TODAY()),MONTH(TODAY()),1),4))-YEAR(IF(ISNUMBER(Suppliers!F30),Suppliers!F30,DATE(YEAR(TODAY()),MONTH(TODAY()),1))))*12+MONTH(EDATE(DATE(YEAR(TODAY()),MONTH(TODAY()),1),4))-MONTH(IF(ISNUMBER(Suppliers!F30),Suppliers!F30,DATE(YEAR(TODAY()),MONTH(TODAY()),1))),3)=0,1,0),IF(Suppliers!E30="Semi-annual",IF(MOD((YEAR(EDATE(DATE(YEAR(TODAY()),MONTH(TODAY()),1),4))-YEAR(IF(ISNUMBER(Suppliers!F30),Suppliers!F30,DATE(YEAR(TODAY()),MONTH(TODAY()),1))))*12+MONTH(EDATE(DATE(YEAR(TODAY()),MONTH(TODAY()),1),4))-MONTH(IF(ISNUMBER(Suppliers!F30),Suppliers!F30,DATE(YEAR(TODAY()),MONTH(TODAY()),1))),6)=0,1,0),IF(Suppliers!E30="Annual",IF(MOD((YEAR(EDATE(DATE(YEAR(TODAY()),MONTH(TODAY()),1),4))-YEAR(IF(ISNUMBER(Suppliers!F30),Suppliers!F30,DATE(YEAR(TODAY()),MONTH(TODAY()),1))))*12+MONTH(EDATE(DATE(YEAR(TODAY()),MONTH(TODAY()),1),4))-MONTH(IF(ISNUMBER(Suppliers!F30),Suppliers!F30,DATE(YEAR(TODAY()),MONTH(TODAY()),1))),12)=0,1,0),IF(Suppliers!E30="One-time",IF(4=0,1,0),1)))))),"")</f>
        <v/>
      </c>
      <c r="K32" s="10" t="str">
        <f ca="1">IFERROR(IF(OR(5&gt;=$B$1,Suppliers!A30="",NOT(ISNUMBER(Suppliers!D30)),Suppliers!L30="Expired",Suppliers!L30="Terminate"),"",Suppliers!D30*-1*IF(Suppliers!E30="Monthly",IF(AND(ISNUMBER(Suppliers!G30),(YEAR(EDATE(DATE(YEAR(TODAY()),MONTH(TODAY()),1),5))*12+MONTH(EDATE(DATE(YEAR(TODAY()),MONTH(TODAY()),1),5)))&gt;(YEAR(Suppliers!G30)*12+MONTH(Suppliers!G30))),"",1),IF(Suppliers!E30="Quarterly",IF(MOD((YEAR(EDATE(DATE(YEAR(TODAY()),MONTH(TODAY()),1),5))-YEAR(IF(ISNUMBER(Suppliers!F30),Suppliers!F30,DATE(YEAR(TODAY()),MONTH(TODAY()),1))))*12+MONTH(EDATE(DATE(YEAR(TODAY()),MONTH(TODAY()),1),5))-MONTH(IF(ISNUMBER(Suppliers!F30),Suppliers!F30,DATE(YEAR(TODAY()),MONTH(TODAY()),1))),3)=0,1,0),IF(Suppliers!E30="Semi-annual",IF(MOD((YEAR(EDATE(DATE(YEAR(TODAY()),MONTH(TODAY()),1),5))-YEAR(IF(ISNUMBER(Suppliers!F30),Suppliers!F30,DATE(YEAR(TODAY()),MONTH(TODAY()),1))))*12+MONTH(EDATE(DATE(YEAR(TODAY()),MONTH(TODAY()),1),5))-MONTH(IF(ISNUMBER(Suppliers!F30),Suppliers!F30,DATE(YEAR(TODAY()),MONTH(TODAY()),1))),6)=0,1,0),IF(Suppliers!E30="Annual",IF(MOD((YEAR(EDATE(DATE(YEAR(TODAY()),MONTH(TODAY()),1),5))-YEAR(IF(ISNUMBER(Suppliers!F30),Suppliers!F30,DATE(YEAR(TODAY()),MONTH(TODAY()),1))))*12+MONTH(EDATE(DATE(YEAR(TODAY()),MONTH(TODAY()),1),5))-MONTH(IF(ISNUMBER(Suppliers!F30),Suppliers!F30,DATE(YEAR(TODAY()),MONTH(TODAY()),1))),12)=0,1,0),IF(Suppliers!E30="One-time",IF(5=0,1,0),1)))))),"")</f>
        <v/>
      </c>
      <c r="L32" s="10" t="str">
        <f ca="1">IFERROR(IF(OR(6&gt;=$B$1,Suppliers!A30="",NOT(ISNUMBER(Suppliers!D30)),Suppliers!L30="Expired",Suppliers!L30="Terminate"),"",Suppliers!D30*-1*IF(Suppliers!E30="Monthly",IF(AND(ISNUMBER(Suppliers!G30),(YEAR(EDATE(DATE(YEAR(TODAY()),MONTH(TODAY()),1),6))*12+MONTH(EDATE(DATE(YEAR(TODAY()),MONTH(TODAY()),1),6)))&gt;(YEAR(Suppliers!G30)*12+MONTH(Suppliers!G30))),"",1),IF(Suppliers!E30="Quarterly",IF(MOD((YEAR(EDATE(DATE(YEAR(TODAY()),MONTH(TODAY()),1),6))-YEAR(IF(ISNUMBER(Suppliers!F30),Suppliers!F30,DATE(YEAR(TODAY()),MONTH(TODAY()),1))))*12+MONTH(EDATE(DATE(YEAR(TODAY()),MONTH(TODAY()),1),6))-MONTH(IF(ISNUMBER(Suppliers!F30),Suppliers!F30,DATE(YEAR(TODAY()),MONTH(TODAY()),1))),3)=0,1,0),IF(Suppliers!E30="Semi-annual",IF(MOD((YEAR(EDATE(DATE(YEAR(TODAY()),MONTH(TODAY()),1),6))-YEAR(IF(ISNUMBER(Suppliers!F30),Suppliers!F30,DATE(YEAR(TODAY()),MONTH(TODAY()),1))))*12+MONTH(EDATE(DATE(YEAR(TODAY()),MONTH(TODAY()),1),6))-MONTH(IF(ISNUMBER(Suppliers!F30),Suppliers!F30,DATE(YEAR(TODAY()),MONTH(TODAY()),1))),6)=0,1,0),IF(Suppliers!E30="Annual",IF(MOD((YEAR(EDATE(DATE(YEAR(TODAY()),MONTH(TODAY()),1),6))-YEAR(IF(ISNUMBER(Suppliers!F30),Suppliers!F30,DATE(YEAR(TODAY()),MONTH(TODAY()),1))))*12+MONTH(EDATE(DATE(YEAR(TODAY()),MONTH(TODAY()),1),6))-MONTH(IF(ISNUMBER(Suppliers!F30),Suppliers!F30,DATE(YEAR(TODAY()),MONTH(TODAY()),1))),12)=0,1,0),IF(Suppliers!E30="One-time",IF(6=0,1,0),1)))))),"")</f>
        <v/>
      </c>
      <c r="M32" s="10" t="str">
        <f ca="1">IFERROR(IF(OR(7&gt;=$B$1,Suppliers!A30="",NOT(ISNUMBER(Suppliers!D30)),Suppliers!L30="Expired",Suppliers!L30="Terminate"),"",Suppliers!D30*-1*IF(Suppliers!E30="Monthly",IF(AND(ISNUMBER(Suppliers!G30),(YEAR(EDATE(DATE(YEAR(TODAY()),MONTH(TODAY()),1),7))*12+MONTH(EDATE(DATE(YEAR(TODAY()),MONTH(TODAY()),1),7)))&gt;(YEAR(Suppliers!G30)*12+MONTH(Suppliers!G30))),"",1),IF(Suppliers!E30="Quarterly",IF(MOD((YEAR(EDATE(DATE(YEAR(TODAY()),MONTH(TODAY()),1),7))-YEAR(IF(ISNUMBER(Suppliers!F30),Suppliers!F30,DATE(YEAR(TODAY()),MONTH(TODAY()),1))))*12+MONTH(EDATE(DATE(YEAR(TODAY()),MONTH(TODAY()),1),7))-MONTH(IF(ISNUMBER(Suppliers!F30),Suppliers!F30,DATE(YEAR(TODAY()),MONTH(TODAY()),1))),3)=0,1,0),IF(Suppliers!E30="Semi-annual",IF(MOD((YEAR(EDATE(DATE(YEAR(TODAY()),MONTH(TODAY()),1),7))-YEAR(IF(ISNUMBER(Suppliers!F30),Suppliers!F30,DATE(YEAR(TODAY()),MONTH(TODAY()),1))))*12+MONTH(EDATE(DATE(YEAR(TODAY()),MONTH(TODAY()),1),7))-MONTH(IF(ISNUMBER(Suppliers!F30),Suppliers!F30,DATE(YEAR(TODAY()),MONTH(TODAY()),1))),6)=0,1,0),IF(Suppliers!E30="Annual",IF(MOD((YEAR(EDATE(DATE(YEAR(TODAY()),MONTH(TODAY()),1),7))-YEAR(IF(ISNUMBER(Suppliers!F30),Suppliers!F30,DATE(YEAR(TODAY()),MONTH(TODAY()),1))))*12+MONTH(EDATE(DATE(YEAR(TODAY()),MONTH(TODAY()),1),7))-MONTH(IF(ISNUMBER(Suppliers!F30),Suppliers!F30,DATE(YEAR(TODAY()),MONTH(TODAY()),1))),12)=0,1,0),IF(Suppliers!E30="One-time",IF(7=0,1,0),1)))))),"")</f>
        <v/>
      </c>
      <c r="N32" s="10" t="str">
        <f ca="1">IFERROR(IF(OR(8&gt;=$B$1,Suppliers!A30="",NOT(ISNUMBER(Suppliers!D30)),Suppliers!L30="Expired",Suppliers!L30="Terminate"),"",Suppliers!D30*-1*IF(Suppliers!E30="Monthly",IF(AND(ISNUMBER(Suppliers!G30),(YEAR(EDATE(DATE(YEAR(TODAY()),MONTH(TODAY()),1),8))*12+MONTH(EDATE(DATE(YEAR(TODAY()),MONTH(TODAY()),1),8)))&gt;(YEAR(Suppliers!G30)*12+MONTH(Suppliers!G30))),"",1),IF(Suppliers!E30="Quarterly",IF(MOD((YEAR(EDATE(DATE(YEAR(TODAY()),MONTH(TODAY()),1),8))-YEAR(IF(ISNUMBER(Suppliers!F30),Suppliers!F30,DATE(YEAR(TODAY()),MONTH(TODAY()),1))))*12+MONTH(EDATE(DATE(YEAR(TODAY()),MONTH(TODAY()),1),8))-MONTH(IF(ISNUMBER(Suppliers!F30),Suppliers!F30,DATE(YEAR(TODAY()),MONTH(TODAY()),1))),3)=0,1,0),IF(Suppliers!E30="Semi-annual",IF(MOD((YEAR(EDATE(DATE(YEAR(TODAY()),MONTH(TODAY()),1),8))-YEAR(IF(ISNUMBER(Suppliers!F30),Suppliers!F30,DATE(YEAR(TODAY()),MONTH(TODAY()),1))))*12+MONTH(EDATE(DATE(YEAR(TODAY()),MONTH(TODAY()),1),8))-MONTH(IF(ISNUMBER(Suppliers!F30),Suppliers!F30,DATE(YEAR(TODAY()),MONTH(TODAY()),1))),6)=0,1,0),IF(Suppliers!E30="Annual",IF(MOD((YEAR(EDATE(DATE(YEAR(TODAY()),MONTH(TODAY()),1),8))-YEAR(IF(ISNUMBER(Suppliers!F30),Suppliers!F30,DATE(YEAR(TODAY()),MONTH(TODAY()),1))))*12+MONTH(EDATE(DATE(YEAR(TODAY()),MONTH(TODAY()),1),8))-MONTH(IF(ISNUMBER(Suppliers!F30),Suppliers!F30,DATE(YEAR(TODAY()),MONTH(TODAY()),1))),12)=0,1,0),IF(Suppliers!E30="One-time",IF(8=0,1,0),1)))))),"")</f>
        <v/>
      </c>
      <c r="O32" s="10" t="str">
        <f ca="1">IFERROR(IF(OR(9&gt;=$B$1,Suppliers!A30="",NOT(ISNUMBER(Suppliers!D30)),Suppliers!L30="Expired",Suppliers!L30="Terminate"),"",Suppliers!D30*-1*IF(Suppliers!E30="Monthly",IF(AND(ISNUMBER(Suppliers!G30),(YEAR(EDATE(DATE(YEAR(TODAY()),MONTH(TODAY()),1),9))*12+MONTH(EDATE(DATE(YEAR(TODAY()),MONTH(TODAY()),1),9)))&gt;(YEAR(Suppliers!G30)*12+MONTH(Suppliers!G30))),"",1),IF(Suppliers!E30="Quarterly",IF(MOD((YEAR(EDATE(DATE(YEAR(TODAY()),MONTH(TODAY()),1),9))-YEAR(IF(ISNUMBER(Suppliers!F30),Suppliers!F30,DATE(YEAR(TODAY()),MONTH(TODAY()),1))))*12+MONTH(EDATE(DATE(YEAR(TODAY()),MONTH(TODAY()),1),9))-MONTH(IF(ISNUMBER(Suppliers!F30),Suppliers!F30,DATE(YEAR(TODAY()),MONTH(TODAY()),1))),3)=0,1,0),IF(Suppliers!E30="Semi-annual",IF(MOD((YEAR(EDATE(DATE(YEAR(TODAY()),MONTH(TODAY()),1),9))-YEAR(IF(ISNUMBER(Suppliers!F30),Suppliers!F30,DATE(YEAR(TODAY()),MONTH(TODAY()),1))))*12+MONTH(EDATE(DATE(YEAR(TODAY()),MONTH(TODAY()),1),9))-MONTH(IF(ISNUMBER(Suppliers!F30),Suppliers!F30,DATE(YEAR(TODAY()),MONTH(TODAY()),1))),6)=0,1,0),IF(Suppliers!E30="Annual",IF(MOD((YEAR(EDATE(DATE(YEAR(TODAY()),MONTH(TODAY()),1),9))-YEAR(IF(ISNUMBER(Suppliers!F30),Suppliers!F30,DATE(YEAR(TODAY()),MONTH(TODAY()),1))))*12+MONTH(EDATE(DATE(YEAR(TODAY()),MONTH(TODAY()),1),9))-MONTH(IF(ISNUMBER(Suppliers!F30),Suppliers!F30,DATE(YEAR(TODAY()),MONTH(TODAY()),1))),12)=0,1,0),IF(Suppliers!E30="One-time",IF(9=0,1,0),1)))))),"")</f>
        <v/>
      </c>
      <c r="P32" s="10" t="str">
        <f ca="1">IFERROR(IF(OR(10&gt;=$B$1,Suppliers!A30="",NOT(ISNUMBER(Suppliers!D30)),Suppliers!L30="Expired",Suppliers!L30="Terminate"),"",Suppliers!D30*-1*IF(Suppliers!E30="Monthly",IF(AND(ISNUMBER(Suppliers!G30),(YEAR(EDATE(DATE(YEAR(TODAY()),MONTH(TODAY()),1),10))*12+MONTH(EDATE(DATE(YEAR(TODAY()),MONTH(TODAY()),1),10)))&gt;(YEAR(Suppliers!G30)*12+MONTH(Suppliers!G30))),"",1),IF(Suppliers!E30="Quarterly",IF(MOD((YEAR(EDATE(DATE(YEAR(TODAY()),MONTH(TODAY()),1),10))-YEAR(IF(ISNUMBER(Suppliers!F30),Suppliers!F30,DATE(YEAR(TODAY()),MONTH(TODAY()),1))))*12+MONTH(EDATE(DATE(YEAR(TODAY()),MONTH(TODAY()),1),10))-MONTH(IF(ISNUMBER(Suppliers!F30),Suppliers!F30,DATE(YEAR(TODAY()),MONTH(TODAY()),1))),3)=0,1,0),IF(Suppliers!E30="Semi-annual",IF(MOD((YEAR(EDATE(DATE(YEAR(TODAY()),MONTH(TODAY()),1),10))-YEAR(IF(ISNUMBER(Suppliers!F30),Suppliers!F30,DATE(YEAR(TODAY()),MONTH(TODAY()),1))))*12+MONTH(EDATE(DATE(YEAR(TODAY()),MONTH(TODAY()),1),10))-MONTH(IF(ISNUMBER(Suppliers!F30),Suppliers!F30,DATE(YEAR(TODAY()),MONTH(TODAY()),1))),6)=0,1,0),IF(Suppliers!E30="Annual",IF(MOD((YEAR(EDATE(DATE(YEAR(TODAY()),MONTH(TODAY()),1),10))-YEAR(IF(ISNUMBER(Suppliers!F30),Suppliers!F30,DATE(YEAR(TODAY()),MONTH(TODAY()),1))))*12+MONTH(EDATE(DATE(YEAR(TODAY()),MONTH(TODAY()),1),10))-MONTH(IF(ISNUMBER(Suppliers!F30),Suppliers!F30,DATE(YEAR(TODAY()),MONTH(TODAY()),1))),12)=0,1,0),IF(Suppliers!E30="One-time",IF(10=0,1,0),1)))))),"")</f>
        <v/>
      </c>
      <c r="Q32" s="10" t="str">
        <f ca="1">IFERROR(IF(OR(11&gt;=$B$1,Suppliers!A30="",NOT(ISNUMBER(Suppliers!D30)),Suppliers!L30="Expired",Suppliers!L30="Terminate"),"",Suppliers!D30*-1*IF(Suppliers!E30="Monthly",IF(AND(ISNUMBER(Suppliers!G30),(YEAR(EDATE(DATE(YEAR(TODAY()),MONTH(TODAY()),1),11))*12+MONTH(EDATE(DATE(YEAR(TODAY()),MONTH(TODAY()),1),11)))&gt;(YEAR(Suppliers!G30)*12+MONTH(Suppliers!G30))),"",1),IF(Suppliers!E30="Quarterly",IF(MOD((YEAR(EDATE(DATE(YEAR(TODAY()),MONTH(TODAY()),1),11))-YEAR(IF(ISNUMBER(Suppliers!F30),Suppliers!F30,DATE(YEAR(TODAY()),MONTH(TODAY()),1))))*12+MONTH(EDATE(DATE(YEAR(TODAY()),MONTH(TODAY()),1),11))-MONTH(IF(ISNUMBER(Suppliers!F30),Suppliers!F30,DATE(YEAR(TODAY()),MONTH(TODAY()),1))),3)=0,1,0),IF(Suppliers!E30="Semi-annual",IF(MOD((YEAR(EDATE(DATE(YEAR(TODAY()),MONTH(TODAY()),1),11))-YEAR(IF(ISNUMBER(Suppliers!F30),Suppliers!F30,DATE(YEAR(TODAY()),MONTH(TODAY()),1))))*12+MONTH(EDATE(DATE(YEAR(TODAY()),MONTH(TODAY()),1),11))-MONTH(IF(ISNUMBER(Suppliers!F30),Suppliers!F30,DATE(YEAR(TODAY()),MONTH(TODAY()),1))),6)=0,1,0),IF(Suppliers!E30="Annual",IF(MOD((YEAR(EDATE(DATE(YEAR(TODAY()),MONTH(TODAY()),1),11))-YEAR(IF(ISNUMBER(Suppliers!F30),Suppliers!F30,DATE(YEAR(TODAY()),MONTH(TODAY()),1))))*12+MONTH(EDATE(DATE(YEAR(TODAY()),MONTH(TODAY()),1),11))-MONTH(IF(ISNUMBER(Suppliers!F30),Suppliers!F30,DATE(YEAR(TODAY()),MONTH(TODAY()),1))),12)=0,1,0),IF(Suppliers!E30="One-time",IF(11=0,1,0),1)))))),"")</f>
        <v/>
      </c>
      <c r="R32" s="10" t="str">
        <f ca="1">IFERROR(IF(OR(12&gt;=$B$1,Suppliers!A30="",NOT(ISNUMBER(Suppliers!D30)),Suppliers!L30="Expired",Suppliers!L30="Terminate"),"",Suppliers!D30*-1*IF(Suppliers!E30="Monthly",IF(AND(ISNUMBER(Suppliers!G30),(YEAR(EDATE(DATE(YEAR(TODAY()),MONTH(TODAY()),1),12))*12+MONTH(EDATE(DATE(YEAR(TODAY()),MONTH(TODAY()),1),12)))&gt;(YEAR(Suppliers!G30)*12+MONTH(Suppliers!G30))),"",1),IF(Suppliers!E30="Quarterly",IF(MOD((YEAR(EDATE(DATE(YEAR(TODAY()),MONTH(TODAY()),1),12))-YEAR(IF(ISNUMBER(Suppliers!F30),Suppliers!F30,DATE(YEAR(TODAY()),MONTH(TODAY()),1))))*12+MONTH(EDATE(DATE(YEAR(TODAY()),MONTH(TODAY()),1),12))-MONTH(IF(ISNUMBER(Suppliers!F30),Suppliers!F30,DATE(YEAR(TODAY()),MONTH(TODAY()),1))),3)=0,1,0),IF(Suppliers!E30="Semi-annual",IF(MOD((YEAR(EDATE(DATE(YEAR(TODAY()),MONTH(TODAY()),1),12))-YEAR(IF(ISNUMBER(Suppliers!F30),Suppliers!F30,DATE(YEAR(TODAY()),MONTH(TODAY()),1))))*12+MONTH(EDATE(DATE(YEAR(TODAY()),MONTH(TODAY()),1),12))-MONTH(IF(ISNUMBER(Suppliers!F30),Suppliers!F30,DATE(YEAR(TODAY()),MONTH(TODAY()),1))),6)=0,1,0),IF(Suppliers!E30="Annual",IF(MOD((YEAR(EDATE(DATE(YEAR(TODAY()),MONTH(TODAY()),1),12))-YEAR(IF(ISNUMBER(Suppliers!F30),Suppliers!F30,DATE(YEAR(TODAY()),MONTH(TODAY()),1))))*12+MONTH(EDATE(DATE(YEAR(TODAY()),MONTH(TODAY()),1),12))-MONTH(IF(ISNUMBER(Suppliers!F30),Suppliers!F30,DATE(YEAR(TODAY()),MONTH(TODAY()),1))),12)=0,1,0),IF(Suppliers!E30="One-time",IF(12=0,1,0),1)))))),"")</f>
        <v/>
      </c>
      <c r="S32" s="10" t="str">
        <f ca="1">IFERROR(IF(OR(13&gt;=$B$1,Suppliers!A30="",NOT(ISNUMBER(Suppliers!D30)),Suppliers!L30="Expired",Suppliers!L30="Terminate"),"",Suppliers!D30*-1*IF(Suppliers!E30="Monthly",IF(AND(ISNUMBER(Suppliers!G30),(YEAR(EDATE(DATE(YEAR(TODAY()),MONTH(TODAY()),1),13))*12+MONTH(EDATE(DATE(YEAR(TODAY()),MONTH(TODAY()),1),13)))&gt;(YEAR(Suppliers!G30)*12+MONTH(Suppliers!G30))),"",1),IF(Suppliers!E30="Quarterly",IF(MOD((YEAR(EDATE(DATE(YEAR(TODAY()),MONTH(TODAY()),1),13))-YEAR(IF(ISNUMBER(Suppliers!F30),Suppliers!F30,DATE(YEAR(TODAY()),MONTH(TODAY()),1))))*12+MONTH(EDATE(DATE(YEAR(TODAY()),MONTH(TODAY()),1),13))-MONTH(IF(ISNUMBER(Suppliers!F30),Suppliers!F30,DATE(YEAR(TODAY()),MONTH(TODAY()),1))),3)=0,1,0),IF(Suppliers!E30="Semi-annual",IF(MOD((YEAR(EDATE(DATE(YEAR(TODAY()),MONTH(TODAY()),1),13))-YEAR(IF(ISNUMBER(Suppliers!F30),Suppliers!F30,DATE(YEAR(TODAY()),MONTH(TODAY()),1))))*12+MONTH(EDATE(DATE(YEAR(TODAY()),MONTH(TODAY()),1),13))-MONTH(IF(ISNUMBER(Suppliers!F30),Suppliers!F30,DATE(YEAR(TODAY()),MONTH(TODAY()),1))),6)=0,1,0),IF(Suppliers!E30="Annual",IF(MOD((YEAR(EDATE(DATE(YEAR(TODAY()),MONTH(TODAY()),1),13))-YEAR(IF(ISNUMBER(Suppliers!F30),Suppliers!F30,DATE(YEAR(TODAY()),MONTH(TODAY()),1))))*12+MONTH(EDATE(DATE(YEAR(TODAY()),MONTH(TODAY()),1),13))-MONTH(IF(ISNUMBER(Suppliers!F30),Suppliers!F30,DATE(YEAR(TODAY()),MONTH(TODAY()),1))),12)=0,1,0),IF(Suppliers!E30="One-time",IF(13=0,1,0),1)))))),"")</f>
        <v/>
      </c>
      <c r="T32" s="10" t="str">
        <f ca="1">IFERROR(IF(OR(14&gt;=$B$1,Suppliers!A30="",NOT(ISNUMBER(Suppliers!D30)),Suppliers!L30="Expired",Suppliers!L30="Terminate"),"",Suppliers!D30*-1*IF(Suppliers!E30="Monthly",IF(AND(ISNUMBER(Suppliers!G30),(YEAR(EDATE(DATE(YEAR(TODAY()),MONTH(TODAY()),1),14))*12+MONTH(EDATE(DATE(YEAR(TODAY()),MONTH(TODAY()),1),14)))&gt;(YEAR(Suppliers!G30)*12+MONTH(Suppliers!G30))),"",1),IF(Suppliers!E30="Quarterly",IF(MOD((YEAR(EDATE(DATE(YEAR(TODAY()),MONTH(TODAY()),1),14))-YEAR(IF(ISNUMBER(Suppliers!F30),Suppliers!F30,DATE(YEAR(TODAY()),MONTH(TODAY()),1))))*12+MONTH(EDATE(DATE(YEAR(TODAY()),MONTH(TODAY()),1),14))-MONTH(IF(ISNUMBER(Suppliers!F30),Suppliers!F30,DATE(YEAR(TODAY()),MONTH(TODAY()),1))),3)=0,1,0),IF(Suppliers!E30="Semi-annual",IF(MOD((YEAR(EDATE(DATE(YEAR(TODAY()),MONTH(TODAY()),1),14))-YEAR(IF(ISNUMBER(Suppliers!F30),Suppliers!F30,DATE(YEAR(TODAY()),MONTH(TODAY()),1))))*12+MONTH(EDATE(DATE(YEAR(TODAY()),MONTH(TODAY()),1),14))-MONTH(IF(ISNUMBER(Suppliers!F30),Suppliers!F30,DATE(YEAR(TODAY()),MONTH(TODAY()),1))),6)=0,1,0),IF(Suppliers!E30="Annual",IF(MOD((YEAR(EDATE(DATE(YEAR(TODAY()),MONTH(TODAY()),1),14))-YEAR(IF(ISNUMBER(Suppliers!F30),Suppliers!F30,DATE(YEAR(TODAY()),MONTH(TODAY()),1))))*12+MONTH(EDATE(DATE(YEAR(TODAY()),MONTH(TODAY()),1),14))-MONTH(IF(ISNUMBER(Suppliers!F30),Suppliers!F30,DATE(YEAR(TODAY()),MONTH(TODAY()),1))),12)=0,1,0),IF(Suppliers!E30="One-time",IF(14=0,1,0),1)))))),"")</f>
        <v/>
      </c>
      <c r="U32" s="10" t="str">
        <f ca="1">IFERROR(IF(OR(15&gt;=$B$1,Suppliers!A30="",NOT(ISNUMBER(Suppliers!D30)),Suppliers!L30="Expired",Suppliers!L30="Terminate"),"",Suppliers!D30*-1*IF(Suppliers!E30="Monthly",IF(AND(ISNUMBER(Suppliers!G30),(YEAR(EDATE(DATE(YEAR(TODAY()),MONTH(TODAY()),1),15))*12+MONTH(EDATE(DATE(YEAR(TODAY()),MONTH(TODAY()),1),15)))&gt;(YEAR(Suppliers!G30)*12+MONTH(Suppliers!G30))),"",1),IF(Suppliers!E30="Quarterly",IF(MOD((YEAR(EDATE(DATE(YEAR(TODAY()),MONTH(TODAY()),1),15))-YEAR(IF(ISNUMBER(Suppliers!F30),Suppliers!F30,DATE(YEAR(TODAY()),MONTH(TODAY()),1))))*12+MONTH(EDATE(DATE(YEAR(TODAY()),MONTH(TODAY()),1),15))-MONTH(IF(ISNUMBER(Suppliers!F30),Suppliers!F30,DATE(YEAR(TODAY()),MONTH(TODAY()),1))),3)=0,1,0),IF(Suppliers!E30="Semi-annual",IF(MOD((YEAR(EDATE(DATE(YEAR(TODAY()),MONTH(TODAY()),1),15))-YEAR(IF(ISNUMBER(Suppliers!F30),Suppliers!F30,DATE(YEAR(TODAY()),MONTH(TODAY()),1))))*12+MONTH(EDATE(DATE(YEAR(TODAY()),MONTH(TODAY()),1),15))-MONTH(IF(ISNUMBER(Suppliers!F30),Suppliers!F30,DATE(YEAR(TODAY()),MONTH(TODAY()),1))),6)=0,1,0),IF(Suppliers!E30="Annual",IF(MOD((YEAR(EDATE(DATE(YEAR(TODAY()),MONTH(TODAY()),1),15))-YEAR(IF(ISNUMBER(Suppliers!F30),Suppliers!F30,DATE(YEAR(TODAY()),MONTH(TODAY()),1))))*12+MONTH(EDATE(DATE(YEAR(TODAY()),MONTH(TODAY()),1),15))-MONTH(IF(ISNUMBER(Suppliers!F30),Suppliers!F30,DATE(YEAR(TODAY()),MONTH(TODAY()),1))),12)=0,1,0),IF(Suppliers!E30="One-time",IF(15=0,1,0),1)))))),"")</f>
        <v/>
      </c>
      <c r="V32" s="10" t="str">
        <f ca="1">IFERROR(IF(OR(16&gt;=$B$1,Suppliers!A30="",NOT(ISNUMBER(Suppliers!D30)),Suppliers!L30="Expired",Suppliers!L30="Terminate"),"",Suppliers!D30*-1*IF(Suppliers!E30="Monthly",IF(AND(ISNUMBER(Suppliers!G30),(YEAR(EDATE(DATE(YEAR(TODAY()),MONTH(TODAY()),1),16))*12+MONTH(EDATE(DATE(YEAR(TODAY()),MONTH(TODAY()),1),16)))&gt;(YEAR(Suppliers!G30)*12+MONTH(Suppliers!G30))),"",1),IF(Suppliers!E30="Quarterly",IF(MOD((YEAR(EDATE(DATE(YEAR(TODAY()),MONTH(TODAY()),1),16))-YEAR(IF(ISNUMBER(Suppliers!F30),Suppliers!F30,DATE(YEAR(TODAY()),MONTH(TODAY()),1))))*12+MONTH(EDATE(DATE(YEAR(TODAY()),MONTH(TODAY()),1),16))-MONTH(IF(ISNUMBER(Suppliers!F30),Suppliers!F30,DATE(YEAR(TODAY()),MONTH(TODAY()),1))),3)=0,1,0),IF(Suppliers!E30="Semi-annual",IF(MOD((YEAR(EDATE(DATE(YEAR(TODAY()),MONTH(TODAY()),1),16))-YEAR(IF(ISNUMBER(Suppliers!F30),Suppliers!F30,DATE(YEAR(TODAY()),MONTH(TODAY()),1))))*12+MONTH(EDATE(DATE(YEAR(TODAY()),MONTH(TODAY()),1),16))-MONTH(IF(ISNUMBER(Suppliers!F30),Suppliers!F30,DATE(YEAR(TODAY()),MONTH(TODAY()),1))),6)=0,1,0),IF(Suppliers!E30="Annual",IF(MOD((YEAR(EDATE(DATE(YEAR(TODAY()),MONTH(TODAY()),1),16))-YEAR(IF(ISNUMBER(Suppliers!F30),Suppliers!F30,DATE(YEAR(TODAY()),MONTH(TODAY()),1))))*12+MONTH(EDATE(DATE(YEAR(TODAY()),MONTH(TODAY()),1),16))-MONTH(IF(ISNUMBER(Suppliers!F30),Suppliers!F30,DATE(YEAR(TODAY()),MONTH(TODAY()),1))),12)=0,1,0),IF(Suppliers!E30="One-time",IF(16=0,1,0),1)))))),"")</f>
        <v/>
      </c>
      <c r="W32" s="10" t="str">
        <f ca="1">IFERROR(IF(OR(17&gt;=$B$1,Suppliers!A30="",NOT(ISNUMBER(Suppliers!D30)),Suppliers!L30="Expired",Suppliers!L30="Terminate"),"",Suppliers!D30*-1*IF(Suppliers!E30="Monthly",IF(AND(ISNUMBER(Suppliers!G30),(YEAR(EDATE(DATE(YEAR(TODAY()),MONTH(TODAY()),1),17))*12+MONTH(EDATE(DATE(YEAR(TODAY()),MONTH(TODAY()),1),17)))&gt;(YEAR(Suppliers!G30)*12+MONTH(Suppliers!G30))),"",1),IF(Suppliers!E30="Quarterly",IF(MOD((YEAR(EDATE(DATE(YEAR(TODAY()),MONTH(TODAY()),1),17))-YEAR(IF(ISNUMBER(Suppliers!F30),Suppliers!F30,DATE(YEAR(TODAY()),MONTH(TODAY()),1))))*12+MONTH(EDATE(DATE(YEAR(TODAY()),MONTH(TODAY()),1),17))-MONTH(IF(ISNUMBER(Suppliers!F30),Suppliers!F30,DATE(YEAR(TODAY()),MONTH(TODAY()),1))),3)=0,1,0),IF(Suppliers!E30="Semi-annual",IF(MOD((YEAR(EDATE(DATE(YEAR(TODAY()),MONTH(TODAY()),1),17))-YEAR(IF(ISNUMBER(Suppliers!F30),Suppliers!F30,DATE(YEAR(TODAY()),MONTH(TODAY()),1))))*12+MONTH(EDATE(DATE(YEAR(TODAY()),MONTH(TODAY()),1),17))-MONTH(IF(ISNUMBER(Suppliers!F30),Suppliers!F30,DATE(YEAR(TODAY()),MONTH(TODAY()),1))),6)=0,1,0),IF(Suppliers!E30="Annual",IF(MOD((YEAR(EDATE(DATE(YEAR(TODAY()),MONTH(TODAY()),1),17))-YEAR(IF(ISNUMBER(Suppliers!F30),Suppliers!F30,DATE(YEAR(TODAY()),MONTH(TODAY()),1))))*12+MONTH(EDATE(DATE(YEAR(TODAY()),MONTH(TODAY()),1),17))-MONTH(IF(ISNUMBER(Suppliers!F30),Suppliers!F30,DATE(YEAR(TODAY()),MONTH(TODAY()),1))),12)=0,1,0),IF(Suppliers!E30="One-time",IF(17=0,1,0),1)))))),"")</f>
        <v/>
      </c>
      <c r="X32" s="10" t="str">
        <f ca="1">IFERROR(IF(OR(18&gt;=$B$1,Suppliers!A30="",NOT(ISNUMBER(Suppliers!D30)),Suppliers!L30="Expired",Suppliers!L30="Terminate"),"",Suppliers!D30*-1*IF(Suppliers!E30="Monthly",IF(AND(ISNUMBER(Suppliers!G30),(YEAR(EDATE(DATE(YEAR(TODAY()),MONTH(TODAY()),1),18))*12+MONTH(EDATE(DATE(YEAR(TODAY()),MONTH(TODAY()),1),18)))&gt;(YEAR(Suppliers!G30)*12+MONTH(Suppliers!G30))),"",1),IF(Suppliers!E30="Quarterly",IF(MOD((YEAR(EDATE(DATE(YEAR(TODAY()),MONTH(TODAY()),1),18))-YEAR(IF(ISNUMBER(Suppliers!F30),Suppliers!F30,DATE(YEAR(TODAY()),MONTH(TODAY()),1))))*12+MONTH(EDATE(DATE(YEAR(TODAY()),MONTH(TODAY()),1),18))-MONTH(IF(ISNUMBER(Suppliers!F30),Suppliers!F30,DATE(YEAR(TODAY()),MONTH(TODAY()),1))),3)=0,1,0),IF(Suppliers!E30="Semi-annual",IF(MOD((YEAR(EDATE(DATE(YEAR(TODAY()),MONTH(TODAY()),1),18))-YEAR(IF(ISNUMBER(Suppliers!F30),Suppliers!F30,DATE(YEAR(TODAY()),MONTH(TODAY()),1))))*12+MONTH(EDATE(DATE(YEAR(TODAY()),MONTH(TODAY()),1),18))-MONTH(IF(ISNUMBER(Suppliers!F30),Suppliers!F30,DATE(YEAR(TODAY()),MONTH(TODAY()),1))),6)=0,1,0),IF(Suppliers!E30="Annual",IF(MOD((YEAR(EDATE(DATE(YEAR(TODAY()),MONTH(TODAY()),1),18))-YEAR(IF(ISNUMBER(Suppliers!F30),Suppliers!F30,DATE(YEAR(TODAY()),MONTH(TODAY()),1))))*12+MONTH(EDATE(DATE(YEAR(TODAY()),MONTH(TODAY()),1),18))-MONTH(IF(ISNUMBER(Suppliers!F30),Suppliers!F30,DATE(YEAR(TODAY()),MONTH(TODAY()),1))),12)=0,1,0),IF(Suppliers!E30="One-time",IF(18=0,1,0),1)))))),"")</f>
        <v/>
      </c>
      <c r="Y32" s="10" t="str">
        <f ca="1">IFERROR(IF(OR(19&gt;=$B$1,Suppliers!A30="",NOT(ISNUMBER(Suppliers!D30)),Suppliers!L30="Expired",Suppliers!L30="Terminate"),"",Suppliers!D30*-1*IF(Suppliers!E30="Monthly",IF(AND(ISNUMBER(Suppliers!G30),(YEAR(EDATE(DATE(YEAR(TODAY()),MONTH(TODAY()),1),19))*12+MONTH(EDATE(DATE(YEAR(TODAY()),MONTH(TODAY()),1),19)))&gt;(YEAR(Suppliers!G30)*12+MONTH(Suppliers!G30))),"",1),IF(Suppliers!E30="Quarterly",IF(MOD((YEAR(EDATE(DATE(YEAR(TODAY()),MONTH(TODAY()),1),19))-YEAR(IF(ISNUMBER(Suppliers!F30),Suppliers!F30,DATE(YEAR(TODAY()),MONTH(TODAY()),1))))*12+MONTH(EDATE(DATE(YEAR(TODAY()),MONTH(TODAY()),1),19))-MONTH(IF(ISNUMBER(Suppliers!F30),Suppliers!F30,DATE(YEAR(TODAY()),MONTH(TODAY()),1))),3)=0,1,0),IF(Suppliers!E30="Semi-annual",IF(MOD((YEAR(EDATE(DATE(YEAR(TODAY()),MONTH(TODAY()),1),19))-YEAR(IF(ISNUMBER(Suppliers!F30),Suppliers!F30,DATE(YEAR(TODAY()),MONTH(TODAY()),1))))*12+MONTH(EDATE(DATE(YEAR(TODAY()),MONTH(TODAY()),1),19))-MONTH(IF(ISNUMBER(Suppliers!F30),Suppliers!F30,DATE(YEAR(TODAY()),MONTH(TODAY()),1))),6)=0,1,0),IF(Suppliers!E30="Annual",IF(MOD((YEAR(EDATE(DATE(YEAR(TODAY()),MONTH(TODAY()),1),19))-YEAR(IF(ISNUMBER(Suppliers!F30),Suppliers!F30,DATE(YEAR(TODAY()),MONTH(TODAY()),1))))*12+MONTH(EDATE(DATE(YEAR(TODAY()),MONTH(TODAY()),1),19))-MONTH(IF(ISNUMBER(Suppliers!F30),Suppliers!F30,DATE(YEAR(TODAY()),MONTH(TODAY()),1))),12)=0,1,0),IF(Suppliers!E30="One-time",IF(19=0,1,0),1)))))),"")</f>
        <v/>
      </c>
      <c r="Z32" s="10" t="str">
        <f ca="1">IFERROR(IF(OR(20&gt;=$B$1,Suppliers!A30="",NOT(ISNUMBER(Suppliers!D30)),Suppliers!L30="Expired",Suppliers!L30="Terminate"),"",Suppliers!D30*-1*IF(Suppliers!E30="Monthly",IF(AND(ISNUMBER(Suppliers!G30),(YEAR(EDATE(DATE(YEAR(TODAY()),MONTH(TODAY()),1),20))*12+MONTH(EDATE(DATE(YEAR(TODAY()),MONTH(TODAY()),1),20)))&gt;(YEAR(Suppliers!G30)*12+MONTH(Suppliers!G30))),"",1),IF(Suppliers!E30="Quarterly",IF(MOD((YEAR(EDATE(DATE(YEAR(TODAY()),MONTH(TODAY()),1),20))-YEAR(IF(ISNUMBER(Suppliers!F30),Suppliers!F30,DATE(YEAR(TODAY()),MONTH(TODAY()),1))))*12+MONTH(EDATE(DATE(YEAR(TODAY()),MONTH(TODAY()),1),20))-MONTH(IF(ISNUMBER(Suppliers!F30),Suppliers!F30,DATE(YEAR(TODAY()),MONTH(TODAY()),1))),3)=0,1,0),IF(Suppliers!E30="Semi-annual",IF(MOD((YEAR(EDATE(DATE(YEAR(TODAY()),MONTH(TODAY()),1),20))-YEAR(IF(ISNUMBER(Suppliers!F30),Suppliers!F30,DATE(YEAR(TODAY()),MONTH(TODAY()),1))))*12+MONTH(EDATE(DATE(YEAR(TODAY()),MONTH(TODAY()),1),20))-MONTH(IF(ISNUMBER(Suppliers!F30),Suppliers!F30,DATE(YEAR(TODAY()),MONTH(TODAY()),1))),6)=0,1,0),IF(Suppliers!E30="Annual",IF(MOD((YEAR(EDATE(DATE(YEAR(TODAY()),MONTH(TODAY()),1),20))-YEAR(IF(ISNUMBER(Suppliers!F30),Suppliers!F30,DATE(YEAR(TODAY()),MONTH(TODAY()),1))))*12+MONTH(EDATE(DATE(YEAR(TODAY()),MONTH(TODAY()),1),20))-MONTH(IF(ISNUMBER(Suppliers!F30),Suppliers!F30,DATE(YEAR(TODAY()),MONTH(TODAY()),1))),12)=0,1,0),IF(Suppliers!E30="One-time",IF(20=0,1,0),1)))))),"")</f>
        <v/>
      </c>
      <c r="AA32" s="10" t="str">
        <f ca="1">IFERROR(IF(OR(21&gt;=$B$1,Suppliers!A30="",NOT(ISNUMBER(Suppliers!D30)),Suppliers!L30="Expired",Suppliers!L30="Terminate"),"",Suppliers!D30*-1*IF(Suppliers!E30="Monthly",IF(AND(ISNUMBER(Suppliers!G30),(YEAR(EDATE(DATE(YEAR(TODAY()),MONTH(TODAY()),1),21))*12+MONTH(EDATE(DATE(YEAR(TODAY()),MONTH(TODAY()),1),21)))&gt;(YEAR(Suppliers!G30)*12+MONTH(Suppliers!G30))),"",1),IF(Suppliers!E30="Quarterly",IF(MOD((YEAR(EDATE(DATE(YEAR(TODAY()),MONTH(TODAY()),1),21))-YEAR(IF(ISNUMBER(Suppliers!F30),Suppliers!F30,DATE(YEAR(TODAY()),MONTH(TODAY()),1))))*12+MONTH(EDATE(DATE(YEAR(TODAY()),MONTH(TODAY()),1),21))-MONTH(IF(ISNUMBER(Suppliers!F30),Suppliers!F30,DATE(YEAR(TODAY()),MONTH(TODAY()),1))),3)=0,1,0),IF(Suppliers!E30="Semi-annual",IF(MOD((YEAR(EDATE(DATE(YEAR(TODAY()),MONTH(TODAY()),1),21))-YEAR(IF(ISNUMBER(Suppliers!F30),Suppliers!F30,DATE(YEAR(TODAY()),MONTH(TODAY()),1))))*12+MONTH(EDATE(DATE(YEAR(TODAY()),MONTH(TODAY()),1),21))-MONTH(IF(ISNUMBER(Suppliers!F30),Suppliers!F30,DATE(YEAR(TODAY()),MONTH(TODAY()),1))),6)=0,1,0),IF(Suppliers!E30="Annual",IF(MOD((YEAR(EDATE(DATE(YEAR(TODAY()),MONTH(TODAY()),1),21))-YEAR(IF(ISNUMBER(Suppliers!F30),Suppliers!F30,DATE(YEAR(TODAY()),MONTH(TODAY()),1))))*12+MONTH(EDATE(DATE(YEAR(TODAY()),MONTH(TODAY()),1),21))-MONTH(IF(ISNUMBER(Suppliers!F30),Suppliers!F30,DATE(YEAR(TODAY()),MONTH(TODAY()),1))),12)=0,1,0),IF(Suppliers!E30="One-time",IF(21=0,1,0),1)))))),"")</f>
        <v/>
      </c>
      <c r="AB32" s="10" t="str">
        <f ca="1">IFERROR(IF(OR(22&gt;=$B$1,Suppliers!A30="",NOT(ISNUMBER(Suppliers!D30)),Suppliers!L30="Expired",Suppliers!L30="Terminate"),"",Suppliers!D30*-1*IF(Suppliers!E30="Monthly",IF(AND(ISNUMBER(Suppliers!G30),(YEAR(EDATE(DATE(YEAR(TODAY()),MONTH(TODAY()),1),22))*12+MONTH(EDATE(DATE(YEAR(TODAY()),MONTH(TODAY()),1),22)))&gt;(YEAR(Suppliers!G30)*12+MONTH(Suppliers!G30))),"",1),IF(Suppliers!E30="Quarterly",IF(MOD((YEAR(EDATE(DATE(YEAR(TODAY()),MONTH(TODAY()),1),22))-YEAR(IF(ISNUMBER(Suppliers!F30),Suppliers!F30,DATE(YEAR(TODAY()),MONTH(TODAY()),1))))*12+MONTH(EDATE(DATE(YEAR(TODAY()),MONTH(TODAY()),1),22))-MONTH(IF(ISNUMBER(Suppliers!F30),Suppliers!F30,DATE(YEAR(TODAY()),MONTH(TODAY()),1))),3)=0,1,0),IF(Suppliers!E30="Semi-annual",IF(MOD((YEAR(EDATE(DATE(YEAR(TODAY()),MONTH(TODAY()),1),22))-YEAR(IF(ISNUMBER(Suppliers!F30),Suppliers!F30,DATE(YEAR(TODAY()),MONTH(TODAY()),1))))*12+MONTH(EDATE(DATE(YEAR(TODAY()),MONTH(TODAY()),1),22))-MONTH(IF(ISNUMBER(Suppliers!F30),Suppliers!F30,DATE(YEAR(TODAY()),MONTH(TODAY()),1))),6)=0,1,0),IF(Suppliers!E30="Annual",IF(MOD((YEAR(EDATE(DATE(YEAR(TODAY()),MONTH(TODAY()),1),22))-YEAR(IF(ISNUMBER(Suppliers!F30),Suppliers!F30,DATE(YEAR(TODAY()),MONTH(TODAY()),1))))*12+MONTH(EDATE(DATE(YEAR(TODAY()),MONTH(TODAY()),1),22))-MONTH(IF(ISNUMBER(Suppliers!F30),Suppliers!F30,DATE(YEAR(TODAY()),MONTH(TODAY()),1))),12)=0,1,0),IF(Suppliers!E30="One-time",IF(22=0,1,0),1)))))),"")</f>
        <v/>
      </c>
      <c r="AC32" s="10" t="str">
        <f ca="1">IFERROR(IF(OR(23&gt;=$B$1,Suppliers!A30="",NOT(ISNUMBER(Suppliers!D30)),Suppliers!L30="Expired",Suppliers!L30="Terminate"),"",Suppliers!D30*-1*IF(Suppliers!E30="Monthly",IF(AND(ISNUMBER(Suppliers!G30),(YEAR(EDATE(DATE(YEAR(TODAY()),MONTH(TODAY()),1),23))*12+MONTH(EDATE(DATE(YEAR(TODAY()),MONTH(TODAY()),1),23)))&gt;(YEAR(Suppliers!G30)*12+MONTH(Suppliers!G30))),"",1),IF(Suppliers!E30="Quarterly",IF(MOD((YEAR(EDATE(DATE(YEAR(TODAY()),MONTH(TODAY()),1),23))-YEAR(IF(ISNUMBER(Suppliers!F30),Suppliers!F30,DATE(YEAR(TODAY()),MONTH(TODAY()),1))))*12+MONTH(EDATE(DATE(YEAR(TODAY()),MONTH(TODAY()),1),23))-MONTH(IF(ISNUMBER(Suppliers!F30),Suppliers!F30,DATE(YEAR(TODAY()),MONTH(TODAY()),1))),3)=0,1,0),IF(Suppliers!E30="Semi-annual",IF(MOD((YEAR(EDATE(DATE(YEAR(TODAY()),MONTH(TODAY()),1),23))-YEAR(IF(ISNUMBER(Suppliers!F30),Suppliers!F30,DATE(YEAR(TODAY()),MONTH(TODAY()),1))))*12+MONTH(EDATE(DATE(YEAR(TODAY()),MONTH(TODAY()),1),23))-MONTH(IF(ISNUMBER(Suppliers!F30),Suppliers!F30,DATE(YEAR(TODAY()),MONTH(TODAY()),1))),6)=0,1,0),IF(Suppliers!E30="Annual",IF(MOD((YEAR(EDATE(DATE(YEAR(TODAY()),MONTH(TODAY()),1),23))-YEAR(IF(ISNUMBER(Suppliers!F30),Suppliers!F30,DATE(YEAR(TODAY()),MONTH(TODAY()),1))))*12+MONTH(EDATE(DATE(YEAR(TODAY()),MONTH(TODAY()),1),23))-MONTH(IF(ISNUMBER(Suppliers!F30),Suppliers!F30,DATE(YEAR(TODAY()),MONTH(TODAY()),1))),12)=0,1,0),IF(Suppliers!E30="One-time",IF(23=0,1,0),1)))))),"")</f>
        <v/>
      </c>
    </row>
    <row r="33" spans="1:29" ht="15" customHeight="1" x14ac:dyDescent="0.35">
      <c r="A33" s="4" t="s">
        <v>80</v>
      </c>
      <c r="B33" s="4" t="str">
        <f>IF(Suppliers!A31="","",Suppliers!A31)</f>
        <v/>
      </c>
      <c r="C33" s="10" t="str">
        <f>IF(Suppliers!C31="","",Suppliers!C31)</f>
        <v/>
      </c>
      <c r="D33" s="10" t="str">
        <f>IF(Suppliers!D31="","",Suppliers!D31)</f>
        <v/>
      </c>
      <c r="E33" s="4" t="str">
        <f>IF(Suppliers!E31="","",Suppliers!E31)</f>
        <v/>
      </c>
      <c r="F33" s="10" t="str">
        <f ca="1">IFERROR(IF(OR(0&gt;=$B$1,Suppliers!A31="",NOT(ISNUMBER(Suppliers!D31)),Suppliers!L31="Expired",Suppliers!L31="Terminate"),"",Suppliers!D31*-1*IF(Suppliers!E31="Monthly",IF(AND(ISNUMBER(Suppliers!G31),(YEAR(EDATE(DATE(YEAR(TODAY()),MONTH(TODAY()),1),0))*12+MONTH(EDATE(DATE(YEAR(TODAY()),MONTH(TODAY()),1),0)))&gt;(YEAR(Suppliers!G31)*12+MONTH(Suppliers!G31))),"",1),IF(Suppliers!E31="Quarterly",IF(MOD((YEAR(EDATE(DATE(YEAR(TODAY()),MONTH(TODAY()),1),0))-YEAR(IF(ISNUMBER(Suppliers!F31),Suppliers!F31,DATE(YEAR(TODAY()),MONTH(TODAY()),1))))*12+MONTH(EDATE(DATE(YEAR(TODAY()),MONTH(TODAY()),1),0))-MONTH(IF(ISNUMBER(Suppliers!F31),Suppliers!F31,DATE(YEAR(TODAY()),MONTH(TODAY()),1))),3)=0,1,0),IF(Suppliers!E31="Semi-annual",IF(MOD((YEAR(EDATE(DATE(YEAR(TODAY()),MONTH(TODAY()),1),0))-YEAR(IF(ISNUMBER(Suppliers!F31),Suppliers!F31,DATE(YEAR(TODAY()),MONTH(TODAY()),1))))*12+MONTH(EDATE(DATE(YEAR(TODAY()),MONTH(TODAY()),1),0))-MONTH(IF(ISNUMBER(Suppliers!F31),Suppliers!F31,DATE(YEAR(TODAY()),MONTH(TODAY()),1))),6)=0,1,0),IF(Suppliers!E31="Annual",IF(MOD((YEAR(EDATE(DATE(YEAR(TODAY()),MONTH(TODAY()),1),0))-YEAR(IF(ISNUMBER(Suppliers!F31),Suppliers!F31,DATE(YEAR(TODAY()),MONTH(TODAY()),1))))*12+MONTH(EDATE(DATE(YEAR(TODAY()),MONTH(TODAY()),1),0))-MONTH(IF(ISNUMBER(Suppliers!F31),Suppliers!F31,DATE(YEAR(TODAY()),MONTH(TODAY()),1))),12)=0,1,0),IF(Suppliers!E31="One-time",IF(0=0,1,0),1)))))),"")</f>
        <v/>
      </c>
      <c r="G33" s="10" t="str">
        <f ca="1">IFERROR(IF(OR(1&gt;=$B$1,Suppliers!A31="",NOT(ISNUMBER(Suppliers!D31)),Suppliers!L31="Expired",Suppliers!L31="Terminate"),"",Suppliers!D31*-1*IF(Suppliers!E31="Monthly",IF(AND(ISNUMBER(Suppliers!G31),(YEAR(EDATE(DATE(YEAR(TODAY()),MONTH(TODAY()),1),1))*12+MONTH(EDATE(DATE(YEAR(TODAY()),MONTH(TODAY()),1),1)))&gt;(YEAR(Suppliers!G31)*12+MONTH(Suppliers!G31))),"",1),IF(Suppliers!E31="Quarterly",IF(MOD((YEAR(EDATE(DATE(YEAR(TODAY()),MONTH(TODAY()),1),1))-YEAR(IF(ISNUMBER(Suppliers!F31),Suppliers!F31,DATE(YEAR(TODAY()),MONTH(TODAY()),1))))*12+MONTH(EDATE(DATE(YEAR(TODAY()),MONTH(TODAY()),1),1))-MONTH(IF(ISNUMBER(Suppliers!F31),Suppliers!F31,DATE(YEAR(TODAY()),MONTH(TODAY()),1))),3)=0,1,0),IF(Suppliers!E31="Semi-annual",IF(MOD((YEAR(EDATE(DATE(YEAR(TODAY()),MONTH(TODAY()),1),1))-YEAR(IF(ISNUMBER(Suppliers!F31),Suppliers!F31,DATE(YEAR(TODAY()),MONTH(TODAY()),1))))*12+MONTH(EDATE(DATE(YEAR(TODAY()),MONTH(TODAY()),1),1))-MONTH(IF(ISNUMBER(Suppliers!F31),Suppliers!F31,DATE(YEAR(TODAY()),MONTH(TODAY()),1))),6)=0,1,0),IF(Suppliers!E31="Annual",IF(MOD((YEAR(EDATE(DATE(YEAR(TODAY()),MONTH(TODAY()),1),1))-YEAR(IF(ISNUMBER(Suppliers!F31),Suppliers!F31,DATE(YEAR(TODAY()),MONTH(TODAY()),1))))*12+MONTH(EDATE(DATE(YEAR(TODAY()),MONTH(TODAY()),1),1))-MONTH(IF(ISNUMBER(Suppliers!F31),Suppliers!F31,DATE(YEAR(TODAY()),MONTH(TODAY()),1))),12)=0,1,0),IF(Suppliers!E31="One-time",IF(1=0,1,0),1)))))),"")</f>
        <v/>
      </c>
      <c r="H33" s="10" t="str">
        <f ca="1">IFERROR(IF(OR(2&gt;=$B$1,Suppliers!A31="",NOT(ISNUMBER(Suppliers!D31)),Suppliers!L31="Expired",Suppliers!L31="Terminate"),"",Suppliers!D31*-1*IF(Suppliers!E31="Monthly",IF(AND(ISNUMBER(Suppliers!G31),(YEAR(EDATE(DATE(YEAR(TODAY()),MONTH(TODAY()),1),2))*12+MONTH(EDATE(DATE(YEAR(TODAY()),MONTH(TODAY()),1),2)))&gt;(YEAR(Suppliers!G31)*12+MONTH(Suppliers!G31))),"",1),IF(Suppliers!E31="Quarterly",IF(MOD((YEAR(EDATE(DATE(YEAR(TODAY()),MONTH(TODAY()),1),2))-YEAR(IF(ISNUMBER(Suppliers!F31),Suppliers!F31,DATE(YEAR(TODAY()),MONTH(TODAY()),1))))*12+MONTH(EDATE(DATE(YEAR(TODAY()),MONTH(TODAY()),1),2))-MONTH(IF(ISNUMBER(Suppliers!F31),Suppliers!F31,DATE(YEAR(TODAY()),MONTH(TODAY()),1))),3)=0,1,0),IF(Suppliers!E31="Semi-annual",IF(MOD((YEAR(EDATE(DATE(YEAR(TODAY()),MONTH(TODAY()),1),2))-YEAR(IF(ISNUMBER(Suppliers!F31),Suppliers!F31,DATE(YEAR(TODAY()),MONTH(TODAY()),1))))*12+MONTH(EDATE(DATE(YEAR(TODAY()),MONTH(TODAY()),1),2))-MONTH(IF(ISNUMBER(Suppliers!F31),Suppliers!F31,DATE(YEAR(TODAY()),MONTH(TODAY()),1))),6)=0,1,0),IF(Suppliers!E31="Annual",IF(MOD((YEAR(EDATE(DATE(YEAR(TODAY()),MONTH(TODAY()),1),2))-YEAR(IF(ISNUMBER(Suppliers!F31),Suppliers!F31,DATE(YEAR(TODAY()),MONTH(TODAY()),1))))*12+MONTH(EDATE(DATE(YEAR(TODAY()),MONTH(TODAY()),1),2))-MONTH(IF(ISNUMBER(Suppliers!F31),Suppliers!F31,DATE(YEAR(TODAY()),MONTH(TODAY()),1))),12)=0,1,0),IF(Suppliers!E31="One-time",IF(2=0,1,0),1)))))),"")</f>
        <v/>
      </c>
      <c r="I33" s="10" t="str">
        <f ca="1">IFERROR(IF(OR(3&gt;=$B$1,Suppliers!A31="",NOT(ISNUMBER(Suppliers!D31)),Suppliers!L31="Expired",Suppliers!L31="Terminate"),"",Suppliers!D31*-1*IF(Suppliers!E31="Monthly",IF(AND(ISNUMBER(Suppliers!G31),(YEAR(EDATE(DATE(YEAR(TODAY()),MONTH(TODAY()),1),3))*12+MONTH(EDATE(DATE(YEAR(TODAY()),MONTH(TODAY()),1),3)))&gt;(YEAR(Suppliers!G31)*12+MONTH(Suppliers!G31))),"",1),IF(Suppliers!E31="Quarterly",IF(MOD((YEAR(EDATE(DATE(YEAR(TODAY()),MONTH(TODAY()),1),3))-YEAR(IF(ISNUMBER(Suppliers!F31),Suppliers!F31,DATE(YEAR(TODAY()),MONTH(TODAY()),1))))*12+MONTH(EDATE(DATE(YEAR(TODAY()),MONTH(TODAY()),1),3))-MONTH(IF(ISNUMBER(Suppliers!F31),Suppliers!F31,DATE(YEAR(TODAY()),MONTH(TODAY()),1))),3)=0,1,0),IF(Suppliers!E31="Semi-annual",IF(MOD((YEAR(EDATE(DATE(YEAR(TODAY()),MONTH(TODAY()),1),3))-YEAR(IF(ISNUMBER(Suppliers!F31),Suppliers!F31,DATE(YEAR(TODAY()),MONTH(TODAY()),1))))*12+MONTH(EDATE(DATE(YEAR(TODAY()),MONTH(TODAY()),1),3))-MONTH(IF(ISNUMBER(Suppliers!F31),Suppliers!F31,DATE(YEAR(TODAY()),MONTH(TODAY()),1))),6)=0,1,0),IF(Suppliers!E31="Annual",IF(MOD((YEAR(EDATE(DATE(YEAR(TODAY()),MONTH(TODAY()),1),3))-YEAR(IF(ISNUMBER(Suppliers!F31),Suppliers!F31,DATE(YEAR(TODAY()),MONTH(TODAY()),1))))*12+MONTH(EDATE(DATE(YEAR(TODAY()),MONTH(TODAY()),1),3))-MONTH(IF(ISNUMBER(Suppliers!F31),Suppliers!F31,DATE(YEAR(TODAY()),MONTH(TODAY()),1))),12)=0,1,0),IF(Suppliers!E31="One-time",IF(3=0,1,0),1)))))),"")</f>
        <v/>
      </c>
      <c r="J33" s="10" t="str">
        <f ca="1">IFERROR(IF(OR(4&gt;=$B$1,Suppliers!A31="",NOT(ISNUMBER(Suppliers!D31)),Suppliers!L31="Expired",Suppliers!L31="Terminate"),"",Suppliers!D31*-1*IF(Suppliers!E31="Monthly",IF(AND(ISNUMBER(Suppliers!G31),(YEAR(EDATE(DATE(YEAR(TODAY()),MONTH(TODAY()),1),4))*12+MONTH(EDATE(DATE(YEAR(TODAY()),MONTH(TODAY()),1),4)))&gt;(YEAR(Suppliers!G31)*12+MONTH(Suppliers!G31))),"",1),IF(Suppliers!E31="Quarterly",IF(MOD((YEAR(EDATE(DATE(YEAR(TODAY()),MONTH(TODAY()),1),4))-YEAR(IF(ISNUMBER(Suppliers!F31),Suppliers!F31,DATE(YEAR(TODAY()),MONTH(TODAY()),1))))*12+MONTH(EDATE(DATE(YEAR(TODAY()),MONTH(TODAY()),1),4))-MONTH(IF(ISNUMBER(Suppliers!F31),Suppliers!F31,DATE(YEAR(TODAY()),MONTH(TODAY()),1))),3)=0,1,0),IF(Suppliers!E31="Semi-annual",IF(MOD((YEAR(EDATE(DATE(YEAR(TODAY()),MONTH(TODAY()),1),4))-YEAR(IF(ISNUMBER(Suppliers!F31),Suppliers!F31,DATE(YEAR(TODAY()),MONTH(TODAY()),1))))*12+MONTH(EDATE(DATE(YEAR(TODAY()),MONTH(TODAY()),1),4))-MONTH(IF(ISNUMBER(Suppliers!F31),Suppliers!F31,DATE(YEAR(TODAY()),MONTH(TODAY()),1))),6)=0,1,0),IF(Suppliers!E31="Annual",IF(MOD((YEAR(EDATE(DATE(YEAR(TODAY()),MONTH(TODAY()),1),4))-YEAR(IF(ISNUMBER(Suppliers!F31),Suppliers!F31,DATE(YEAR(TODAY()),MONTH(TODAY()),1))))*12+MONTH(EDATE(DATE(YEAR(TODAY()),MONTH(TODAY()),1),4))-MONTH(IF(ISNUMBER(Suppliers!F31),Suppliers!F31,DATE(YEAR(TODAY()),MONTH(TODAY()),1))),12)=0,1,0),IF(Suppliers!E31="One-time",IF(4=0,1,0),1)))))),"")</f>
        <v/>
      </c>
      <c r="K33" s="10" t="str">
        <f ca="1">IFERROR(IF(OR(5&gt;=$B$1,Suppliers!A31="",NOT(ISNUMBER(Suppliers!D31)),Suppliers!L31="Expired",Suppliers!L31="Terminate"),"",Suppliers!D31*-1*IF(Suppliers!E31="Monthly",IF(AND(ISNUMBER(Suppliers!G31),(YEAR(EDATE(DATE(YEAR(TODAY()),MONTH(TODAY()),1),5))*12+MONTH(EDATE(DATE(YEAR(TODAY()),MONTH(TODAY()),1),5)))&gt;(YEAR(Suppliers!G31)*12+MONTH(Suppliers!G31))),"",1),IF(Suppliers!E31="Quarterly",IF(MOD((YEAR(EDATE(DATE(YEAR(TODAY()),MONTH(TODAY()),1),5))-YEAR(IF(ISNUMBER(Suppliers!F31),Suppliers!F31,DATE(YEAR(TODAY()),MONTH(TODAY()),1))))*12+MONTH(EDATE(DATE(YEAR(TODAY()),MONTH(TODAY()),1),5))-MONTH(IF(ISNUMBER(Suppliers!F31),Suppliers!F31,DATE(YEAR(TODAY()),MONTH(TODAY()),1))),3)=0,1,0),IF(Suppliers!E31="Semi-annual",IF(MOD((YEAR(EDATE(DATE(YEAR(TODAY()),MONTH(TODAY()),1),5))-YEAR(IF(ISNUMBER(Suppliers!F31),Suppliers!F31,DATE(YEAR(TODAY()),MONTH(TODAY()),1))))*12+MONTH(EDATE(DATE(YEAR(TODAY()),MONTH(TODAY()),1),5))-MONTH(IF(ISNUMBER(Suppliers!F31),Suppliers!F31,DATE(YEAR(TODAY()),MONTH(TODAY()),1))),6)=0,1,0),IF(Suppliers!E31="Annual",IF(MOD((YEAR(EDATE(DATE(YEAR(TODAY()),MONTH(TODAY()),1),5))-YEAR(IF(ISNUMBER(Suppliers!F31),Suppliers!F31,DATE(YEAR(TODAY()),MONTH(TODAY()),1))))*12+MONTH(EDATE(DATE(YEAR(TODAY()),MONTH(TODAY()),1),5))-MONTH(IF(ISNUMBER(Suppliers!F31),Suppliers!F31,DATE(YEAR(TODAY()),MONTH(TODAY()),1))),12)=0,1,0),IF(Suppliers!E31="One-time",IF(5=0,1,0),1)))))),"")</f>
        <v/>
      </c>
      <c r="L33" s="10" t="str">
        <f ca="1">IFERROR(IF(OR(6&gt;=$B$1,Suppliers!A31="",NOT(ISNUMBER(Suppliers!D31)),Suppliers!L31="Expired",Suppliers!L31="Terminate"),"",Suppliers!D31*-1*IF(Suppliers!E31="Monthly",IF(AND(ISNUMBER(Suppliers!G31),(YEAR(EDATE(DATE(YEAR(TODAY()),MONTH(TODAY()),1),6))*12+MONTH(EDATE(DATE(YEAR(TODAY()),MONTH(TODAY()),1),6)))&gt;(YEAR(Suppliers!G31)*12+MONTH(Suppliers!G31))),"",1),IF(Suppliers!E31="Quarterly",IF(MOD((YEAR(EDATE(DATE(YEAR(TODAY()),MONTH(TODAY()),1),6))-YEAR(IF(ISNUMBER(Suppliers!F31),Suppliers!F31,DATE(YEAR(TODAY()),MONTH(TODAY()),1))))*12+MONTH(EDATE(DATE(YEAR(TODAY()),MONTH(TODAY()),1),6))-MONTH(IF(ISNUMBER(Suppliers!F31),Suppliers!F31,DATE(YEAR(TODAY()),MONTH(TODAY()),1))),3)=0,1,0),IF(Suppliers!E31="Semi-annual",IF(MOD((YEAR(EDATE(DATE(YEAR(TODAY()),MONTH(TODAY()),1),6))-YEAR(IF(ISNUMBER(Suppliers!F31),Suppliers!F31,DATE(YEAR(TODAY()),MONTH(TODAY()),1))))*12+MONTH(EDATE(DATE(YEAR(TODAY()),MONTH(TODAY()),1),6))-MONTH(IF(ISNUMBER(Suppliers!F31),Suppliers!F31,DATE(YEAR(TODAY()),MONTH(TODAY()),1))),6)=0,1,0),IF(Suppliers!E31="Annual",IF(MOD((YEAR(EDATE(DATE(YEAR(TODAY()),MONTH(TODAY()),1),6))-YEAR(IF(ISNUMBER(Suppliers!F31),Suppliers!F31,DATE(YEAR(TODAY()),MONTH(TODAY()),1))))*12+MONTH(EDATE(DATE(YEAR(TODAY()),MONTH(TODAY()),1),6))-MONTH(IF(ISNUMBER(Suppliers!F31),Suppliers!F31,DATE(YEAR(TODAY()),MONTH(TODAY()),1))),12)=0,1,0),IF(Suppliers!E31="One-time",IF(6=0,1,0),1)))))),"")</f>
        <v/>
      </c>
      <c r="M33" s="10" t="str">
        <f ca="1">IFERROR(IF(OR(7&gt;=$B$1,Suppliers!A31="",NOT(ISNUMBER(Suppliers!D31)),Suppliers!L31="Expired",Suppliers!L31="Terminate"),"",Suppliers!D31*-1*IF(Suppliers!E31="Monthly",IF(AND(ISNUMBER(Suppliers!G31),(YEAR(EDATE(DATE(YEAR(TODAY()),MONTH(TODAY()),1),7))*12+MONTH(EDATE(DATE(YEAR(TODAY()),MONTH(TODAY()),1),7)))&gt;(YEAR(Suppliers!G31)*12+MONTH(Suppliers!G31))),"",1),IF(Suppliers!E31="Quarterly",IF(MOD((YEAR(EDATE(DATE(YEAR(TODAY()),MONTH(TODAY()),1),7))-YEAR(IF(ISNUMBER(Suppliers!F31),Suppliers!F31,DATE(YEAR(TODAY()),MONTH(TODAY()),1))))*12+MONTH(EDATE(DATE(YEAR(TODAY()),MONTH(TODAY()),1),7))-MONTH(IF(ISNUMBER(Suppliers!F31),Suppliers!F31,DATE(YEAR(TODAY()),MONTH(TODAY()),1))),3)=0,1,0),IF(Suppliers!E31="Semi-annual",IF(MOD((YEAR(EDATE(DATE(YEAR(TODAY()),MONTH(TODAY()),1),7))-YEAR(IF(ISNUMBER(Suppliers!F31),Suppliers!F31,DATE(YEAR(TODAY()),MONTH(TODAY()),1))))*12+MONTH(EDATE(DATE(YEAR(TODAY()),MONTH(TODAY()),1),7))-MONTH(IF(ISNUMBER(Suppliers!F31),Suppliers!F31,DATE(YEAR(TODAY()),MONTH(TODAY()),1))),6)=0,1,0),IF(Suppliers!E31="Annual",IF(MOD((YEAR(EDATE(DATE(YEAR(TODAY()),MONTH(TODAY()),1),7))-YEAR(IF(ISNUMBER(Suppliers!F31),Suppliers!F31,DATE(YEAR(TODAY()),MONTH(TODAY()),1))))*12+MONTH(EDATE(DATE(YEAR(TODAY()),MONTH(TODAY()),1),7))-MONTH(IF(ISNUMBER(Suppliers!F31),Suppliers!F31,DATE(YEAR(TODAY()),MONTH(TODAY()),1))),12)=0,1,0),IF(Suppliers!E31="One-time",IF(7=0,1,0),1)))))),"")</f>
        <v/>
      </c>
      <c r="N33" s="10" t="str">
        <f ca="1">IFERROR(IF(OR(8&gt;=$B$1,Suppliers!A31="",NOT(ISNUMBER(Suppliers!D31)),Suppliers!L31="Expired",Suppliers!L31="Terminate"),"",Suppliers!D31*-1*IF(Suppliers!E31="Monthly",IF(AND(ISNUMBER(Suppliers!G31),(YEAR(EDATE(DATE(YEAR(TODAY()),MONTH(TODAY()),1),8))*12+MONTH(EDATE(DATE(YEAR(TODAY()),MONTH(TODAY()),1),8)))&gt;(YEAR(Suppliers!G31)*12+MONTH(Suppliers!G31))),"",1),IF(Suppliers!E31="Quarterly",IF(MOD((YEAR(EDATE(DATE(YEAR(TODAY()),MONTH(TODAY()),1),8))-YEAR(IF(ISNUMBER(Suppliers!F31),Suppliers!F31,DATE(YEAR(TODAY()),MONTH(TODAY()),1))))*12+MONTH(EDATE(DATE(YEAR(TODAY()),MONTH(TODAY()),1),8))-MONTH(IF(ISNUMBER(Suppliers!F31),Suppliers!F31,DATE(YEAR(TODAY()),MONTH(TODAY()),1))),3)=0,1,0),IF(Suppliers!E31="Semi-annual",IF(MOD((YEAR(EDATE(DATE(YEAR(TODAY()),MONTH(TODAY()),1),8))-YEAR(IF(ISNUMBER(Suppliers!F31),Suppliers!F31,DATE(YEAR(TODAY()),MONTH(TODAY()),1))))*12+MONTH(EDATE(DATE(YEAR(TODAY()),MONTH(TODAY()),1),8))-MONTH(IF(ISNUMBER(Suppliers!F31),Suppliers!F31,DATE(YEAR(TODAY()),MONTH(TODAY()),1))),6)=0,1,0),IF(Suppliers!E31="Annual",IF(MOD((YEAR(EDATE(DATE(YEAR(TODAY()),MONTH(TODAY()),1),8))-YEAR(IF(ISNUMBER(Suppliers!F31),Suppliers!F31,DATE(YEAR(TODAY()),MONTH(TODAY()),1))))*12+MONTH(EDATE(DATE(YEAR(TODAY()),MONTH(TODAY()),1),8))-MONTH(IF(ISNUMBER(Suppliers!F31),Suppliers!F31,DATE(YEAR(TODAY()),MONTH(TODAY()),1))),12)=0,1,0),IF(Suppliers!E31="One-time",IF(8=0,1,0),1)))))),"")</f>
        <v/>
      </c>
      <c r="O33" s="10" t="str">
        <f ca="1">IFERROR(IF(OR(9&gt;=$B$1,Suppliers!A31="",NOT(ISNUMBER(Suppliers!D31)),Suppliers!L31="Expired",Suppliers!L31="Terminate"),"",Suppliers!D31*-1*IF(Suppliers!E31="Monthly",IF(AND(ISNUMBER(Suppliers!G31),(YEAR(EDATE(DATE(YEAR(TODAY()),MONTH(TODAY()),1),9))*12+MONTH(EDATE(DATE(YEAR(TODAY()),MONTH(TODAY()),1),9)))&gt;(YEAR(Suppliers!G31)*12+MONTH(Suppliers!G31))),"",1),IF(Suppliers!E31="Quarterly",IF(MOD((YEAR(EDATE(DATE(YEAR(TODAY()),MONTH(TODAY()),1),9))-YEAR(IF(ISNUMBER(Suppliers!F31),Suppliers!F31,DATE(YEAR(TODAY()),MONTH(TODAY()),1))))*12+MONTH(EDATE(DATE(YEAR(TODAY()),MONTH(TODAY()),1),9))-MONTH(IF(ISNUMBER(Suppliers!F31),Suppliers!F31,DATE(YEAR(TODAY()),MONTH(TODAY()),1))),3)=0,1,0),IF(Suppliers!E31="Semi-annual",IF(MOD((YEAR(EDATE(DATE(YEAR(TODAY()),MONTH(TODAY()),1),9))-YEAR(IF(ISNUMBER(Suppliers!F31),Suppliers!F31,DATE(YEAR(TODAY()),MONTH(TODAY()),1))))*12+MONTH(EDATE(DATE(YEAR(TODAY()),MONTH(TODAY()),1),9))-MONTH(IF(ISNUMBER(Suppliers!F31),Suppliers!F31,DATE(YEAR(TODAY()),MONTH(TODAY()),1))),6)=0,1,0),IF(Suppliers!E31="Annual",IF(MOD((YEAR(EDATE(DATE(YEAR(TODAY()),MONTH(TODAY()),1),9))-YEAR(IF(ISNUMBER(Suppliers!F31),Suppliers!F31,DATE(YEAR(TODAY()),MONTH(TODAY()),1))))*12+MONTH(EDATE(DATE(YEAR(TODAY()),MONTH(TODAY()),1),9))-MONTH(IF(ISNUMBER(Suppliers!F31),Suppliers!F31,DATE(YEAR(TODAY()),MONTH(TODAY()),1))),12)=0,1,0),IF(Suppliers!E31="One-time",IF(9=0,1,0),1)))))),"")</f>
        <v/>
      </c>
      <c r="P33" s="10" t="str">
        <f ca="1">IFERROR(IF(OR(10&gt;=$B$1,Suppliers!A31="",NOT(ISNUMBER(Suppliers!D31)),Suppliers!L31="Expired",Suppliers!L31="Terminate"),"",Suppliers!D31*-1*IF(Suppliers!E31="Monthly",IF(AND(ISNUMBER(Suppliers!G31),(YEAR(EDATE(DATE(YEAR(TODAY()),MONTH(TODAY()),1),10))*12+MONTH(EDATE(DATE(YEAR(TODAY()),MONTH(TODAY()),1),10)))&gt;(YEAR(Suppliers!G31)*12+MONTH(Suppliers!G31))),"",1),IF(Suppliers!E31="Quarterly",IF(MOD((YEAR(EDATE(DATE(YEAR(TODAY()),MONTH(TODAY()),1),10))-YEAR(IF(ISNUMBER(Suppliers!F31),Suppliers!F31,DATE(YEAR(TODAY()),MONTH(TODAY()),1))))*12+MONTH(EDATE(DATE(YEAR(TODAY()),MONTH(TODAY()),1),10))-MONTH(IF(ISNUMBER(Suppliers!F31),Suppliers!F31,DATE(YEAR(TODAY()),MONTH(TODAY()),1))),3)=0,1,0),IF(Suppliers!E31="Semi-annual",IF(MOD((YEAR(EDATE(DATE(YEAR(TODAY()),MONTH(TODAY()),1),10))-YEAR(IF(ISNUMBER(Suppliers!F31),Suppliers!F31,DATE(YEAR(TODAY()),MONTH(TODAY()),1))))*12+MONTH(EDATE(DATE(YEAR(TODAY()),MONTH(TODAY()),1),10))-MONTH(IF(ISNUMBER(Suppliers!F31),Suppliers!F31,DATE(YEAR(TODAY()),MONTH(TODAY()),1))),6)=0,1,0),IF(Suppliers!E31="Annual",IF(MOD((YEAR(EDATE(DATE(YEAR(TODAY()),MONTH(TODAY()),1),10))-YEAR(IF(ISNUMBER(Suppliers!F31),Suppliers!F31,DATE(YEAR(TODAY()),MONTH(TODAY()),1))))*12+MONTH(EDATE(DATE(YEAR(TODAY()),MONTH(TODAY()),1),10))-MONTH(IF(ISNUMBER(Suppliers!F31),Suppliers!F31,DATE(YEAR(TODAY()),MONTH(TODAY()),1))),12)=0,1,0),IF(Suppliers!E31="One-time",IF(10=0,1,0),1)))))),"")</f>
        <v/>
      </c>
      <c r="Q33" s="10" t="str">
        <f ca="1">IFERROR(IF(OR(11&gt;=$B$1,Suppliers!A31="",NOT(ISNUMBER(Suppliers!D31)),Suppliers!L31="Expired",Suppliers!L31="Terminate"),"",Suppliers!D31*-1*IF(Suppliers!E31="Monthly",IF(AND(ISNUMBER(Suppliers!G31),(YEAR(EDATE(DATE(YEAR(TODAY()),MONTH(TODAY()),1),11))*12+MONTH(EDATE(DATE(YEAR(TODAY()),MONTH(TODAY()),1),11)))&gt;(YEAR(Suppliers!G31)*12+MONTH(Suppliers!G31))),"",1),IF(Suppliers!E31="Quarterly",IF(MOD((YEAR(EDATE(DATE(YEAR(TODAY()),MONTH(TODAY()),1),11))-YEAR(IF(ISNUMBER(Suppliers!F31),Suppliers!F31,DATE(YEAR(TODAY()),MONTH(TODAY()),1))))*12+MONTH(EDATE(DATE(YEAR(TODAY()),MONTH(TODAY()),1),11))-MONTH(IF(ISNUMBER(Suppliers!F31),Suppliers!F31,DATE(YEAR(TODAY()),MONTH(TODAY()),1))),3)=0,1,0),IF(Suppliers!E31="Semi-annual",IF(MOD((YEAR(EDATE(DATE(YEAR(TODAY()),MONTH(TODAY()),1),11))-YEAR(IF(ISNUMBER(Suppliers!F31),Suppliers!F31,DATE(YEAR(TODAY()),MONTH(TODAY()),1))))*12+MONTH(EDATE(DATE(YEAR(TODAY()),MONTH(TODAY()),1),11))-MONTH(IF(ISNUMBER(Suppliers!F31),Suppliers!F31,DATE(YEAR(TODAY()),MONTH(TODAY()),1))),6)=0,1,0),IF(Suppliers!E31="Annual",IF(MOD((YEAR(EDATE(DATE(YEAR(TODAY()),MONTH(TODAY()),1),11))-YEAR(IF(ISNUMBER(Suppliers!F31),Suppliers!F31,DATE(YEAR(TODAY()),MONTH(TODAY()),1))))*12+MONTH(EDATE(DATE(YEAR(TODAY()),MONTH(TODAY()),1),11))-MONTH(IF(ISNUMBER(Suppliers!F31),Suppliers!F31,DATE(YEAR(TODAY()),MONTH(TODAY()),1))),12)=0,1,0),IF(Suppliers!E31="One-time",IF(11=0,1,0),1)))))),"")</f>
        <v/>
      </c>
      <c r="R33" s="10" t="str">
        <f ca="1">IFERROR(IF(OR(12&gt;=$B$1,Suppliers!A31="",NOT(ISNUMBER(Suppliers!D31)),Suppliers!L31="Expired",Suppliers!L31="Terminate"),"",Suppliers!D31*-1*IF(Suppliers!E31="Monthly",IF(AND(ISNUMBER(Suppliers!G31),(YEAR(EDATE(DATE(YEAR(TODAY()),MONTH(TODAY()),1),12))*12+MONTH(EDATE(DATE(YEAR(TODAY()),MONTH(TODAY()),1),12)))&gt;(YEAR(Suppliers!G31)*12+MONTH(Suppliers!G31))),"",1),IF(Suppliers!E31="Quarterly",IF(MOD((YEAR(EDATE(DATE(YEAR(TODAY()),MONTH(TODAY()),1),12))-YEAR(IF(ISNUMBER(Suppliers!F31),Suppliers!F31,DATE(YEAR(TODAY()),MONTH(TODAY()),1))))*12+MONTH(EDATE(DATE(YEAR(TODAY()),MONTH(TODAY()),1),12))-MONTH(IF(ISNUMBER(Suppliers!F31),Suppliers!F31,DATE(YEAR(TODAY()),MONTH(TODAY()),1))),3)=0,1,0),IF(Suppliers!E31="Semi-annual",IF(MOD((YEAR(EDATE(DATE(YEAR(TODAY()),MONTH(TODAY()),1),12))-YEAR(IF(ISNUMBER(Suppliers!F31),Suppliers!F31,DATE(YEAR(TODAY()),MONTH(TODAY()),1))))*12+MONTH(EDATE(DATE(YEAR(TODAY()),MONTH(TODAY()),1),12))-MONTH(IF(ISNUMBER(Suppliers!F31),Suppliers!F31,DATE(YEAR(TODAY()),MONTH(TODAY()),1))),6)=0,1,0),IF(Suppliers!E31="Annual",IF(MOD((YEAR(EDATE(DATE(YEAR(TODAY()),MONTH(TODAY()),1),12))-YEAR(IF(ISNUMBER(Suppliers!F31),Suppliers!F31,DATE(YEAR(TODAY()),MONTH(TODAY()),1))))*12+MONTH(EDATE(DATE(YEAR(TODAY()),MONTH(TODAY()),1),12))-MONTH(IF(ISNUMBER(Suppliers!F31),Suppliers!F31,DATE(YEAR(TODAY()),MONTH(TODAY()),1))),12)=0,1,0),IF(Suppliers!E31="One-time",IF(12=0,1,0),1)))))),"")</f>
        <v/>
      </c>
      <c r="S33" s="10" t="str">
        <f ca="1">IFERROR(IF(OR(13&gt;=$B$1,Suppliers!A31="",NOT(ISNUMBER(Suppliers!D31)),Suppliers!L31="Expired",Suppliers!L31="Terminate"),"",Suppliers!D31*-1*IF(Suppliers!E31="Monthly",IF(AND(ISNUMBER(Suppliers!G31),(YEAR(EDATE(DATE(YEAR(TODAY()),MONTH(TODAY()),1),13))*12+MONTH(EDATE(DATE(YEAR(TODAY()),MONTH(TODAY()),1),13)))&gt;(YEAR(Suppliers!G31)*12+MONTH(Suppliers!G31))),"",1),IF(Suppliers!E31="Quarterly",IF(MOD((YEAR(EDATE(DATE(YEAR(TODAY()),MONTH(TODAY()),1),13))-YEAR(IF(ISNUMBER(Suppliers!F31),Suppliers!F31,DATE(YEAR(TODAY()),MONTH(TODAY()),1))))*12+MONTH(EDATE(DATE(YEAR(TODAY()),MONTH(TODAY()),1),13))-MONTH(IF(ISNUMBER(Suppliers!F31),Suppliers!F31,DATE(YEAR(TODAY()),MONTH(TODAY()),1))),3)=0,1,0),IF(Suppliers!E31="Semi-annual",IF(MOD((YEAR(EDATE(DATE(YEAR(TODAY()),MONTH(TODAY()),1),13))-YEAR(IF(ISNUMBER(Suppliers!F31),Suppliers!F31,DATE(YEAR(TODAY()),MONTH(TODAY()),1))))*12+MONTH(EDATE(DATE(YEAR(TODAY()),MONTH(TODAY()),1),13))-MONTH(IF(ISNUMBER(Suppliers!F31),Suppliers!F31,DATE(YEAR(TODAY()),MONTH(TODAY()),1))),6)=0,1,0),IF(Suppliers!E31="Annual",IF(MOD((YEAR(EDATE(DATE(YEAR(TODAY()),MONTH(TODAY()),1),13))-YEAR(IF(ISNUMBER(Suppliers!F31),Suppliers!F31,DATE(YEAR(TODAY()),MONTH(TODAY()),1))))*12+MONTH(EDATE(DATE(YEAR(TODAY()),MONTH(TODAY()),1),13))-MONTH(IF(ISNUMBER(Suppliers!F31),Suppliers!F31,DATE(YEAR(TODAY()),MONTH(TODAY()),1))),12)=0,1,0),IF(Suppliers!E31="One-time",IF(13=0,1,0),1)))))),"")</f>
        <v/>
      </c>
      <c r="T33" s="10" t="str">
        <f ca="1">IFERROR(IF(OR(14&gt;=$B$1,Suppliers!A31="",NOT(ISNUMBER(Suppliers!D31)),Suppliers!L31="Expired",Suppliers!L31="Terminate"),"",Suppliers!D31*-1*IF(Suppliers!E31="Monthly",IF(AND(ISNUMBER(Suppliers!G31),(YEAR(EDATE(DATE(YEAR(TODAY()),MONTH(TODAY()),1),14))*12+MONTH(EDATE(DATE(YEAR(TODAY()),MONTH(TODAY()),1),14)))&gt;(YEAR(Suppliers!G31)*12+MONTH(Suppliers!G31))),"",1),IF(Suppliers!E31="Quarterly",IF(MOD((YEAR(EDATE(DATE(YEAR(TODAY()),MONTH(TODAY()),1),14))-YEAR(IF(ISNUMBER(Suppliers!F31),Suppliers!F31,DATE(YEAR(TODAY()),MONTH(TODAY()),1))))*12+MONTH(EDATE(DATE(YEAR(TODAY()),MONTH(TODAY()),1),14))-MONTH(IF(ISNUMBER(Suppliers!F31),Suppliers!F31,DATE(YEAR(TODAY()),MONTH(TODAY()),1))),3)=0,1,0),IF(Suppliers!E31="Semi-annual",IF(MOD((YEAR(EDATE(DATE(YEAR(TODAY()),MONTH(TODAY()),1),14))-YEAR(IF(ISNUMBER(Suppliers!F31),Suppliers!F31,DATE(YEAR(TODAY()),MONTH(TODAY()),1))))*12+MONTH(EDATE(DATE(YEAR(TODAY()),MONTH(TODAY()),1),14))-MONTH(IF(ISNUMBER(Suppliers!F31),Suppliers!F31,DATE(YEAR(TODAY()),MONTH(TODAY()),1))),6)=0,1,0),IF(Suppliers!E31="Annual",IF(MOD((YEAR(EDATE(DATE(YEAR(TODAY()),MONTH(TODAY()),1),14))-YEAR(IF(ISNUMBER(Suppliers!F31),Suppliers!F31,DATE(YEAR(TODAY()),MONTH(TODAY()),1))))*12+MONTH(EDATE(DATE(YEAR(TODAY()),MONTH(TODAY()),1),14))-MONTH(IF(ISNUMBER(Suppliers!F31),Suppliers!F31,DATE(YEAR(TODAY()),MONTH(TODAY()),1))),12)=0,1,0),IF(Suppliers!E31="One-time",IF(14=0,1,0),1)))))),"")</f>
        <v/>
      </c>
      <c r="U33" s="10" t="str">
        <f ca="1">IFERROR(IF(OR(15&gt;=$B$1,Suppliers!A31="",NOT(ISNUMBER(Suppliers!D31)),Suppliers!L31="Expired",Suppliers!L31="Terminate"),"",Suppliers!D31*-1*IF(Suppliers!E31="Monthly",IF(AND(ISNUMBER(Suppliers!G31),(YEAR(EDATE(DATE(YEAR(TODAY()),MONTH(TODAY()),1),15))*12+MONTH(EDATE(DATE(YEAR(TODAY()),MONTH(TODAY()),1),15)))&gt;(YEAR(Suppliers!G31)*12+MONTH(Suppliers!G31))),"",1),IF(Suppliers!E31="Quarterly",IF(MOD((YEAR(EDATE(DATE(YEAR(TODAY()),MONTH(TODAY()),1),15))-YEAR(IF(ISNUMBER(Suppliers!F31),Suppliers!F31,DATE(YEAR(TODAY()),MONTH(TODAY()),1))))*12+MONTH(EDATE(DATE(YEAR(TODAY()),MONTH(TODAY()),1),15))-MONTH(IF(ISNUMBER(Suppliers!F31),Suppliers!F31,DATE(YEAR(TODAY()),MONTH(TODAY()),1))),3)=0,1,0),IF(Suppliers!E31="Semi-annual",IF(MOD((YEAR(EDATE(DATE(YEAR(TODAY()),MONTH(TODAY()),1),15))-YEAR(IF(ISNUMBER(Suppliers!F31),Suppliers!F31,DATE(YEAR(TODAY()),MONTH(TODAY()),1))))*12+MONTH(EDATE(DATE(YEAR(TODAY()),MONTH(TODAY()),1),15))-MONTH(IF(ISNUMBER(Suppliers!F31),Suppliers!F31,DATE(YEAR(TODAY()),MONTH(TODAY()),1))),6)=0,1,0),IF(Suppliers!E31="Annual",IF(MOD((YEAR(EDATE(DATE(YEAR(TODAY()),MONTH(TODAY()),1),15))-YEAR(IF(ISNUMBER(Suppliers!F31),Suppliers!F31,DATE(YEAR(TODAY()),MONTH(TODAY()),1))))*12+MONTH(EDATE(DATE(YEAR(TODAY()),MONTH(TODAY()),1),15))-MONTH(IF(ISNUMBER(Suppliers!F31),Suppliers!F31,DATE(YEAR(TODAY()),MONTH(TODAY()),1))),12)=0,1,0),IF(Suppliers!E31="One-time",IF(15=0,1,0),1)))))),"")</f>
        <v/>
      </c>
      <c r="V33" s="10" t="str">
        <f ca="1">IFERROR(IF(OR(16&gt;=$B$1,Suppliers!A31="",NOT(ISNUMBER(Suppliers!D31)),Suppliers!L31="Expired",Suppliers!L31="Terminate"),"",Suppliers!D31*-1*IF(Suppliers!E31="Monthly",IF(AND(ISNUMBER(Suppliers!G31),(YEAR(EDATE(DATE(YEAR(TODAY()),MONTH(TODAY()),1),16))*12+MONTH(EDATE(DATE(YEAR(TODAY()),MONTH(TODAY()),1),16)))&gt;(YEAR(Suppliers!G31)*12+MONTH(Suppliers!G31))),"",1),IF(Suppliers!E31="Quarterly",IF(MOD((YEAR(EDATE(DATE(YEAR(TODAY()),MONTH(TODAY()),1),16))-YEAR(IF(ISNUMBER(Suppliers!F31),Suppliers!F31,DATE(YEAR(TODAY()),MONTH(TODAY()),1))))*12+MONTH(EDATE(DATE(YEAR(TODAY()),MONTH(TODAY()),1),16))-MONTH(IF(ISNUMBER(Suppliers!F31),Suppliers!F31,DATE(YEAR(TODAY()),MONTH(TODAY()),1))),3)=0,1,0),IF(Suppliers!E31="Semi-annual",IF(MOD((YEAR(EDATE(DATE(YEAR(TODAY()),MONTH(TODAY()),1),16))-YEAR(IF(ISNUMBER(Suppliers!F31),Suppliers!F31,DATE(YEAR(TODAY()),MONTH(TODAY()),1))))*12+MONTH(EDATE(DATE(YEAR(TODAY()),MONTH(TODAY()),1),16))-MONTH(IF(ISNUMBER(Suppliers!F31),Suppliers!F31,DATE(YEAR(TODAY()),MONTH(TODAY()),1))),6)=0,1,0),IF(Suppliers!E31="Annual",IF(MOD((YEAR(EDATE(DATE(YEAR(TODAY()),MONTH(TODAY()),1),16))-YEAR(IF(ISNUMBER(Suppliers!F31),Suppliers!F31,DATE(YEAR(TODAY()),MONTH(TODAY()),1))))*12+MONTH(EDATE(DATE(YEAR(TODAY()),MONTH(TODAY()),1),16))-MONTH(IF(ISNUMBER(Suppliers!F31),Suppliers!F31,DATE(YEAR(TODAY()),MONTH(TODAY()),1))),12)=0,1,0),IF(Suppliers!E31="One-time",IF(16=0,1,0),1)))))),"")</f>
        <v/>
      </c>
      <c r="W33" s="10" t="str">
        <f ca="1">IFERROR(IF(OR(17&gt;=$B$1,Suppliers!A31="",NOT(ISNUMBER(Suppliers!D31)),Suppliers!L31="Expired",Suppliers!L31="Terminate"),"",Suppliers!D31*-1*IF(Suppliers!E31="Monthly",IF(AND(ISNUMBER(Suppliers!G31),(YEAR(EDATE(DATE(YEAR(TODAY()),MONTH(TODAY()),1),17))*12+MONTH(EDATE(DATE(YEAR(TODAY()),MONTH(TODAY()),1),17)))&gt;(YEAR(Suppliers!G31)*12+MONTH(Suppliers!G31))),"",1),IF(Suppliers!E31="Quarterly",IF(MOD((YEAR(EDATE(DATE(YEAR(TODAY()),MONTH(TODAY()),1),17))-YEAR(IF(ISNUMBER(Suppliers!F31),Suppliers!F31,DATE(YEAR(TODAY()),MONTH(TODAY()),1))))*12+MONTH(EDATE(DATE(YEAR(TODAY()),MONTH(TODAY()),1),17))-MONTH(IF(ISNUMBER(Suppliers!F31),Suppliers!F31,DATE(YEAR(TODAY()),MONTH(TODAY()),1))),3)=0,1,0),IF(Suppliers!E31="Semi-annual",IF(MOD((YEAR(EDATE(DATE(YEAR(TODAY()),MONTH(TODAY()),1),17))-YEAR(IF(ISNUMBER(Suppliers!F31),Suppliers!F31,DATE(YEAR(TODAY()),MONTH(TODAY()),1))))*12+MONTH(EDATE(DATE(YEAR(TODAY()),MONTH(TODAY()),1),17))-MONTH(IF(ISNUMBER(Suppliers!F31),Suppliers!F31,DATE(YEAR(TODAY()),MONTH(TODAY()),1))),6)=0,1,0),IF(Suppliers!E31="Annual",IF(MOD((YEAR(EDATE(DATE(YEAR(TODAY()),MONTH(TODAY()),1),17))-YEAR(IF(ISNUMBER(Suppliers!F31),Suppliers!F31,DATE(YEAR(TODAY()),MONTH(TODAY()),1))))*12+MONTH(EDATE(DATE(YEAR(TODAY()),MONTH(TODAY()),1),17))-MONTH(IF(ISNUMBER(Suppliers!F31),Suppliers!F31,DATE(YEAR(TODAY()),MONTH(TODAY()),1))),12)=0,1,0),IF(Suppliers!E31="One-time",IF(17=0,1,0),1)))))),"")</f>
        <v/>
      </c>
      <c r="X33" s="10" t="str">
        <f ca="1">IFERROR(IF(OR(18&gt;=$B$1,Suppliers!A31="",NOT(ISNUMBER(Suppliers!D31)),Suppliers!L31="Expired",Suppliers!L31="Terminate"),"",Suppliers!D31*-1*IF(Suppliers!E31="Monthly",IF(AND(ISNUMBER(Suppliers!G31),(YEAR(EDATE(DATE(YEAR(TODAY()),MONTH(TODAY()),1),18))*12+MONTH(EDATE(DATE(YEAR(TODAY()),MONTH(TODAY()),1),18)))&gt;(YEAR(Suppliers!G31)*12+MONTH(Suppliers!G31))),"",1),IF(Suppliers!E31="Quarterly",IF(MOD((YEAR(EDATE(DATE(YEAR(TODAY()),MONTH(TODAY()),1),18))-YEAR(IF(ISNUMBER(Suppliers!F31),Suppliers!F31,DATE(YEAR(TODAY()),MONTH(TODAY()),1))))*12+MONTH(EDATE(DATE(YEAR(TODAY()),MONTH(TODAY()),1),18))-MONTH(IF(ISNUMBER(Suppliers!F31),Suppliers!F31,DATE(YEAR(TODAY()),MONTH(TODAY()),1))),3)=0,1,0),IF(Suppliers!E31="Semi-annual",IF(MOD((YEAR(EDATE(DATE(YEAR(TODAY()),MONTH(TODAY()),1),18))-YEAR(IF(ISNUMBER(Suppliers!F31),Suppliers!F31,DATE(YEAR(TODAY()),MONTH(TODAY()),1))))*12+MONTH(EDATE(DATE(YEAR(TODAY()),MONTH(TODAY()),1),18))-MONTH(IF(ISNUMBER(Suppliers!F31),Suppliers!F31,DATE(YEAR(TODAY()),MONTH(TODAY()),1))),6)=0,1,0),IF(Suppliers!E31="Annual",IF(MOD((YEAR(EDATE(DATE(YEAR(TODAY()),MONTH(TODAY()),1),18))-YEAR(IF(ISNUMBER(Suppliers!F31),Suppliers!F31,DATE(YEAR(TODAY()),MONTH(TODAY()),1))))*12+MONTH(EDATE(DATE(YEAR(TODAY()),MONTH(TODAY()),1),18))-MONTH(IF(ISNUMBER(Suppliers!F31),Suppliers!F31,DATE(YEAR(TODAY()),MONTH(TODAY()),1))),12)=0,1,0),IF(Suppliers!E31="One-time",IF(18=0,1,0),1)))))),"")</f>
        <v/>
      </c>
      <c r="Y33" s="10" t="str">
        <f ca="1">IFERROR(IF(OR(19&gt;=$B$1,Suppliers!A31="",NOT(ISNUMBER(Suppliers!D31)),Suppliers!L31="Expired",Suppliers!L31="Terminate"),"",Suppliers!D31*-1*IF(Suppliers!E31="Monthly",IF(AND(ISNUMBER(Suppliers!G31),(YEAR(EDATE(DATE(YEAR(TODAY()),MONTH(TODAY()),1),19))*12+MONTH(EDATE(DATE(YEAR(TODAY()),MONTH(TODAY()),1),19)))&gt;(YEAR(Suppliers!G31)*12+MONTH(Suppliers!G31))),"",1),IF(Suppliers!E31="Quarterly",IF(MOD((YEAR(EDATE(DATE(YEAR(TODAY()),MONTH(TODAY()),1),19))-YEAR(IF(ISNUMBER(Suppliers!F31),Suppliers!F31,DATE(YEAR(TODAY()),MONTH(TODAY()),1))))*12+MONTH(EDATE(DATE(YEAR(TODAY()),MONTH(TODAY()),1),19))-MONTH(IF(ISNUMBER(Suppliers!F31),Suppliers!F31,DATE(YEAR(TODAY()),MONTH(TODAY()),1))),3)=0,1,0),IF(Suppliers!E31="Semi-annual",IF(MOD((YEAR(EDATE(DATE(YEAR(TODAY()),MONTH(TODAY()),1),19))-YEAR(IF(ISNUMBER(Suppliers!F31),Suppliers!F31,DATE(YEAR(TODAY()),MONTH(TODAY()),1))))*12+MONTH(EDATE(DATE(YEAR(TODAY()),MONTH(TODAY()),1),19))-MONTH(IF(ISNUMBER(Suppliers!F31),Suppliers!F31,DATE(YEAR(TODAY()),MONTH(TODAY()),1))),6)=0,1,0),IF(Suppliers!E31="Annual",IF(MOD((YEAR(EDATE(DATE(YEAR(TODAY()),MONTH(TODAY()),1),19))-YEAR(IF(ISNUMBER(Suppliers!F31),Suppliers!F31,DATE(YEAR(TODAY()),MONTH(TODAY()),1))))*12+MONTH(EDATE(DATE(YEAR(TODAY()),MONTH(TODAY()),1),19))-MONTH(IF(ISNUMBER(Suppliers!F31),Suppliers!F31,DATE(YEAR(TODAY()),MONTH(TODAY()),1))),12)=0,1,0),IF(Suppliers!E31="One-time",IF(19=0,1,0),1)))))),"")</f>
        <v/>
      </c>
      <c r="Z33" s="10" t="str">
        <f ca="1">IFERROR(IF(OR(20&gt;=$B$1,Suppliers!A31="",NOT(ISNUMBER(Suppliers!D31)),Suppliers!L31="Expired",Suppliers!L31="Terminate"),"",Suppliers!D31*-1*IF(Suppliers!E31="Monthly",IF(AND(ISNUMBER(Suppliers!G31),(YEAR(EDATE(DATE(YEAR(TODAY()),MONTH(TODAY()),1),20))*12+MONTH(EDATE(DATE(YEAR(TODAY()),MONTH(TODAY()),1),20)))&gt;(YEAR(Suppliers!G31)*12+MONTH(Suppliers!G31))),"",1),IF(Suppliers!E31="Quarterly",IF(MOD((YEAR(EDATE(DATE(YEAR(TODAY()),MONTH(TODAY()),1),20))-YEAR(IF(ISNUMBER(Suppliers!F31),Suppliers!F31,DATE(YEAR(TODAY()),MONTH(TODAY()),1))))*12+MONTH(EDATE(DATE(YEAR(TODAY()),MONTH(TODAY()),1),20))-MONTH(IF(ISNUMBER(Suppliers!F31),Suppliers!F31,DATE(YEAR(TODAY()),MONTH(TODAY()),1))),3)=0,1,0),IF(Suppliers!E31="Semi-annual",IF(MOD((YEAR(EDATE(DATE(YEAR(TODAY()),MONTH(TODAY()),1),20))-YEAR(IF(ISNUMBER(Suppliers!F31),Suppliers!F31,DATE(YEAR(TODAY()),MONTH(TODAY()),1))))*12+MONTH(EDATE(DATE(YEAR(TODAY()),MONTH(TODAY()),1),20))-MONTH(IF(ISNUMBER(Suppliers!F31),Suppliers!F31,DATE(YEAR(TODAY()),MONTH(TODAY()),1))),6)=0,1,0),IF(Suppliers!E31="Annual",IF(MOD((YEAR(EDATE(DATE(YEAR(TODAY()),MONTH(TODAY()),1),20))-YEAR(IF(ISNUMBER(Suppliers!F31),Suppliers!F31,DATE(YEAR(TODAY()),MONTH(TODAY()),1))))*12+MONTH(EDATE(DATE(YEAR(TODAY()),MONTH(TODAY()),1),20))-MONTH(IF(ISNUMBER(Suppliers!F31),Suppliers!F31,DATE(YEAR(TODAY()),MONTH(TODAY()),1))),12)=0,1,0),IF(Suppliers!E31="One-time",IF(20=0,1,0),1)))))),"")</f>
        <v/>
      </c>
      <c r="AA33" s="10" t="str">
        <f ca="1">IFERROR(IF(OR(21&gt;=$B$1,Suppliers!A31="",NOT(ISNUMBER(Suppliers!D31)),Suppliers!L31="Expired",Suppliers!L31="Terminate"),"",Suppliers!D31*-1*IF(Suppliers!E31="Monthly",IF(AND(ISNUMBER(Suppliers!G31),(YEAR(EDATE(DATE(YEAR(TODAY()),MONTH(TODAY()),1),21))*12+MONTH(EDATE(DATE(YEAR(TODAY()),MONTH(TODAY()),1),21)))&gt;(YEAR(Suppliers!G31)*12+MONTH(Suppliers!G31))),"",1),IF(Suppliers!E31="Quarterly",IF(MOD((YEAR(EDATE(DATE(YEAR(TODAY()),MONTH(TODAY()),1),21))-YEAR(IF(ISNUMBER(Suppliers!F31),Suppliers!F31,DATE(YEAR(TODAY()),MONTH(TODAY()),1))))*12+MONTH(EDATE(DATE(YEAR(TODAY()),MONTH(TODAY()),1),21))-MONTH(IF(ISNUMBER(Suppliers!F31),Suppliers!F31,DATE(YEAR(TODAY()),MONTH(TODAY()),1))),3)=0,1,0),IF(Suppliers!E31="Semi-annual",IF(MOD((YEAR(EDATE(DATE(YEAR(TODAY()),MONTH(TODAY()),1),21))-YEAR(IF(ISNUMBER(Suppliers!F31),Suppliers!F31,DATE(YEAR(TODAY()),MONTH(TODAY()),1))))*12+MONTH(EDATE(DATE(YEAR(TODAY()),MONTH(TODAY()),1),21))-MONTH(IF(ISNUMBER(Suppliers!F31),Suppliers!F31,DATE(YEAR(TODAY()),MONTH(TODAY()),1))),6)=0,1,0),IF(Suppliers!E31="Annual",IF(MOD((YEAR(EDATE(DATE(YEAR(TODAY()),MONTH(TODAY()),1),21))-YEAR(IF(ISNUMBER(Suppliers!F31),Suppliers!F31,DATE(YEAR(TODAY()),MONTH(TODAY()),1))))*12+MONTH(EDATE(DATE(YEAR(TODAY()),MONTH(TODAY()),1),21))-MONTH(IF(ISNUMBER(Suppliers!F31),Suppliers!F31,DATE(YEAR(TODAY()),MONTH(TODAY()),1))),12)=0,1,0),IF(Suppliers!E31="One-time",IF(21=0,1,0),1)))))),"")</f>
        <v/>
      </c>
      <c r="AB33" s="10" t="str">
        <f ca="1">IFERROR(IF(OR(22&gt;=$B$1,Suppliers!A31="",NOT(ISNUMBER(Suppliers!D31)),Suppliers!L31="Expired",Suppliers!L31="Terminate"),"",Suppliers!D31*-1*IF(Suppliers!E31="Monthly",IF(AND(ISNUMBER(Suppliers!G31),(YEAR(EDATE(DATE(YEAR(TODAY()),MONTH(TODAY()),1),22))*12+MONTH(EDATE(DATE(YEAR(TODAY()),MONTH(TODAY()),1),22)))&gt;(YEAR(Suppliers!G31)*12+MONTH(Suppliers!G31))),"",1),IF(Suppliers!E31="Quarterly",IF(MOD((YEAR(EDATE(DATE(YEAR(TODAY()),MONTH(TODAY()),1),22))-YEAR(IF(ISNUMBER(Suppliers!F31),Suppliers!F31,DATE(YEAR(TODAY()),MONTH(TODAY()),1))))*12+MONTH(EDATE(DATE(YEAR(TODAY()),MONTH(TODAY()),1),22))-MONTH(IF(ISNUMBER(Suppliers!F31),Suppliers!F31,DATE(YEAR(TODAY()),MONTH(TODAY()),1))),3)=0,1,0),IF(Suppliers!E31="Semi-annual",IF(MOD((YEAR(EDATE(DATE(YEAR(TODAY()),MONTH(TODAY()),1),22))-YEAR(IF(ISNUMBER(Suppliers!F31),Suppliers!F31,DATE(YEAR(TODAY()),MONTH(TODAY()),1))))*12+MONTH(EDATE(DATE(YEAR(TODAY()),MONTH(TODAY()),1),22))-MONTH(IF(ISNUMBER(Suppliers!F31),Suppliers!F31,DATE(YEAR(TODAY()),MONTH(TODAY()),1))),6)=0,1,0),IF(Suppliers!E31="Annual",IF(MOD((YEAR(EDATE(DATE(YEAR(TODAY()),MONTH(TODAY()),1),22))-YEAR(IF(ISNUMBER(Suppliers!F31),Suppliers!F31,DATE(YEAR(TODAY()),MONTH(TODAY()),1))))*12+MONTH(EDATE(DATE(YEAR(TODAY()),MONTH(TODAY()),1),22))-MONTH(IF(ISNUMBER(Suppliers!F31),Suppliers!F31,DATE(YEAR(TODAY()),MONTH(TODAY()),1))),12)=0,1,0),IF(Suppliers!E31="One-time",IF(22=0,1,0),1)))))),"")</f>
        <v/>
      </c>
      <c r="AC33" s="10" t="str">
        <f ca="1">IFERROR(IF(OR(23&gt;=$B$1,Suppliers!A31="",NOT(ISNUMBER(Suppliers!D31)),Suppliers!L31="Expired",Suppliers!L31="Terminate"),"",Suppliers!D31*-1*IF(Suppliers!E31="Monthly",IF(AND(ISNUMBER(Suppliers!G31),(YEAR(EDATE(DATE(YEAR(TODAY()),MONTH(TODAY()),1),23))*12+MONTH(EDATE(DATE(YEAR(TODAY()),MONTH(TODAY()),1),23)))&gt;(YEAR(Suppliers!G31)*12+MONTH(Suppliers!G31))),"",1),IF(Suppliers!E31="Quarterly",IF(MOD((YEAR(EDATE(DATE(YEAR(TODAY()),MONTH(TODAY()),1),23))-YEAR(IF(ISNUMBER(Suppliers!F31),Suppliers!F31,DATE(YEAR(TODAY()),MONTH(TODAY()),1))))*12+MONTH(EDATE(DATE(YEAR(TODAY()),MONTH(TODAY()),1),23))-MONTH(IF(ISNUMBER(Suppliers!F31),Suppliers!F31,DATE(YEAR(TODAY()),MONTH(TODAY()),1))),3)=0,1,0),IF(Suppliers!E31="Semi-annual",IF(MOD((YEAR(EDATE(DATE(YEAR(TODAY()),MONTH(TODAY()),1),23))-YEAR(IF(ISNUMBER(Suppliers!F31),Suppliers!F31,DATE(YEAR(TODAY()),MONTH(TODAY()),1))))*12+MONTH(EDATE(DATE(YEAR(TODAY()),MONTH(TODAY()),1),23))-MONTH(IF(ISNUMBER(Suppliers!F31),Suppliers!F31,DATE(YEAR(TODAY()),MONTH(TODAY()),1))),6)=0,1,0),IF(Suppliers!E31="Annual",IF(MOD((YEAR(EDATE(DATE(YEAR(TODAY()),MONTH(TODAY()),1),23))-YEAR(IF(ISNUMBER(Suppliers!F31),Suppliers!F31,DATE(YEAR(TODAY()),MONTH(TODAY()),1))))*12+MONTH(EDATE(DATE(YEAR(TODAY()),MONTH(TODAY()),1),23))-MONTH(IF(ISNUMBER(Suppliers!F31),Suppliers!F31,DATE(YEAR(TODAY()),MONTH(TODAY()),1))),12)=0,1,0),IF(Suppliers!E31="One-time",IF(23=0,1,0),1)))))),"")</f>
        <v/>
      </c>
    </row>
    <row r="34" spans="1:29" ht="15" customHeight="1" x14ac:dyDescent="0.35">
      <c r="A34" s="4" t="s">
        <v>80</v>
      </c>
      <c r="B34" s="4" t="str">
        <f>IF(Suppliers!A32="","",Suppliers!A32)</f>
        <v/>
      </c>
      <c r="C34" s="10" t="str">
        <f>IF(Suppliers!C32="","",Suppliers!C32)</f>
        <v/>
      </c>
      <c r="D34" s="10" t="str">
        <f>IF(Suppliers!D32="","",Suppliers!D32)</f>
        <v/>
      </c>
      <c r="E34" s="4" t="str">
        <f>IF(Suppliers!E32="","",Suppliers!E32)</f>
        <v/>
      </c>
      <c r="F34" s="10" t="str">
        <f ca="1">IFERROR(IF(OR(0&gt;=$B$1,Suppliers!A32="",NOT(ISNUMBER(Suppliers!D32)),Suppliers!L32="Expired",Suppliers!L32="Terminate"),"",Suppliers!D32*-1*IF(Suppliers!E32="Monthly",IF(AND(ISNUMBER(Suppliers!G32),(YEAR(EDATE(DATE(YEAR(TODAY()),MONTH(TODAY()),1),0))*12+MONTH(EDATE(DATE(YEAR(TODAY()),MONTH(TODAY()),1),0)))&gt;(YEAR(Suppliers!G32)*12+MONTH(Suppliers!G32))),"",1),IF(Suppliers!E32="Quarterly",IF(MOD((YEAR(EDATE(DATE(YEAR(TODAY()),MONTH(TODAY()),1),0))-YEAR(IF(ISNUMBER(Suppliers!F32),Suppliers!F32,DATE(YEAR(TODAY()),MONTH(TODAY()),1))))*12+MONTH(EDATE(DATE(YEAR(TODAY()),MONTH(TODAY()),1),0))-MONTH(IF(ISNUMBER(Suppliers!F32),Suppliers!F32,DATE(YEAR(TODAY()),MONTH(TODAY()),1))),3)=0,1,0),IF(Suppliers!E32="Semi-annual",IF(MOD((YEAR(EDATE(DATE(YEAR(TODAY()),MONTH(TODAY()),1),0))-YEAR(IF(ISNUMBER(Suppliers!F32),Suppliers!F32,DATE(YEAR(TODAY()),MONTH(TODAY()),1))))*12+MONTH(EDATE(DATE(YEAR(TODAY()),MONTH(TODAY()),1),0))-MONTH(IF(ISNUMBER(Suppliers!F32),Suppliers!F32,DATE(YEAR(TODAY()),MONTH(TODAY()),1))),6)=0,1,0),IF(Suppliers!E32="Annual",IF(MOD((YEAR(EDATE(DATE(YEAR(TODAY()),MONTH(TODAY()),1),0))-YEAR(IF(ISNUMBER(Suppliers!F32),Suppliers!F32,DATE(YEAR(TODAY()),MONTH(TODAY()),1))))*12+MONTH(EDATE(DATE(YEAR(TODAY()),MONTH(TODAY()),1),0))-MONTH(IF(ISNUMBER(Suppliers!F32),Suppliers!F32,DATE(YEAR(TODAY()),MONTH(TODAY()),1))),12)=0,1,0),IF(Suppliers!E32="One-time",IF(0=0,1,0),1)))))),"")</f>
        <v/>
      </c>
      <c r="G34" s="10" t="str">
        <f ca="1">IFERROR(IF(OR(1&gt;=$B$1,Suppliers!A32="",NOT(ISNUMBER(Suppliers!D32)),Suppliers!L32="Expired",Suppliers!L32="Terminate"),"",Suppliers!D32*-1*IF(Suppliers!E32="Monthly",IF(AND(ISNUMBER(Suppliers!G32),(YEAR(EDATE(DATE(YEAR(TODAY()),MONTH(TODAY()),1),1))*12+MONTH(EDATE(DATE(YEAR(TODAY()),MONTH(TODAY()),1),1)))&gt;(YEAR(Suppliers!G32)*12+MONTH(Suppliers!G32))),"",1),IF(Suppliers!E32="Quarterly",IF(MOD((YEAR(EDATE(DATE(YEAR(TODAY()),MONTH(TODAY()),1),1))-YEAR(IF(ISNUMBER(Suppliers!F32),Suppliers!F32,DATE(YEAR(TODAY()),MONTH(TODAY()),1))))*12+MONTH(EDATE(DATE(YEAR(TODAY()),MONTH(TODAY()),1),1))-MONTH(IF(ISNUMBER(Suppliers!F32),Suppliers!F32,DATE(YEAR(TODAY()),MONTH(TODAY()),1))),3)=0,1,0),IF(Suppliers!E32="Semi-annual",IF(MOD((YEAR(EDATE(DATE(YEAR(TODAY()),MONTH(TODAY()),1),1))-YEAR(IF(ISNUMBER(Suppliers!F32),Suppliers!F32,DATE(YEAR(TODAY()),MONTH(TODAY()),1))))*12+MONTH(EDATE(DATE(YEAR(TODAY()),MONTH(TODAY()),1),1))-MONTH(IF(ISNUMBER(Suppliers!F32),Suppliers!F32,DATE(YEAR(TODAY()),MONTH(TODAY()),1))),6)=0,1,0),IF(Suppliers!E32="Annual",IF(MOD((YEAR(EDATE(DATE(YEAR(TODAY()),MONTH(TODAY()),1),1))-YEAR(IF(ISNUMBER(Suppliers!F32),Suppliers!F32,DATE(YEAR(TODAY()),MONTH(TODAY()),1))))*12+MONTH(EDATE(DATE(YEAR(TODAY()),MONTH(TODAY()),1),1))-MONTH(IF(ISNUMBER(Suppliers!F32),Suppliers!F32,DATE(YEAR(TODAY()),MONTH(TODAY()),1))),12)=0,1,0),IF(Suppliers!E32="One-time",IF(1=0,1,0),1)))))),"")</f>
        <v/>
      </c>
      <c r="H34" s="10" t="str">
        <f ca="1">IFERROR(IF(OR(2&gt;=$B$1,Suppliers!A32="",NOT(ISNUMBER(Suppliers!D32)),Suppliers!L32="Expired",Suppliers!L32="Terminate"),"",Suppliers!D32*-1*IF(Suppliers!E32="Monthly",IF(AND(ISNUMBER(Suppliers!G32),(YEAR(EDATE(DATE(YEAR(TODAY()),MONTH(TODAY()),1),2))*12+MONTH(EDATE(DATE(YEAR(TODAY()),MONTH(TODAY()),1),2)))&gt;(YEAR(Suppliers!G32)*12+MONTH(Suppliers!G32))),"",1),IF(Suppliers!E32="Quarterly",IF(MOD((YEAR(EDATE(DATE(YEAR(TODAY()),MONTH(TODAY()),1),2))-YEAR(IF(ISNUMBER(Suppliers!F32),Suppliers!F32,DATE(YEAR(TODAY()),MONTH(TODAY()),1))))*12+MONTH(EDATE(DATE(YEAR(TODAY()),MONTH(TODAY()),1),2))-MONTH(IF(ISNUMBER(Suppliers!F32),Suppliers!F32,DATE(YEAR(TODAY()),MONTH(TODAY()),1))),3)=0,1,0),IF(Suppliers!E32="Semi-annual",IF(MOD((YEAR(EDATE(DATE(YEAR(TODAY()),MONTH(TODAY()),1),2))-YEAR(IF(ISNUMBER(Suppliers!F32),Suppliers!F32,DATE(YEAR(TODAY()),MONTH(TODAY()),1))))*12+MONTH(EDATE(DATE(YEAR(TODAY()),MONTH(TODAY()),1),2))-MONTH(IF(ISNUMBER(Suppliers!F32),Suppliers!F32,DATE(YEAR(TODAY()),MONTH(TODAY()),1))),6)=0,1,0),IF(Suppliers!E32="Annual",IF(MOD((YEAR(EDATE(DATE(YEAR(TODAY()),MONTH(TODAY()),1),2))-YEAR(IF(ISNUMBER(Suppliers!F32),Suppliers!F32,DATE(YEAR(TODAY()),MONTH(TODAY()),1))))*12+MONTH(EDATE(DATE(YEAR(TODAY()),MONTH(TODAY()),1),2))-MONTH(IF(ISNUMBER(Suppliers!F32),Suppliers!F32,DATE(YEAR(TODAY()),MONTH(TODAY()),1))),12)=0,1,0),IF(Suppliers!E32="One-time",IF(2=0,1,0),1)))))),"")</f>
        <v/>
      </c>
      <c r="I34" s="10" t="str">
        <f ca="1">IFERROR(IF(OR(3&gt;=$B$1,Suppliers!A32="",NOT(ISNUMBER(Suppliers!D32)),Suppliers!L32="Expired",Suppliers!L32="Terminate"),"",Suppliers!D32*-1*IF(Suppliers!E32="Monthly",IF(AND(ISNUMBER(Suppliers!G32),(YEAR(EDATE(DATE(YEAR(TODAY()),MONTH(TODAY()),1),3))*12+MONTH(EDATE(DATE(YEAR(TODAY()),MONTH(TODAY()),1),3)))&gt;(YEAR(Suppliers!G32)*12+MONTH(Suppliers!G32))),"",1),IF(Suppliers!E32="Quarterly",IF(MOD((YEAR(EDATE(DATE(YEAR(TODAY()),MONTH(TODAY()),1),3))-YEAR(IF(ISNUMBER(Suppliers!F32),Suppliers!F32,DATE(YEAR(TODAY()),MONTH(TODAY()),1))))*12+MONTH(EDATE(DATE(YEAR(TODAY()),MONTH(TODAY()),1),3))-MONTH(IF(ISNUMBER(Suppliers!F32),Suppliers!F32,DATE(YEAR(TODAY()),MONTH(TODAY()),1))),3)=0,1,0),IF(Suppliers!E32="Semi-annual",IF(MOD((YEAR(EDATE(DATE(YEAR(TODAY()),MONTH(TODAY()),1),3))-YEAR(IF(ISNUMBER(Suppliers!F32),Suppliers!F32,DATE(YEAR(TODAY()),MONTH(TODAY()),1))))*12+MONTH(EDATE(DATE(YEAR(TODAY()),MONTH(TODAY()),1),3))-MONTH(IF(ISNUMBER(Suppliers!F32),Suppliers!F32,DATE(YEAR(TODAY()),MONTH(TODAY()),1))),6)=0,1,0),IF(Suppliers!E32="Annual",IF(MOD((YEAR(EDATE(DATE(YEAR(TODAY()),MONTH(TODAY()),1),3))-YEAR(IF(ISNUMBER(Suppliers!F32),Suppliers!F32,DATE(YEAR(TODAY()),MONTH(TODAY()),1))))*12+MONTH(EDATE(DATE(YEAR(TODAY()),MONTH(TODAY()),1),3))-MONTH(IF(ISNUMBER(Suppliers!F32),Suppliers!F32,DATE(YEAR(TODAY()),MONTH(TODAY()),1))),12)=0,1,0),IF(Suppliers!E32="One-time",IF(3=0,1,0),1)))))),"")</f>
        <v/>
      </c>
      <c r="J34" s="10" t="str">
        <f ca="1">IFERROR(IF(OR(4&gt;=$B$1,Suppliers!A32="",NOT(ISNUMBER(Suppliers!D32)),Suppliers!L32="Expired",Suppliers!L32="Terminate"),"",Suppliers!D32*-1*IF(Suppliers!E32="Monthly",IF(AND(ISNUMBER(Suppliers!G32),(YEAR(EDATE(DATE(YEAR(TODAY()),MONTH(TODAY()),1),4))*12+MONTH(EDATE(DATE(YEAR(TODAY()),MONTH(TODAY()),1),4)))&gt;(YEAR(Suppliers!G32)*12+MONTH(Suppliers!G32))),"",1),IF(Suppliers!E32="Quarterly",IF(MOD((YEAR(EDATE(DATE(YEAR(TODAY()),MONTH(TODAY()),1),4))-YEAR(IF(ISNUMBER(Suppliers!F32),Suppliers!F32,DATE(YEAR(TODAY()),MONTH(TODAY()),1))))*12+MONTH(EDATE(DATE(YEAR(TODAY()),MONTH(TODAY()),1),4))-MONTH(IF(ISNUMBER(Suppliers!F32),Suppliers!F32,DATE(YEAR(TODAY()),MONTH(TODAY()),1))),3)=0,1,0),IF(Suppliers!E32="Semi-annual",IF(MOD((YEAR(EDATE(DATE(YEAR(TODAY()),MONTH(TODAY()),1),4))-YEAR(IF(ISNUMBER(Suppliers!F32),Suppliers!F32,DATE(YEAR(TODAY()),MONTH(TODAY()),1))))*12+MONTH(EDATE(DATE(YEAR(TODAY()),MONTH(TODAY()),1),4))-MONTH(IF(ISNUMBER(Suppliers!F32),Suppliers!F32,DATE(YEAR(TODAY()),MONTH(TODAY()),1))),6)=0,1,0),IF(Suppliers!E32="Annual",IF(MOD((YEAR(EDATE(DATE(YEAR(TODAY()),MONTH(TODAY()),1),4))-YEAR(IF(ISNUMBER(Suppliers!F32),Suppliers!F32,DATE(YEAR(TODAY()),MONTH(TODAY()),1))))*12+MONTH(EDATE(DATE(YEAR(TODAY()),MONTH(TODAY()),1),4))-MONTH(IF(ISNUMBER(Suppliers!F32),Suppliers!F32,DATE(YEAR(TODAY()),MONTH(TODAY()),1))),12)=0,1,0),IF(Suppliers!E32="One-time",IF(4=0,1,0),1)))))),"")</f>
        <v/>
      </c>
      <c r="K34" s="10" t="str">
        <f ca="1">IFERROR(IF(OR(5&gt;=$B$1,Suppliers!A32="",NOT(ISNUMBER(Suppliers!D32)),Suppliers!L32="Expired",Suppliers!L32="Terminate"),"",Suppliers!D32*-1*IF(Suppliers!E32="Monthly",IF(AND(ISNUMBER(Suppliers!G32),(YEAR(EDATE(DATE(YEAR(TODAY()),MONTH(TODAY()),1),5))*12+MONTH(EDATE(DATE(YEAR(TODAY()),MONTH(TODAY()),1),5)))&gt;(YEAR(Suppliers!G32)*12+MONTH(Suppliers!G32))),"",1),IF(Suppliers!E32="Quarterly",IF(MOD((YEAR(EDATE(DATE(YEAR(TODAY()),MONTH(TODAY()),1),5))-YEAR(IF(ISNUMBER(Suppliers!F32),Suppliers!F32,DATE(YEAR(TODAY()),MONTH(TODAY()),1))))*12+MONTH(EDATE(DATE(YEAR(TODAY()),MONTH(TODAY()),1),5))-MONTH(IF(ISNUMBER(Suppliers!F32),Suppliers!F32,DATE(YEAR(TODAY()),MONTH(TODAY()),1))),3)=0,1,0),IF(Suppliers!E32="Semi-annual",IF(MOD((YEAR(EDATE(DATE(YEAR(TODAY()),MONTH(TODAY()),1),5))-YEAR(IF(ISNUMBER(Suppliers!F32),Suppliers!F32,DATE(YEAR(TODAY()),MONTH(TODAY()),1))))*12+MONTH(EDATE(DATE(YEAR(TODAY()),MONTH(TODAY()),1),5))-MONTH(IF(ISNUMBER(Suppliers!F32),Suppliers!F32,DATE(YEAR(TODAY()),MONTH(TODAY()),1))),6)=0,1,0),IF(Suppliers!E32="Annual",IF(MOD((YEAR(EDATE(DATE(YEAR(TODAY()),MONTH(TODAY()),1),5))-YEAR(IF(ISNUMBER(Suppliers!F32),Suppliers!F32,DATE(YEAR(TODAY()),MONTH(TODAY()),1))))*12+MONTH(EDATE(DATE(YEAR(TODAY()),MONTH(TODAY()),1),5))-MONTH(IF(ISNUMBER(Suppliers!F32),Suppliers!F32,DATE(YEAR(TODAY()),MONTH(TODAY()),1))),12)=0,1,0),IF(Suppliers!E32="One-time",IF(5=0,1,0),1)))))),"")</f>
        <v/>
      </c>
      <c r="L34" s="10" t="str">
        <f ca="1">IFERROR(IF(OR(6&gt;=$B$1,Suppliers!A32="",NOT(ISNUMBER(Suppliers!D32)),Suppliers!L32="Expired",Suppliers!L32="Terminate"),"",Suppliers!D32*-1*IF(Suppliers!E32="Monthly",IF(AND(ISNUMBER(Suppliers!G32),(YEAR(EDATE(DATE(YEAR(TODAY()),MONTH(TODAY()),1),6))*12+MONTH(EDATE(DATE(YEAR(TODAY()),MONTH(TODAY()),1),6)))&gt;(YEAR(Suppliers!G32)*12+MONTH(Suppliers!G32))),"",1),IF(Suppliers!E32="Quarterly",IF(MOD((YEAR(EDATE(DATE(YEAR(TODAY()),MONTH(TODAY()),1),6))-YEAR(IF(ISNUMBER(Suppliers!F32),Suppliers!F32,DATE(YEAR(TODAY()),MONTH(TODAY()),1))))*12+MONTH(EDATE(DATE(YEAR(TODAY()),MONTH(TODAY()),1),6))-MONTH(IF(ISNUMBER(Suppliers!F32),Suppliers!F32,DATE(YEAR(TODAY()),MONTH(TODAY()),1))),3)=0,1,0),IF(Suppliers!E32="Semi-annual",IF(MOD((YEAR(EDATE(DATE(YEAR(TODAY()),MONTH(TODAY()),1),6))-YEAR(IF(ISNUMBER(Suppliers!F32),Suppliers!F32,DATE(YEAR(TODAY()),MONTH(TODAY()),1))))*12+MONTH(EDATE(DATE(YEAR(TODAY()),MONTH(TODAY()),1),6))-MONTH(IF(ISNUMBER(Suppliers!F32),Suppliers!F32,DATE(YEAR(TODAY()),MONTH(TODAY()),1))),6)=0,1,0),IF(Suppliers!E32="Annual",IF(MOD((YEAR(EDATE(DATE(YEAR(TODAY()),MONTH(TODAY()),1),6))-YEAR(IF(ISNUMBER(Suppliers!F32),Suppliers!F32,DATE(YEAR(TODAY()),MONTH(TODAY()),1))))*12+MONTH(EDATE(DATE(YEAR(TODAY()),MONTH(TODAY()),1),6))-MONTH(IF(ISNUMBER(Suppliers!F32),Suppliers!F32,DATE(YEAR(TODAY()),MONTH(TODAY()),1))),12)=0,1,0),IF(Suppliers!E32="One-time",IF(6=0,1,0),1)))))),"")</f>
        <v/>
      </c>
      <c r="M34" s="10" t="str">
        <f ca="1">IFERROR(IF(OR(7&gt;=$B$1,Suppliers!A32="",NOT(ISNUMBER(Suppliers!D32)),Suppliers!L32="Expired",Suppliers!L32="Terminate"),"",Suppliers!D32*-1*IF(Suppliers!E32="Monthly",IF(AND(ISNUMBER(Suppliers!G32),(YEAR(EDATE(DATE(YEAR(TODAY()),MONTH(TODAY()),1),7))*12+MONTH(EDATE(DATE(YEAR(TODAY()),MONTH(TODAY()),1),7)))&gt;(YEAR(Suppliers!G32)*12+MONTH(Suppliers!G32))),"",1),IF(Suppliers!E32="Quarterly",IF(MOD((YEAR(EDATE(DATE(YEAR(TODAY()),MONTH(TODAY()),1),7))-YEAR(IF(ISNUMBER(Suppliers!F32),Suppliers!F32,DATE(YEAR(TODAY()),MONTH(TODAY()),1))))*12+MONTH(EDATE(DATE(YEAR(TODAY()),MONTH(TODAY()),1),7))-MONTH(IF(ISNUMBER(Suppliers!F32),Suppliers!F32,DATE(YEAR(TODAY()),MONTH(TODAY()),1))),3)=0,1,0),IF(Suppliers!E32="Semi-annual",IF(MOD((YEAR(EDATE(DATE(YEAR(TODAY()),MONTH(TODAY()),1),7))-YEAR(IF(ISNUMBER(Suppliers!F32),Suppliers!F32,DATE(YEAR(TODAY()),MONTH(TODAY()),1))))*12+MONTH(EDATE(DATE(YEAR(TODAY()),MONTH(TODAY()),1),7))-MONTH(IF(ISNUMBER(Suppliers!F32),Suppliers!F32,DATE(YEAR(TODAY()),MONTH(TODAY()),1))),6)=0,1,0),IF(Suppliers!E32="Annual",IF(MOD((YEAR(EDATE(DATE(YEAR(TODAY()),MONTH(TODAY()),1),7))-YEAR(IF(ISNUMBER(Suppliers!F32),Suppliers!F32,DATE(YEAR(TODAY()),MONTH(TODAY()),1))))*12+MONTH(EDATE(DATE(YEAR(TODAY()),MONTH(TODAY()),1),7))-MONTH(IF(ISNUMBER(Suppliers!F32),Suppliers!F32,DATE(YEAR(TODAY()),MONTH(TODAY()),1))),12)=0,1,0),IF(Suppliers!E32="One-time",IF(7=0,1,0),1)))))),"")</f>
        <v/>
      </c>
      <c r="N34" s="10" t="str">
        <f ca="1">IFERROR(IF(OR(8&gt;=$B$1,Suppliers!A32="",NOT(ISNUMBER(Suppliers!D32)),Suppliers!L32="Expired",Suppliers!L32="Terminate"),"",Suppliers!D32*-1*IF(Suppliers!E32="Monthly",IF(AND(ISNUMBER(Suppliers!G32),(YEAR(EDATE(DATE(YEAR(TODAY()),MONTH(TODAY()),1),8))*12+MONTH(EDATE(DATE(YEAR(TODAY()),MONTH(TODAY()),1),8)))&gt;(YEAR(Suppliers!G32)*12+MONTH(Suppliers!G32))),"",1),IF(Suppliers!E32="Quarterly",IF(MOD((YEAR(EDATE(DATE(YEAR(TODAY()),MONTH(TODAY()),1),8))-YEAR(IF(ISNUMBER(Suppliers!F32),Suppliers!F32,DATE(YEAR(TODAY()),MONTH(TODAY()),1))))*12+MONTH(EDATE(DATE(YEAR(TODAY()),MONTH(TODAY()),1),8))-MONTH(IF(ISNUMBER(Suppliers!F32),Suppliers!F32,DATE(YEAR(TODAY()),MONTH(TODAY()),1))),3)=0,1,0),IF(Suppliers!E32="Semi-annual",IF(MOD((YEAR(EDATE(DATE(YEAR(TODAY()),MONTH(TODAY()),1),8))-YEAR(IF(ISNUMBER(Suppliers!F32),Suppliers!F32,DATE(YEAR(TODAY()),MONTH(TODAY()),1))))*12+MONTH(EDATE(DATE(YEAR(TODAY()),MONTH(TODAY()),1),8))-MONTH(IF(ISNUMBER(Suppliers!F32),Suppliers!F32,DATE(YEAR(TODAY()),MONTH(TODAY()),1))),6)=0,1,0),IF(Suppliers!E32="Annual",IF(MOD((YEAR(EDATE(DATE(YEAR(TODAY()),MONTH(TODAY()),1),8))-YEAR(IF(ISNUMBER(Suppliers!F32),Suppliers!F32,DATE(YEAR(TODAY()),MONTH(TODAY()),1))))*12+MONTH(EDATE(DATE(YEAR(TODAY()),MONTH(TODAY()),1),8))-MONTH(IF(ISNUMBER(Suppliers!F32),Suppliers!F32,DATE(YEAR(TODAY()),MONTH(TODAY()),1))),12)=0,1,0),IF(Suppliers!E32="One-time",IF(8=0,1,0),1)))))),"")</f>
        <v/>
      </c>
      <c r="O34" s="10" t="str">
        <f ca="1">IFERROR(IF(OR(9&gt;=$B$1,Suppliers!A32="",NOT(ISNUMBER(Suppliers!D32)),Suppliers!L32="Expired",Suppliers!L32="Terminate"),"",Suppliers!D32*-1*IF(Suppliers!E32="Monthly",IF(AND(ISNUMBER(Suppliers!G32),(YEAR(EDATE(DATE(YEAR(TODAY()),MONTH(TODAY()),1),9))*12+MONTH(EDATE(DATE(YEAR(TODAY()),MONTH(TODAY()),1),9)))&gt;(YEAR(Suppliers!G32)*12+MONTH(Suppliers!G32))),"",1),IF(Suppliers!E32="Quarterly",IF(MOD((YEAR(EDATE(DATE(YEAR(TODAY()),MONTH(TODAY()),1),9))-YEAR(IF(ISNUMBER(Suppliers!F32),Suppliers!F32,DATE(YEAR(TODAY()),MONTH(TODAY()),1))))*12+MONTH(EDATE(DATE(YEAR(TODAY()),MONTH(TODAY()),1),9))-MONTH(IF(ISNUMBER(Suppliers!F32),Suppliers!F32,DATE(YEAR(TODAY()),MONTH(TODAY()),1))),3)=0,1,0),IF(Suppliers!E32="Semi-annual",IF(MOD((YEAR(EDATE(DATE(YEAR(TODAY()),MONTH(TODAY()),1),9))-YEAR(IF(ISNUMBER(Suppliers!F32),Suppliers!F32,DATE(YEAR(TODAY()),MONTH(TODAY()),1))))*12+MONTH(EDATE(DATE(YEAR(TODAY()),MONTH(TODAY()),1),9))-MONTH(IF(ISNUMBER(Suppliers!F32),Suppliers!F32,DATE(YEAR(TODAY()),MONTH(TODAY()),1))),6)=0,1,0),IF(Suppliers!E32="Annual",IF(MOD((YEAR(EDATE(DATE(YEAR(TODAY()),MONTH(TODAY()),1),9))-YEAR(IF(ISNUMBER(Suppliers!F32),Suppliers!F32,DATE(YEAR(TODAY()),MONTH(TODAY()),1))))*12+MONTH(EDATE(DATE(YEAR(TODAY()),MONTH(TODAY()),1),9))-MONTH(IF(ISNUMBER(Suppliers!F32),Suppliers!F32,DATE(YEAR(TODAY()),MONTH(TODAY()),1))),12)=0,1,0),IF(Suppliers!E32="One-time",IF(9=0,1,0),1)))))),"")</f>
        <v/>
      </c>
      <c r="P34" s="10" t="str">
        <f ca="1">IFERROR(IF(OR(10&gt;=$B$1,Suppliers!A32="",NOT(ISNUMBER(Suppliers!D32)),Suppliers!L32="Expired",Suppliers!L32="Terminate"),"",Suppliers!D32*-1*IF(Suppliers!E32="Monthly",IF(AND(ISNUMBER(Suppliers!G32),(YEAR(EDATE(DATE(YEAR(TODAY()),MONTH(TODAY()),1),10))*12+MONTH(EDATE(DATE(YEAR(TODAY()),MONTH(TODAY()),1),10)))&gt;(YEAR(Suppliers!G32)*12+MONTH(Suppliers!G32))),"",1),IF(Suppliers!E32="Quarterly",IF(MOD((YEAR(EDATE(DATE(YEAR(TODAY()),MONTH(TODAY()),1),10))-YEAR(IF(ISNUMBER(Suppliers!F32),Suppliers!F32,DATE(YEAR(TODAY()),MONTH(TODAY()),1))))*12+MONTH(EDATE(DATE(YEAR(TODAY()),MONTH(TODAY()),1),10))-MONTH(IF(ISNUMBER(Suppliers!F32),Suppliers!F32,DATE(YEAR(TODAY()),MONTH(TODAY()),1))),3)=0,1,0),IF(Suppliers!E32="Semi-annual",IF(MOD((YEAR(EDATE(DATE(YEAR(TODAY()),MONTH(TODAY()),1),10))-YEAR(IF(ISNUMBER(Suppliers!F32),Suppliers!F32,DATE(YEAR(TODAY()),MONTH(TODAY()),1))))*12+MONTH(EDATE(DATE(YEAR(TODAY()),MONTH(TODAY()),1),10))-MONTH(IF(ISNUMBER(Suppliers!F32),Suppliers!F32,DATE(YEAR(TODAY()),MONTH(TODAY()),1))),6)=0,1,0),IF(Suppliers!E32="Annual",IF(MOD((YEAR(EDATE(DATE(YEAR(TODAY()),MONTH(TODAY()),1),10))-YEAR(IF(ISNUMBER(Suppliers!F32),Suppliers!F32,DATE(YEAR(TODAY()),MONTH(TODAY()),1))))*12+MONTH(EDATE(DATE(YEAR(TODAY()),MONTH(TODAY()),1),10))-MONTH(IF(ISNUMBER(Suppliers!F32),Suppliers!F32,DATE(YEAR(TODAY()),MONTH(TODAY()),1))),12)=0,1,0),IF(Suppliers!E32="One-time",IF(10=0,1,0),1)))))),"")</f>
        <v/>
      </c>
      <c r="Q34" s="10" t="str">
        <f ca="1">IFERROR(IF(OR(11&gt;=$B$1,Suppliers!A32="",NOT(ISNUMBER(Suppliers!D32)),Suppliers!L32="Expired",Suppliers!L32="Terminate"),"",Suppliers!D32*-1*IF(Suppliers!E32="Monthly",IF(AND(ISNUMBER(Suppliers!G32),(YEAR(EDATE(DATE(YEAR(TODAY()),MONTH(TODAY()),1),11))*12+MONTH(EDATE(DATE(YEAR(TODAY()),MONTH(TODAY()),1),11)))&gt;(YEAR(Suppliers!G32)*12+MONTH(Suppliers!G32))),"",1),IF(Suppliers!E32="Quarterly",IF(MOD((YEAR(EDATE(DATE(YEAR(TODAY()),MONTH(TODAY()),1),11))-YEAR(IF(ISNUMBER(Suppliers!F32),Suppliers!F32,DATE(YEAR(TODAY()),MONTH(TODAY()),1))))*12+MONTH(EDATE(DATE(YEAR(TODAY()),MONTH(TODAY()),1),11))-MONTH(IF(ISNUMBER(Suppliers!F32),Suppliers!F32,DATE(YEAR(TODAY()),MONTH(TODAY()),1))),3)=0,1,0),IF(Suppliers!E32="Semi-annual",IF(MOD((YEAR(EDATE(DATE(YEAR(TODAY()),MONTH(TODAY()),1),11))-YEAR(IF(ISNUMBER(Suppliers!F32),Suppliers!F32,DATE(YEAR(TODAY()),MONTH(TODAY()),1))))*12+MONTH(EDATE(DATE(YEAR(TODAY()),MONTH(TODAY()),1),11))-MONTH(IF(ISNUMBER(Suppliers!F32),Suppliers!F32,DATE(YEAR(TODAY()),MONTH(TODAY()),1))),6)=0,1,0),IF(Suppliers!E32="Annual",IF(MOD((YEAR(EDATE(DATE(YEAR(TODAY()),MONTH(TODAY()),1),11))-YEAR(IF(ISNUMBER(Suppliers!F32),Suppliers!F32,DATE(YEAR(TODAY()),MONTH(TODAY()),1))))*12+MONTH(EDATE(DATE(YEAR(TODAY()),MONTH(TODAY()),1),11))-MONTH(IF(ISNUMBER(Suppliers!F32),Suppliers!F32,DATE(YEAR(TODAY()),MONTH(TODAY()),1))),12)=0,1,0),IF(Suppliers!E32="One-time",IF(11=0,1,0),1)))))),"")</f>
        <v/>
      </c>
      <c r="R34" s="10" t="str">
        <f ca="1">IFERROR(IF(OR(12&gt;=$B$1,Suppliers!A32="",NOT(ISNUMBER(Suppliers!D32)),Suppliers!L32="Expired",Suppliers!L32="Terminate"),"",Suppliers!D32*-1*IF(Suppliers!E32="Monthly",IF(AND(ISNUMBER(Suppliers!G32),(YEAR(EDATE(DATE(YEAR(TODAY()),MONTH(TODAY()),1),12))*12+MONTH(EDATE(DATE(YEAR(TODAY()),MONTH(TODAY()),1),12)))&gt;(YEAR(Suppliers!G32)*12+MONTH(Suppliers!G32))),"",1),IF(Suppliers!E32="Quarterly",IF(MOD((YEAR(EDATE(DATE(YEAR(TODAY()),MONTH(TODAY()),1),12))-YEAR(IF(ISNUMBER(Suppliers!F32),Suppliers!F32,DATE(YEAR(TODAY()),MONTH(TODAY()),1))))*12+MONTH(EDATE(DATE(YEAR(TODAY()),MONTH(TODAY()),1),12))-MONTH(IF(ISNUMBER(Suppliers!F32),Suppliers!F32,DATE(YEAR(TODAY()),MONTH(TODAY()),1))),3)=0,1,0),IF(Suppliers!E32="Semi-annual",IF(MOD((YEAR(EDATE(DATE(YEAR(TODAY()),MONTH(TODAY()),1),12))-YEAR(IF(ISNUMBER(Suppliers!F32),Suppliers!F32,DATE(YEAR(TODAY()),MONTH(TODAY()),1))))*12+MONTH(EDATE(DATE(YEAR(TODAY()),MONTH(TODAY()),1),12))-MONTH(IF(ISNUMBER(Suppliers!F32),Suppliers!F32,DATE(YEAR(TODAY()),MONTH(TODAY()),1))),6)=0,1,0),IF(Suppliers!E32="Annual",IF(MOD((YEAR(EDATE(DATE(YEAR(TODAY()),MONTH(TODAY()),1),12))-YEAR(IF(ISNUMBER(Suppliers!F32),Suppliers!F32,DATE(YEAR(TODAY()),MONTH(TODAY()),1))))*12+MONTH(EDATE(DATE(YEAR(TODAY()),MONTH(TODAY()),1),12))-MONTH(IF(ISNUMBER(Suppliers!F32),Suppliers!F32,DATE(YEAR(TODAY()),MONTH(TODAY()),1))),12)=0,1,0),IF(Suppliers!E32="One-time",IF(12=0,1,0),1)))))),"")</f>
        <v/>
      </c>
      <c r="S34" s="10" t="str">
        <f ca="1">IFERROR(IF(OR(13&gt;=$B$1,Suppliers!A32="",NOT(ISNUMBER(Suppliers!D32)),Suppliers!L32="Expired",Suppliers!L32="Terminate"),"",Suppliers!D32*-1*IF(Suppliers!E32="Monthly",IF(AND(ISNUMBER(Suppliers!G32),(YEAR(EDATE(DATE(YEAR(TODAY()),MONTH(TODAY()),1),13))*12+MONTH(EDATE(DATE(YEAR(TODAY()),MONTH(TODAY()),1),13)))&gt;(YEAR(Suppliers!G32)*12+MONTH(Suppliers!G32))),"",1),IF(Suppliers!E32="Quarterly",IF(MOD((YEAR(EDATE(DATE(YEAR(TODAY()),MONTH(TODAY()),1),13))-YEAR(IF(ISNUMBER(Suppliers!F32),Suppliers!F32,DATE(YEAR(TODAY()),MONTH(TODAY()),1))))*12+MONTH(EDATE(DATE(YEAR(TODAY()),MONTH(TODAY()),1),13))-MONTH(IF(ISNUMBER(Suppliers!F32),Suppliers!F32,DATE(YEAR(TODAY()),MONTH(TODAY()),1))),3)=0,1,0),IF(Suppliers!E32="Semi-annual",IF(MOD((YEAR(EDATE(DATE(YEAR(TODAY()),MONTH(TODAY()),1),13))-YEAR(IF(ISNUMBER(Suppliers!F32),Suppliers!F32,DATE(YEAR(TODAY()),MONTH(TODAY()),1))))*12+MONTH(EDATE(DATE(YEAR(TODAY()),MONTH(TODAY()),1),13))-MONTH(IF(ISNUMBER(Suppliers!F32),Suppliers!F32,DATE(YEAR(TODAY()),MONTH(TODAY()),1))),6)=0,1,0),IF(Suppliers!E32="Annual",IF(MOD((YEAR(EDATE(DATE(YEAR(TODAY()),MONTH(TODAY()),1),13))-YEAR(IF(ISNUMBER(Suppliers!F32),Suppliers!F32,DATE(YEAR(TODAY()),MONTH(TODAY()),1))))*12+MONTH(EDATE(DATE(YEAR(TODAY()),MONTH(TODAY()),1),13))-MONTH(IF(ISNUMBER(Suppliers!F32),Suppliers!F32,DATE(YEAR(TODAY()),MONTH(TODAY()),1))),12)=0,1,0),IF(Suppliers!E32="One-time",IF(13=0,1,0),1)))))),"")</f>
        <v/>
      </c>
      <c r="T34" s="10" t="str">
        <f ca="1">IFERROR(IF(OR(14&gt;=$B$1,Suppliers!A32="",NOT(ISNUMBER(Suppliers!D32)),Suppliers!L32="Expired",Suppliers!L32="Terminate"),"",Suppliers!D32*-1*IF(Suppliers!E32="Monthly",IF(AND(ISNUMBER(Suppliers!G32),(YEAR(EDATE(DATE(YEAR(TODAY()),MONTH(TODAY()),1),14))*12+MONTH(EDATE(DATE(YEAR(TODAY()),MONTH(TODAY()),1),14)))&gt;(YEAR(Suppliers!G32)*12+MONTH(Suppliers!G32))),"",1),IF(Suppliers!E32="Quarterly",IF(MOD((YEAR(EDATE(DATE(YEAR(TODAY()),MONTH(TODAY()),1),14))-YEAR(IF(ISNUMBER(Suppliers!F32),Suppliers!F32,DATE(YEAR(TODAY()),MONTH(TODAY()),1))))*12+MONTH(EDATE(DATE(YEAR(TODAY()),MONTH(TODAY()),1),14))-MONTH(IF(ISNUMBER(Suppliers!F32),Suppliers!F32,DATE(YEAR(TODAY()),MONTH(TODAY()),1))),3)=0,1,0),IF(Suppliers!E32="Semi-annual",IF(MOD((YEAR(EDATE(DATE(YEAR(TODAY()),MONTH(TODAY()),1),14))-YEAR(IF(ISNUMBER(Suppliers!F32),Suppliers!F32,DATE(YEAR(TODAY()),MONTH(TODAY()),1))))*12+MONTH(EDATE(DATE(YEAR(TODAY()),MONTH(TODAY()),1),14))-MONTH(IF(ISNUMBER(Suppliers!F32),Suppliers!F32,DATE(YEAR(TODAY()),MONTH(TODAY()),1))),6)=0,1,0),IF(Suppliers!E32="Annual",IF(MOD((YEAR(EDATE(DATE(YEAR(TODAY()),MONTH(TODAY()),1),14))-YEAR(IF(ISNUMBER(Suppliers!F32),Suppliers!F32,DATE(YEAR(TODAY()),MONTH(TODAY()),1))))*12+MONTH(EDATE(DATE(YEAR(TODAY()),MONTH(TODAY()),1),14))-MONTH(IF(ISNUMBER(Suppliers!F32),Suppliers!F32,DATE(YEAR(TODAY()),MONTH(TODAY()),1))),12)=0,1,0),IF(Suppliers!E32="One-time",IF(14=0,1,0),1)))))),"")</f>
        <v/>
      </c>
      <c r="U34" s="10" t="str">
        <f ca="1">IFERROR(IF(OR(15&gt;=$B$1,Suppliers!A32="",NOT(ISNUMBER(Suppliers!D32)),Suppliers!L32="Expired",Suppliers!L32="Terminate"),"",Suppliers!D32*-1*IF(Suppliers!E32="Monthly",IF(AND(ISNUMBER(Suppliers!G32),(YEAR(EDATE(DATE(YEAR(TODAY()),MONTH(TODAY()),1),15))*12+MONTH(EDATE(DATE(YEAR(TODAY()),MONTH(TODAY()),1),15)))&gt;(YEAR(Suppliers!G32)*12+MONTH(Suppliers!G32))),"",1),IF(Suppliers!E32="Quarterly",IF(MOD((YEAR(EDATE(DATE(YEAR(TODAY()),MONTH(TODAY()),1),15))-YEAR(IF(ISNUMBER(Suppliers!F32),Suppliers!F32,DATE(YEAR(TODAY()),MONTH(TODAY()),1))))*12+MONTH(EDATE(DATE(YEAR(TODAY()),MONTH(TODAY()),1),15))-MONTH(IF(ISNUMBER(Suppliers!F32),Suppliers!F32,DATE(YEAR(TODAY()),MONTH(TODAY()),1))),3)=0,1,0),IF(Suppliers!E32="Semi-annual",IF(MOD((YEAR(EDATE(DATE(YEAR(TODAY()),MONTH(TODAY()),1),15))-YEAR(IF(ISNUMBER(Suppliers!F32),Suppliers!F32,DATE(YEAR(TODAY()),MONTH(TODAY()),1))))*12+MONTH(EDATE(DATE(YEAR(TODAY()),MONTH(TODAY()),1),15))-MONTH(IF(ISNUMBER(Suppliers!F32),Suppliers!F32,DATE(YEAR(TODAY()),MONTH(TODAY()),1))),6)=0,1,0),IF(Suppliers!E32="Annual",IF(MOD((YEAR(EDATE(DATE(YEAR(TODAY()),MONTH(TODAY()),1),15))-YEAR(IF(ISNUMBER(Suppliers!F32),Suppliers!F32,DATE(YEAR(TODAY()),MONTH(TODAY()),1))))*12+MONTH(EDATE(DATE(YEAR(TODAY()),MONTH(TODAY()),1),15))-MONTH(IF(ISNUMBER(Suppliers!F32),Suppliers!F32,DATE(YEAR(TODAY()),MONTH(TODAY()),1))),12)=0,1,0),IF(Suppliers!E32="One-time",IF(15=0,1,0),1)))))),"")</f>
        <v/>
      </c>
      <c r="V34" s="10" t="str">
        <f ca="1">IFERROR(IF(OR(16&gt;=$B$1,Suppliers!A32="",NOT(ISNUMBER(Suppliers!D32)),Suppliers!L32="Expired",Suppliers!L32="Terminate"),"",Suppliers!D32*-1*IF(Suppliers!E32="Monthly",IF(AND(ISNUMBER(Suppliers!G32),(YEAR(EDATE(DATE(YEAR(TODAY()),MONTH(TODAY()),1),16))*12+MONTH(EDATE(DATE(YEAR(TODAY()),MONTH(TODAY()),1),16)))&gt;(YEAR(Suppliers!G32)*12+MONTH(Suppliers!G32))),"",1),IF(Suppliers!E32="Quarterly",IF(MOD((YEAR(EDATE(DATE(YEAR(TODAY()),MONTH(TODAY()),1),16))-YEAR(IF(ISNUMBER(Suppliers!F32),Suppliers!F32,DATE(YEAR(TODAY()),MONTH(TODAY()),1))))*12+MONTH(EDATE(DATE(YEAR(TODAY()),MONTH(TODAY()),1),16))-MONTH(IF(ISNUMBER(Suppliers!F32),Suppliers!F32,DATE(YEAR(TODAY()),MONTH(TODAY()),1))),3)=0,1,0),IF(Suppliers!E32="Semi-annual",IF(MOD((YEAR(EDATE(DATE(YEAR(TODAY()),MONTH(TODAY()),1),16))-YEAR(IF(ISNUMBER(Suppliers!F32),Suppliers!F32,DATE(YEAR(TODAY()),MONTH(TODAY()),1))))*12+MONTH(EDATE(DATE(YEAR(TODAY()),MONTH(TODAY()),1),16))-MONTH(IF(ISNUMBER(Suppliers!F32),Suppliers!F32,DATE(YEAR(TODAY()),MONTH(TODAY()),1))),6)=0,1,0),IF(Suppliers!E32="Annual",IF(MOD((YEAR(EDATE(DATE(YEAR(TODAY()),MONTH(TODAY()),1),16))-YEAR(IF(ISNUMBER(Suppliers!F32),Suppliers!F32,DATE(YEAR(TODAY()),MONTH(TODAY()),1))))*12+MONTH(EDATE(DATE(YEAR(TODAY()),MONTH(TODAY()),1),16))-MONTH(IF(ISNUMBER(Suppliers!F32),Suppliers!F32,DATE(YEAR(TODAY()),MONTH(TODAY()),1))),12)=0,1,0),IF(Suppliers!E32="One-time",IF(16=0,1,0),1)))))),"")</f>
        <v/>
      </c>
      <c r="W34" s="10" t="str">
        <f ca="1">IFERROR(IF(OR(17&gt;=$B$1,Suppliers!A32="",NOT(ISNUMBER(Suppliers!D32)),Suppliers!L32="Expired",Suppliers!L32="Terminate"),"",Suppliers!D32*-1*IF(Suppliers!E32="Monthly",IF(AND(ISNUMBER(Suppliers!G32),(YEAR(EDATE(DATE(YEAR(TODAY()),MONTH(TODAY()),1),17))*12+MONTH(EDATE(DATE(YEAR(TODAY()),MONTH(TODAY()),1),17)))&gt;(YEAR(Suppliers!G32)*12+MONTH(Suppliers!G32))),"",1),IF(Suppliers!E32="Quarterly",IF(MOD((YEAR(EDATE(DATE(YEAR(TODAY()),MONTH(TODAY()),1),17))-YEAR(IF(ISNUMBER(Suppliers!F32),Suppliers!F32,DATE(YEAR(TODAY()),MONTH(TODAY()),1))))*12+MONTH(EDATE(DATE(YEAR(TODAY()),MONTH(TODAY()),1),17))-MONTH(IF(ISNUMBER(Suppliers!F32),Suppliers!F32,DATE(YEAR(TODAY()),MONTH(TODAY()),1))),3)=0,1,0),IF(Suppliers!E32="Semi-annual",IF(MOD((YEAR(EDATE(DATE(YEAR(TODAY()),MONTH(TODAY()),1),17))-YEAR(IF(ISNUMBER(Suppliers!F32),Suppliers!F32,DATE(YEAR(TODAY()),MONTH(TODAY()),1))))*12+MONTH(EDATE(DATE(YEAR(TODAY()),MONTH(TODAY()),1),17))-MONTH(IF(ISNUMBER(Suppliers!F32),Suppliers!F32,DATE(YEAR(TODAY()),MONTH(TODAY()),1))),6)=0,1,0),IF(Suppliers!E32="Annual",IF(MOD((YEAR(EDATE(DATE(YEAR(TODAY()),MONTH(TODAY()),1),17))-YEAR(IF(ISNUMBER(Suppliers!F32),Suppliers!F32,DATE(YEAR(TODAY()),MONTH(TODAY()),1))))*12+MONTH(EDATE(DATE(YEAR(TODAY()),MONTH(TODAY()),1),17))-MONTH(IF(ISNUMBER(Suppliers!F32),Suppliers!F32,DATE(YEAR(TODAY()),MONTH(TODAY()),1))),12)=0,1,0),IF(Suppliers!E32="One-time",IF(17=0,1,0),1)))))),"")</f>
        <v/>
      </c>
      <c r="X34" s="10" t="str">
        <f ca="1">IFERROR(IF(OR(18&gt;=$B$1,Suppliers!A32="",NOT(ISNUMBER(Suppliers!D32)),Suppliers!L32="Expired",Suppliers!L32="Terminate"),"",Suppliers!D32*-1*IF(Suppliers!E32="Monthly",IF(AND(ISNUMBER(Suppliers!G32),(YEAR(EDATE(DATE(YEAR(TODAY()),MONTH(TODAY()),1),18))*12+MONTH(EDATE(DATE(YEAR(TODAY()),MONTH(TODAY()),1),18)))&gt;(YEAR(Suppliers!G32)*12+MONTH(Suppliers!G32))),"",1),IF(Suppliers!E32="Quarterly",IF(MOD((YEAR(EDATE(DATE(YEAR(TODAY()),MONTH(TODAY()),1),18))-YEAR(IF(ISNUMBER(Suppliers!F32),Suppliers!F32,DATE(YEAR(TODAY()),MONTH(TODAY()),1))))*12+MONTH(EDATE(DATE(YEAR(TODAY()),MONTH(TODAY()),1),18))-MONTH(IF(ISNUMBER(Suppliers!F32),Suppliers!F32,DATE(YEAR(TODAY()),MONTH(TODAY()),1))),3)=0,1,0),IF(Suppliers!E32="Semi-annual",IF(MOD((YEAR(EDATE(DATE(YEAR(TODAY()),MONTH(TODAY()),1),18))-YEAR(IF(ISNUMBER(Suppliers!F32),Suppliers!F32,DATE(YEAR(TODAY()),MONTH(TODAY()),1))))*12+MONTH(EDATE(DATE(YEAR(TODAY()),MONTH(TODAY()),1),18))-MONTH(IF(ISNUMBER(Suppliers!F32),Suppliers!F32,DATE(YEAR(TODAY()),MONTH(TODAY()),1))),6)=0,1,0),IF(Suppliers!E32="Annual",IF(MOD((YEAR(EDATE(DATE(YEAR(TODAY()),MONTH(TODAY()),1),18))-YEAR(IF(ISNUMBER(Suppliers!F32),Suppliers!F32,DATE(YEAR(TODAY()),MONTH(TODAY()),1))))*12+MONTH(EDATE(DATE(YEAR(TODAY()),MONTH(TODAY()),1),18))-MONTH(IF(ISNUMBER(Suppliers!F32),Suppliers!F32,DATE(YEAR(TODAY()),MONTH(TODAY()),1))),12)=0,1,0),IF(Suppliers!E32="One-time",IF(18=0,1,0),1)))))),"")</f>
        <v/>
      </c>
      <c r="Y34" s="10" t="str">
        <f ca="1">IFERROR(IF(OR(19&gt;=$B$1,Suppliers!A32="",NOT(ISNUMBER(Suppliers!D32)),Suppliers!L32="Expired",Suppliers!L32="Terminate"),"",Suppliers!D32*-1*IF(Suppliers!E32="Monthly",IF(AND(ISNUMBER(Suppliers!G32),(YEAR(EDATE(DATE(YEAR(TODAY()),MONTH(TODAY()),1),19))*12+MONTH(EDATE(DATE(YEAR(TODAY()),MONTH(TODAY()),1),19)))&gt;(YEAR(Suppliers!G32)*12+MONTH(Suppliers!G32))),"",1),IF(Suppliers!E32="Quarterly",IF(MOD((YEAR(EDATE(DATE(YEAR(TODAY()),MONTH(TODAY()),1),19))-YEAR(IF(ISNUMBER(Suppliers!F32),Suppliers!F32,DATE(YEAR(TODAY()),MONTH(TODAY()),1))))*12+MONTH(EDATE(DATE(YEAR(TODAY()),MONTH(TODAY()),1),19))-MONTH(IF(ISNUMBER(Suppliers!F32),Suppliers!F32,DATE(YEAR(TODAY()),MONTH(TODAY()),1))),3)=0,1,0),IF(Suppliers!E32="Semi-annual",IF(MOD((YEAR(EDATE(DATE(YEAR(TODAY()),MONTH(TODAY()),1),19))-YEAR(IF(ISNUMBER(Suppliers!F32),Suppliers!F32,DATE(YEAR(TODAY()),MONTH(TODAY()),1))))*12+MONTH(EDATE(DATE(YEAR(TODAY()),MONTH(TODAY()),1),19))-MONTH(IF(ISNUMBER(Suppliers!F32),Suppliers!F32,DATE(YEAR(TODAY()),MONTH(TODAY()),1))),6)=0,1,0),IF(Suppliers!E32="Annual",IF(MOD((YEAR(EDATE(DATE(YEAR(TODAY()),MONTH(TODAY()),1),19))-YEAR(IF(ISNUMBER(Suppliers!F32),Suppliers!F32,DATE(YEAR(TODAY()),MONTH(TODAY()),1))))*12+MONTH(EDATE(DATE(YEAR(TODAY()),MONTH(TODAY()),1),19))-MONTH(IF(ISNUMBER(Suppliers!F32),Suppliers!F32,DATE(YEAR(TODAY()),MONTH(TODAY()),1))),12)=0,1,0),IF(Suppliers!E32="One-time",IF(19=0,1,0),1)))))),"")</f>
        <v/>
      </c>
      <c r="Z34" s="10" t="str">
        <f ca="1">IFERROR(IF(OR(20&gt;=$B$1,Suppliers!A32="",NOT(ISNUMBER(Suppliers!D32)),Suppliers!L32="Expired",Suppliers!L32="Terminate"),"",Suppliers!D32*-1*IF(Suppliers!E32="Monthly",IF(AND(ISNUMBER(Suppliers!G32),(YEAR(EDATE(DATE(YEAR(TODAY()),MONTH(TODAY()),1),20))*12+MONTH(EDATE(DATE(YEAR(TODAY()),MONTH(TODAY()),1),20)))&gt;(YEAR(Suppliers!G32)*12+MONTH(Suppliers!G32))),"",1),IF(Suppliers!E32="Quarterly",IF(MOD((YEAR(EDATE(DATE(YEAR(TODAY()),MONTH(TODAY()),1),20))-YEAR(IF(ISNUMBER(Suppliers!F32),Suppliers!F32,DATE(YEAR(TODAY()),MONTH(TODAY()),1))))*12+MONTH(EDATE(DATE(YEAR(TODAY()),MONTH(TODAY()),1),20))-MONTH(IF(ISNUMBER(Suppliers!F32),Suppliers!F32,DATE(YEAR(TODAY()),MONTH(TODAY()),1))),3)=0,1,0),IF(Suppliers!E32="Semi-annual",IF(MOD((YEAR(EDATE(DATE(YEAR(TODAY()),MONTH(TODAY()),1),20))-YEAR(IF(ISNUMBER(Suppliers!F32),Suppliers!F32,DATE(YEAR(TODAY()),MONTH(TODAY()),1))))*12+MONTH(EDATE(DATE(YEAR(TODAY()),MONTH(TODAY()),1),20))-MONTH(IF(ISNUMBER(Suppliers!F32),Suppliers!F32,DATE(YEAR(TODAY()),MONTH(TODAY()),1))),6)=0,1,0),IF(Suppliers!E32="Annual",IF(MOD((YEAR(EDATE(DATE(YEAR(TODAY()),MONTH(TODAY()),1),20))-YEAR(IF(ISNUMBER(Suppliers!F32),Suppliers!F32,DATE(YEAR(TODAY()),MONTH(TODAY()),1))))*12+MONTH(EDATE(DATE(YEAR(TODAY()),MONTH(TODAY()),1),20))-MONTH(IF(ISNUMBER(Suppliers!F32),Suppliers!F32,DATE(YEAR(TODAY()),MONTH(TODAY()),1))),12)=0,1,0),IF(Suppliers!E32="One-time",IF(20=0,1,0),1)))))),"")</f>
        <v/>
      </c>
      <c r="AA34" s="10" t="str">
        <f ca="1">IFERROR(IF(OR(21&gt;=$B$1,Suppliers!A32="",NOT(ISNUMBER(Suppliers!D32)),Suppliers!L32="Expired",Suppliers!L32="Terminate"),"",Suppliers!D32*-1*IF(Suppliers!E32="Monthly",IF(AND(ISNUMBER(Suppliers!G32),(YEAR(EDATE(DATE(YEAR(TODAY()),MONTH(TODAY()),1),21))*12+MONTH(EDATE(DATE(YEAR(TODAY()),MONTH(TODAY()),1),21)))&gt;(YEAR(Suppliers!G32)*12+MONTH(Suppliers!G32))),"",1),IF(Suppliers!E32="Quarterly",IF(MOD((YEAR(EDATE(DATE(YEAR(TODAY()),MONTH(TODAY()),1),21))-YEAR(IF(ISNUMBER(Suppliers!F32),Suppliers!F32,DATE(YEAR(TODAY()),MONTH(TODAY()),1))))*12+MONTH(EDATE(DATE(YEAR(TODAY()),MONTH(TODAY()),1),21))-MONTH(IF(ISNUMBER(Suppliers!F32),Suppliers!F32,DATE(YEAR(TODAY()),MONTH(TODAY()),1))),3)=0,1,0),IF(Suppliers!E32="Semi-annual",IF(MOD((YEAR(EDATE(DATE(YEAR(TODAY()),MONTH(TODAY()),1),21))-YEAR(IF(ISNUMBER(Suppliers!F32),Suppliers!F32,DATE(YEAR(TODAY()),MONTH(TODAY()),1))))*12+MONTH(EDATE(DATE(YEAR(TODAY()),MONTH(TODAY()),1),21))-MONTH(IF(ISNUMBER(Suppliers!F32),Suppliers!F32,DATE(YEAR(TODAY()),MONTH(TODAY()),1))),6)=0,1,0),IF(Suppliers!E32="Annual",IF(MOD((YEAR(EDATE(DATE(YEAR(TODAY()),MONTH(TODAY()),1),21))-YEAR(IF(ISNUMBER(Suppliers!F32),Suppliers!F32,DATE(YEAR(TODAY()),MONTH(TODAY()),1))))*12+MONTH(EDATE(DATE(YEAR(TODAY()),MONTH(TODAY()),1),21))-MONTH(IF(ISNUMBER(Suppliers!F32),Suppliers!F32,DATE(YEAR(TODAY()),MONTH(TODAY()),1))),12)=0,1,0),IF(Suppliers!E32="One-time",IF(21=0,1,0),1)))))),"")</f>
        <v/>
      </c>
      <c r="AB34" s="10" t="str">
        <f ca="1">IFERROR(IF(OR(22&gt;=$B$1,Suppliers!A32="",NOT(ISNUMBER(Suppliers!D32)),Suppliers!L32="Expired",Suppliers!L32="Terminate"),"",Suppliers!D32*-1*IF(Suppliers!E32="Monthly",IF(AND(ISNUMBER(Suppliers!G32),(YEAR(EDATE(DATE(YEAR(TODAY()),MONTH(TODAY()),1),22))*12+MONTH(EDATE(DATE(YEAR(TODAY()),MONTH(TODAY()),1),22)))&gt;(YEAR(Suppliers!G32)*12+MONTH(Suppliers!G32))),"",1),IF(Suppliers!E32="Quarterly",IF(MOD((YEAR(EDATE(DATE(YEAR(TODAY()),MONTH(TODAY()),1),22))-YEAR(IF(ISNUMBER(Suppliers!F32),Suppliers!F32,DATE(YEAR(TODAY()),MONTH(TODAY()),1))))*12+MONTH(EDATE(DATE(YEAR(TODAY()),MONTH(TODAY()),1),22))-MONTH(IF(ISNUMBER(Suppliers!F32),Suppliers!F32,DATE(YEAR(TODAY()),MONTH(TODAY()),1))),3)=0,1,0),IF(Suppliers!E32="Semi-annual",IF(MOD((YEAR(EDATE(DATE(YEAR(TODAY()),MONTH(TODAY()),1),22))-YEAR(IF(ISNUMBER(Suppliers!F32),Suppliers!F32,DATE(YEAR(TODAY()),MONTH(TODAY()),1))))*12+MONTH(EDATE(DATE(YEAR(TODAY()),MONTH(TODAY()),1),22))-MONTH(IF(ISNUMBER(Suppliers!F32),Suppliers!F32,DATE(YEAR(TODAY()),MONTH(TODAY()),1))),6)=0,1,0),IF(Suppliers!E32="Annual",IF(MOD((YEAR(EDATE(DATE(YEAR(TODAY()),MONTH(TODAY()),1),22))-YEAR(IF(ISNUMBER(Suppliers!F32),Suppliers!F32,DATE(YEAR(TODAY()),MONTH(TODAY()),1))))*12+MONTH(EDATE(DATE(YEAR(TODAY()),MONTH(TODAY()),1),22))-MONTH(IF(ISNUMBER(Suppliers!F32),Suppliers!F32,DATE(YEAR(TODAY()),MONTH(TODAY()),1))),12)=0,1,0),IF(Suppliers!E32="One-time",IF(22=0,1,0),1)))))),"")</f>
        <v/>
      </c>
      <c r="AC34" s="10" t="str">
        <f ca="1">IFERROR(IF(OR(23&gt;=$B$1,Suppliers!A32="",NOT(ISNUMBER(Suppliers!D32)),Suppliers!L32="Expired",Suppliers!L32="Terminate"),"",Suppliers!D32*-1*IF(Suppliers!E32="Monthly",IF(AND(ISNUMBER(Suppliers!G32),(YEAR(EDATE(DATE(YEAR(TODAY()),MONTH(TODAY()),1),23))*12+MONTH(EDATE(DATE(YEAR(TODAY()),MONTH(TODAY()),1),23)))&gt;(YEAR(Suppliers!G32)*12+MONTH(Suppliers!G32))),"",1),IF(Suppliers!E32="Quarterly",IF(MOD((YEAR(EDATE(DATE(YEAR(TODAY()),MONTH(TODAY()),1),23))-YEAR(IF(ISNUMBER(Suppliers!F32),Suppliers!F32,DATE(YEAR(TODAY()),MONTH(TODAY()),1))))*12+MONTH(EDATE(DATE(YEAR(TODAY()),MONTH(TODAY()),1),23))-MONTH(IF(ISNUMBER(Suppliers!F32),Suppliers!F32,DATE(YEAR(TODAY()),MONTH(TODAY()),1))),3)=0,1,0),IF(Suppliers!E32="Semi-annual",IF(MOD((YEAR(EDATE(DATE(YEAR(TODAY()),MONTH(TODAY()),1),23))-YEAR(IF(ISNUMBER(Suppliers!F32),Suppliers!F32,DATE(YEAR(TODAY()),MONTH(TODAY()),1))))*12+MONTH(EDATE(DATE(YEAR(TODAY()),MONTH(TODAY()),1),23))-MONTH(IF(ISNUMBER(Suppliers!F32),Suppliers!F32,DATE(YEAR(TODAY()),MONTH(TODAY()),1))),6)=0,1,0),IF(Suppliers!E32="Annual",IF(MOD((YEAR(EDATE(DATE(YEAR(TODAY()),MONTH(TODAY()),1),23))-YEAR(IF(ISNUMBER(Suppliers!F32),Suppliers!F32,DATE(YEAR(TODAY()),MONTH(TODAY()),1))))*12+MONTH(EDATE(DATE(YEAR(TODAY()),MONTH(TODAY()),1),23))-MONTH(IF(ISNUMBER(Suppliers!F32),Suppliers!F32,DATE(YEAR(TODAY()),MONTH(TODAY()),1))),12)=0,1,0),IF(Suppliers!E32="One-time",IF(23=0,1,0),1)))))),"")</f>
        <v/>
      </c>
    </row>
    <row r="35" spans="1:29" ht="15" customHeight="1" x14ac:dyDescent="0.35">
      <c r="A35" s="4" t="s">
        <v>80</v>
      </c>
      <c r="B35" s="4" t="str">
        <f>IF(Suppliers!A33="","",Suppliers!A33)</f>
        <v/>
      </c>
      <c r="C35" s="10" t="str">
        <f>IF(Suppliers!C33="","",Suppliers!C33)</f>
        <v/>
      </c>
      <c r="D35" s="10" t="str">
        <f>IF(Suppliers!D33="","",Suppliers!D33)</f>
        <v/>
      </c>
      <c r="E35" s="4" t="str">
        <f>IF(Suppliers!E33="","",Suppliers!E33)</f>
        <v/>
      </c>
      <c r="F35" s="10" t="str">
        <f ca="1">IFERROR(IF(OR(0&gt;=$B$1,Suppliers!A33="",NOT(ISNUMBER(Suppliers!D33)),Suppliers!L33="Expired",Suppliers!L33="Terminate"),"",Suppliers!D33*-1*IF(Suppliers!E33="Monthly",IF(AND(ISNUMBER(Suppliers!G33),(YEAR(EDATE(DATE(YEAR(TODAY()),MONTH(TODAY()),1),0))*12+MONTH(EDATE(DATE(YEAR(TODAY()),MONTH(TODAY()),1),0)))&gt;(YEAR(Suppliers!G33)*12+MONTH(Suppliers!G33))),"",1),IF(Suppliers!E33="Quarterly",IF(MOD((YEAR(EDATE(DATE(YEAR(TODAY()),MONTH(TODAY()),1),0))-YEAR(IF(ISNUMBER(Suppliers!F33),Suppliers!F33,DATE(YEAR(TODAY()),MONTH(TODAY()),1))))*12+MONTH(EDATE(DATE(YEAR(TODAY()),MONTH(TODAY()),1),0))-MONTH(IF(ISNUMBER(Suppliers!F33),Suppliers!F33,DATE(YEAR(TODAY()),MONTH(TODAY()),1))),3)=0,1,0),IF(Suppliers!E33="Semi-annual",IF(MOD((YEAR(EDATE(DATE(YEAR(TODAY()),MONTH(TODAY()),1),0))-YEAR(IF(ISNUMBER(Suppliers!F33),Suppliers!F33,DATE(YEAR(TODAY()),MONTH(TODAY()),1))))*12+MONTH(EDATE(DATE(YEAR(TODAY()),MONTH(TODAY()),1),0))-MONTH(IF(ISNUMBER(Suppliers!F33),Suppliers!F33,DATE(YEAR(TODAY()),MONTH(TODAY()),1))),6)=0,1,0),IF(Suppliers!E33="Annual",IF(MOD((YEAR(EDATE(DATE(YEAR(TODAY()),MONTH(TODAY()),1),0))-YEAR(IF(ISNUMBER(Suppliers!F33),Suppliers!F33,DATE(YEAR(TODAY()),MONTH(TODAY()),1))))*12+MONTH(EDATE(DATE(YEAR(TODAY()),MONTH(TODAY()),1),0))-MONTH(IF(ISNUMBER(Suppliers!F33),Suppliers!F33,DATE(YEAR(TODAY()),MONTH(TODAY()),1))),12)=0,1,0),IF(Suppliers!E33="One-time",IF(0=0,1,0),1)))))),"")</f>
        <v/>
      </c>
      <c r="G35" s="10" t="str">
        <f ca="1">IFERROR(IF(OR(1&gt;=$B$1,Suppliers!A33="",NOT(ISNUMBER(Suppliers!D33)),Suppliers!L33="Expired",Suppliers!L33="Terminate"),"",Suppliers!D33*-1*IF(Suppliers!E33="Monthly",IF(AND(ISNUMBER(Suppliers!G33),(YEAR(EDATE(DATE(YEAR(TODAY()),MONTH(TODAY()),1),1))*12+MONTH(EDATE(DATE(YEAR(TODAY()),MONTH(TODAY()),1),1)))&gt;(YEAR(Suppliers!G33)*12+MONTH(Suppliers!G33))),"",1),IF(Suppliers!E33="Quarterly",IF(MOD((YEAR(EDATE(DATE(YEAR(TODAY()),MONTH(TODAY()),1),1))-YEAR(IF(ISNUMBER(Suppliers!F33),Suppliers!F33,DATE(YEAR(TODAY()),MONTH(TODAY()),1))))*12+MONTH(EDATE(DATE(YEAR(TODAY()),MONTH(TODAY()),1),1))-MONTH(IF(ISNUMBER(Suppliers!F33),Suppliers!F33,DATE(YEAR(TODAY()),MONTH(TODAY()),1))),3)=0,1,0),IF(Suppliers!E33="Semi-annual",IF(MOD((YEAR(EDATE(DATE(YEAR(TODAY()),MONTH(TODAY()),1),1))-YEAR(IF(ISNUMBER(Suppliers!F33),Suppliers!F33,DATE(YEAR(TODAY()),MONTH(TODAY()),1))))*12+MONTH(EDATE(DATE(YEAR(TODAY()),MONTH(TODAY()),1),1))-MONTH(IF(ISNUMBER(Suppliers!F33),Suppliers!F33,DATE(YEAR(TODAY()),MONTH(TODAY()),1))),6)=0,1,0),IF(Suppliers!E33="Annual",IF(MOD((YEAR(EDATE(DATE(YEAR(TODAY()),MONTH(TODAY()),1),1))-YEAR(IF(ISNUMBER(Suppliers!F33),Suppliers!F33,DATE(YEAR(TODAY()),MONTH(TODAY()),1))))*12+MONTH(EDATE(DATE(YEAR(TODAY()),MONTH(TODAY()),1),1))-MONTH(IF(ISNUMBER(Suppliers!F33),Suppliers!F33,DATE(YEAR(TODAY()),MONTH(TODAY()),1))),12)=0,1,0),IF(Suppliers!E33="One-time",IF(1=0,1,0),1)))))),"")</f>
        <v/>
      </c>
      <c r="H35" s="10" t="str">
        <f ca="1">IFERROR(IF(OR(2&gt;=$B$1,Suppliers!A33="",NOT(ISNUMBER(Suppliers!D33)),Suppliers!L33="Expired",Suppliers!L33="Terminate"),"",Suppliers!D33*-1*IF(Suppliers!E33="Monthly",IF(AND(ISNUMBER(Suppliers!G33),(YEAR(EDATE(DATE(YEAR(TODAY()),MONTH(TODAY()),1),2))*12+MONTH(EDATE(DATE(YEAR(TODAY()),MONTH(TODAY()),1),2)))&gt;(YEAR(Suppliers!G33)*12+MONTH(Suppliers!G33))),"",1),IF(Suppliers!E33="Quarterly",IF(MOD((YEAR(EDATE(DATE(YEAR(TODAY()),MONTH(TODAY()),1),2))-YEAR(IF(ISNUMBER(Suppliers!F33),Suppliers!F33,DATE(YEAR(TODAY()),MONTH(TODAY()),1))))*12+MONTH(EDATE(DATE(YEAR(TODAY()),MONTH(TODAY()),1),2))-MONTH(IF(ISNUMBER(Suppliers!F33),Suppliers!F33,DATE(YEAR(TODAY()),MONTH(TODAY()),1))),3)=0,1,0),IF(Suppliers!E33="Semi-annual",IF(MOD((YEAR(EDATE(DATE(YEAR(TODAY()),MONTH(TODAY()),1),2))-YEAR(IF(ISNUMBER(Suppliers!F33),Suppliers!F33,DATE(YEAR(TODAY()),MONTH(TODAY()),1))))*12+MONTH(EDATE(DATE(YEAR(TODAY()),MONTH(TODAY()),1),2))-MONTH(IF(ISNUMBER(Suppliers!F33),Suppliers!F33,DATE(YEAR(TODAY()),MONTH(TODAY()),1))),6)=0,1,0),IF(Suppliers!E33="Annual",IF(MOD((YEAR(EDATE(DATE(YEAR(TODAY()),MONTH(TODAY()),1),2))-YEAR(IF(ISNUMBER(Suppliers!F33),Suppliers!F33,DATE(YEAR(TODAY()),MONTH(TODAY()),1))))*12+MONTH(EDATE(DATE(YEAR(TODAY()),MONTH(TODAY()),1),2))-MONTH(IF(ISNUMBER(Suppliers!F33),Suppliers!F33,DATE(YEAR(TODAY()),MONTH(TODAY()),1))),12)=0,1,0),IF(Suppliers!E33="One-time",IF(2=0,1,0),1)))))),"")</f>
        <v/>
      </c>
      <c r="I35" s="10" t="str">
        <f ca="1">IFERROR(IF(OR(3&gt;=$B$1,Suppliers!A33="",NOT(ISNUMBER(Suppliers!D33)),Suppliers!L33="Expired",Suppliers!L33="Terminate"),"",Suppliers!D33*-1*IF(Suppliers!E33="Monthly",IF(AND(ISNUMBER(Suppliers!G33),(YEAR(EDATE(DATE(YEAR(TODAY()),MONTH(TODAY()),1),3))*12+MONTH(EDATE(DATE(YEAR(TODAY()),MONTH(TODAY()),1),3)))&gt;(YEAR(Suppliers!G33)*12+MONTH(Suppliers!G33))),"",1),IF(Suppliers!E33="Quarterly",IF(MOD((YEAR(EDATE(DATE(YEAR(TODAY()),MONTH(TODAY()),1),3))-YEAR(IF(ISNUMBER(Suppliers!F33),Suppliers!F33,DATE(YEAR(TODAY()),MONTH(TODAY()),1))))*12+MONTH(EDATE(DATE(YEAR(TODAY()),MONTH(TODAY()),1),3))-MONTH(IF(ISNUMBER(Suppliers!F33),Suppliers!F33,DATE(YEAR(TODAY()),MONTH(TODAY()),1))),3)=0,1,0),IF(Suppliers!E33="Semi-annual",IF(MOD((YEAR(EDATE(DATE(YEAR(TODAY()),MONTH(TODAY()),1),3))-YEAR(IF(ISNUMBER(Suppliers!F33),Suppliers!F33,DATE(YEAR(TODAY()),MONTH(TODAY()),1))))*12+MONTH(EDATE(DATE(YEAR(TODAY()),MONTH(TODAY()),1),3))-MONTH(IF(ISNUMBER(Suppliers!F33),Suppliers!F33,DATE(YEAR(TODAY()),MONTH(TODAY()),1))),6)=0,1,0),IF(Suppliers!E33="Annual",IF(MOD((YEAR(EDATE(DATE(YEAR(TODAY()),MONTH(TODAY()),1),3))-YEAR(IF(ISNUMBER(Suppliers!F33),Suppliers!F33,DATE(YEAR(TODAY()),MONTH(TODAY()),1))))*12+MONTH(EDATE(DATE(YEAR(TODAY()),MONTH(TODAY()),1),3))-MONTH(IF(ISNUMBER(Suppliers!F33),Suppliers!F33,DATE(YEAR(TODAY()),MONTH(TODAY()),1))),12)=0,1,0),IF(Suppliers!E33="One-time",IF(3=0,1,0),1)))))),"")</f>
        <v/>
      </c>
      <c r="J35" s="10" t="str">
        <f ca="1">IFERROR(IF(OR(4&gt;=$B$1,Suppliers!A33="",NOT(ISNUMBER(Suppliers!D33)),Suppliers!L33="Expired",Suppliers!L33="Terminate"),"",Suppliers!D33*-1*IF(Suppliers!E33="Monthly",IF(AND(ISNUMBER(Suppliers!G33),(YEAR(EDATE(DATE(YEAR(TODAY()),MONTH(TODAY()),1),4))*12+MONTH(EDATE(DATE(YEAR(TODAY()),MONTH(TODAY()),1),4)))&gt;(YEAR(Suppliers!G33)*12+MONTH(Suppliers!G33))),"",1),IF(Suppliers!E33="Quarterly",IF(MOD((YEAR(EDATE(DATE(YEAR(TODAY()),MONTH(TODAY()),1),4))-YEAR(IF(ISNUMBER(Suppliers!F33),Suppliers!F33,DATE(YEAR(TODAY()),MONTH(TODAY()),1))))*12+MONTH(EDATE(DATE(YEAR(TODAY()),MONTH(TODAY()),1),4))-MONTH(IF(ISNUMBER(Suppliers!F33),Suppliers!F33,DATE(YEAR(TODAY()),MONTH(TODAY()),1))),3)=0,1,0),IF(Suppliers!E33="Semi-annual",IF(MOD((YEAR(EDATE(DATE(YEAR(TODAY()),MONTH(TODAY()),1),4))-YEAR(IF(ISNUMBER(Suppliers!F33),Suppliers!F33,DATE(YEAR(TODAY()),MONTH(TODAY()),1))))*12+MONTH(EDATE(DATE(YEAR(TODAY()),MONTH(TODAY()),1),4))-MONTH(IF(ISNUMBER(Suppliers!F33),Suppliers!F33,DATE(YEAR(TODAY()),MONTH(TODAY()),1))),6)=0,1,0),IF(Suppliers!E33="Annual",IF(MOD((YEAR(EDATE(DATE(YEAR(TODAY()),MONTH(TODAY()),1),4))-YEAR(IF(ISNUMBER(Suppliers!F33),Suppliers!F33,DATE(YEAR(TODAY()),MONTH(TODAY()),1))))*12+MONTH(EDATE(DATE(YEAR(TODAY()),MONTH(TODAY()),1),4))-MONTH(IF(ISNUMBER(Suppliers!F33),Suppliers!F33,DATE(YEAR(TODAY()),MONTH(TODAY()),1))),12)=0,1,0),IF(Suppliers!E33="One-time",IF(4=0,1,0),1)))))),"")</f>
        <v/>
      </c>
      <c r="K35" s="10" t="str">
        <f ca="1">IFERROR(IF(OR(5&gt;=$B$1,Suppliers!A33="",NOT(ISNUMBER(Suppliers!D33)),Suppliers!L33="Expired",Suppliers!L33="Terminate"),"",Suppliers!D33*-1*IF(Suppliers!E33="Monthly",IF(AND(ISNUMBER(Suppliers!G33),(YEAR(EDATE(DATE(YEAR(TODAY()),MONTH(TODAY()),1),5))*12+MONTH(EDATE(DATE(YEAR(TODAY()),MONTH(TODAY()),1),5)))&gt;(YEAR(Suppliers!G33)*12+MONTH(Suppliers!G33))),"",1),IF(Suppliers!E33="Quarterly",IF(MOD((YEAR(EDATE(DATE(YEAR(TODAY()),MONTH(TODAY()),1),5))-YEAR(IF(ISNUMBER(Suppliers!F33),Suppliers!F33,DATE(YEAR(TODAY()),MONTH(TODAY()),1))))*12+MONTH(EDATE(DATE(YEAR(TODAY()),MONTH(TODAY()),1),5))-MONTH(IF(ISNUMBER(Suppliers!F33),Suppliers!F33,DATE(YEAR(TODAY()),MONTH(TODAY()),1))),3)=0,1,0),IF(Suppliers!E33="Semi-annual",IF(MOD((YEAR(EDATE(DATE(YEAR(TODAY()),MONTH(TODAY()),1),5))-YEAR(IF(ISNUMBER(Suppliers!F33),Suppliers!F33,DATE(YEAR(TODAY()),MONTH(TODAY()),1))))*12+MONTH(EDATE(DATE(YEAR(TODAY()),MONTH(TODAY()),1),5))-MONTH(IF(ISNUMBER(Suppliers!F33),Suppliers!F33,DATE(YEAR(TODAY()),MONTH(TODAY()),1))),6)=0,1,0),IF(Suppliers!E33="Annual",IF(MOD((YEAR(EDATE(DATE(YEAR(TODAY()),MONTH(TODAY()),1),5))-YEAR(IF(ISNUMBER(Suppliers!F33),Suppliers!F33,DATE(YEAR(TODAY()),MONTH(TODAY()),1))))*12+MONTH(EDATE(DATE(YEAR(TODAY()),MONTH(TODAY()),1),5))-MONTH(IF(ISNUMBER(Suppliers!F33),Suppliers!F33,DATE(YEAR(TODAY()),MONTH(TODAY()),1))),12)=0,1,0),IF(Suppliers!E33="One-time",IF(5=0,1,0),1)))))),"")</f>
        <v/>
      </c>
      <c r="L35" s="10" t="str">
        <f ca="1">IFERROR(IF(OR(6&gt;=$B$1,Suppliers!A33="",NOT(ISNUMBER(Suppliers!D33)),Suppliers!L33="Expired",Suppliers!L33="Terminate"),"",Suppliers!D33*-1*IF(Suppliers!E33="Monthly",IF(AND(ISNUMBER(Suppliers!G33),(YEAR(EDATE(DATE(YEAR(TODAY()),MONTH(TODAY()),1),6))*12+MONTH(EDATE(DATE(YEAR(TODAY()),MONTH(TODAY()),1),6)))&gt;(YEAR(Suppliers!G33)*12+MONTH(Suppliers!G33))),"",1),IF(Suppliers!E33="Quarterly",IF(MOD((YEAR(EDATE(DATE(YEAR(TODAY()),MONTH(TODAY()),1),6))-YEAR(IF(ISNUMBER(Suppliers!F33),Suppliers!F33,DATE(YEAR(TODAY()),MONTH(TODAY()),1))))*12+MONTH(EDATE(DATE(YEAR(TODAY()),MONTH(TODAY()),1),6))-MONTH(IF(ISNUMBER(Suppliers!F33),Suppliers!F33,DATE(YEAR(TODAY()),MONTH(TODAY()),1))),3)=0,1,0),IF(Suppliers!E33="Semi-annual",IF(MOD((YEAR(EDATE(DATE(YEAR(TODAY()),MONTH(TODAY()),1),6))-YEAR(IF(ISNUMBER(Suppliers!F33),Suppliers!F33,DATE(YEAR(TODAY()),MONTH(TODAY()),1))))*12+MONTH(EDATE(DATE(YEAR(TODAY()),MONTH(TODAY()),1),6))-MONTH(IF(ISNUMBER(Suppliers!F33),Suppliers!F33,DATE(YEAR(TODAY()),MONTH(TODAY()),1))),6)=0,1,0),IF(Suppliers!E33="Annual",IF(MOD((YEAR(EDATE(DATE(YEAR(TODAY()),MONTH(TODAY()),1),6))-YEAR(IF(ISNUMBER(Suppliers!F33),Suppliers!F33,DATE(YEAR(TODAY()),MONTH(TODAY()),1))))*12+MONTH(EDATE(DATE(YEAR(TODAY()),MONTH(TODAY()),1),6))-MONTH(IF(ISNUMBER(Suppliers!F33),Suppliers!F33,DATE(YEAR(TODAY()),MONTH(TODAY()),1))),12)=0,1,0),IF(Suppliers!E33="One-time",IF(6=0,1,0),1)))))),"")</f>
        <v/>
      </c>
      <c r="M35" s="10" t="str">
        <f ca="1">IFERROR(IF(OR(7&gt;=$B$1,Suppliers!A33="",NOT(ISNUMBER(Suppliers!D33)),Suppliers!L33="Expired",Suppliers!L33="Terminate"),"",Suppliers!D33*-1*IF(Suppliers!E33="Monthly",IF(AND(ISNUMBER(Suppliers!G33),(YEAR(EDATE(DATE(YEAR(TODAY()),MONTH(TODAY()),1),7))*12+MONTH(EDATE(DATE(YEAR(TODAY()),MONTH(TODAY()),1),7)))&gt;(YEAR(Suppliers!G33)*12+MONTH(Suppliers!G33))),"",1),IF(Suppliers!E33="Quarterly",IF(MOD((YEAR(EDATE(DATE(YEAR(TODAY()),MONTH(TODAY()),1),7))-YEAR(IF(ISNUMBER(Suppliers!F33),Suppliers!F33,DATE(YEAR(TODAY()),MONTH(TODAY()),1))))*12+MONTH(EDATE(DATE(YEAR(TODAY()),MONTH(TODAY()),1),7))-MONTH(IF(ISNUMBER(Suppliers!F33),Suppliers!F33,DATE(YEAR(TODAY()),MONTH(TODAY()),1))),3)=0,1,0),IF(Suppliers!E33="Semi-annual",IF(MOD((YEAR(EDATE(DATE(YEAR(TODAY()),MONTH(TODAY()),1),7))-YEAR(IF(ISNUMBER(Suppliers!F33),Suppliers!F33,DATE(YEAR(TODAY()),MONTH(TODAY()),1))))*12+MONTH(EDATE(DATE(YEAR(TODAY()),MONTH(TODAY()),1),7))-MONTH(IF(ISNUMBER(Suppliers!F33),Suppliers!F33,DATE(YEAR(TODAY()),MONTH(TODAY()),1))),6)=0,1,0),IF(Suppliers!E33="Annual",IF(MOD((YEAR(EDATE(DATE(YEAR(TODAY()),MONTH(TODAY()),1),7))-YEAR(IF(ISNUMBER(Suppliers!F33),Suppliers!F33,DATE(YEAR(TODAY()),MONTH(TODAY()),1))))*12+MONTH(EDATE(DATE(YEAR(TODAY()),MONTH(TODAY()),1),7))-MONTH(IF(ISNUMBER(Suppliers!F33),Suppliers!F33,DATE(YEAR(TODAY()),MONTH(TODAY()),1))),12)=0,1,0),IF(Suppliers!E33="One-time",IF(7=0,1,0),1)))))),"")</f>
        <v/>
      </c>
      <c r="N35" s="10" t="str">
        <f ca="1">IFERROR(IF(OR(8&gt;=$B$1,Suppliers!A33="",NOT(ISNUMBER(Suppliers!D33)),Suppliers!L33="Expired",Suppliers!L33="Terminate"),"",Suppliers!D33*-1*IF(Suppliers!E33="Monthly",IF(AND(ISNUMBER(Suppliers!G33),(YEAR(EDATE(DATE(YEAR(TODAY()),MONTH(TODAY()),1),8))*12+MONTH(EDATE(DATE(YEAR(TODAY()),MONTH(TODAY()),1),8)))&gt;(YEAR(Suppliers!G33)*12+MONTH(Suppliers!G33))),"",1),IF(Suppliers!E33="Quarterly",IF(MOD((YEAR(EDATE(DATE(YEAR(TODAY()),MONTH(TODAY()),1),8))-YEAR(IF(ISNUMBER(Suppliers!F33),Suppliers!F33,DATE(YEAR(TODAY()),MONTH(TODAY()),1))))*12+MONTH(EDATE(DATE(YEAR(TODAY()),MONTH(TODAY()),1),8))-MONTH(IF(ISNUMBER(Suppliers!F33),Suppliers!F33,DATE(YEAR(TODAY()),MONTH(TODAY()),1))),3)=0,1,0),IF(Suppliers!E33="Semi-annual",IF(MOD((YEAR(EDATE(DATE(YEAR(TODAY()),MONTH(TODAY()),1),8))-YEAR(IF(ISNUMBER(Suppliers!F33),Suppliers!F33,DATE(YEAR(TODAY()),MONTH(TODAY()),1))))*12+MONTH(EDATE(DATE(YEAR(TODAY()),MONTH(TODAY()),1),8))-MONTH(IF(ISNUMBER(Suppliers!F33),Suppliers!F33,DATE(YEAR(TODAY()),MONTH(TODAY()),1))),6)=0,1,0),IF(Suppliers!E33="Annual",IF(MOD((YEAR(EDATE(DATE(YEAR(TODAY()),MONTH(TODAY()),1),8))-YEAR(IF(ISNUMBER(Suppliers!F33),Suppliers!F33,DATE(YEAR(TODAY()),MONTH(TODAY()),1))))*12+MONTH(EDATE(DATE(YEAR(TODAY()),MONTH(TODAY()),1),8))-MONTH(IF(ISNUMBER(Suppliers!F33),Suppliers!F33,DATE(YEAR(TODAY()),MONTH(TODAY()),1))),12)=0,1,0),IF(Suppliers!E33="One-time",IF(8=0,1,0),1)))))),"")</f>
        <v/>
      </c>
      <c r="O35" s="10" t="str">
        <f ca="1">IFERROR(IF(OR(9&gt;=$B$1,Suppliers!A33="",NOT(ISNUMBER(Suppliers!D33)),Suppliers!L33="Expired",Suppliers!L33="Terminate"),"",Suppliers!D33*-1*IF(Suppliers!E33="Monthly",IF(AND(ISNUMBER(Suppliers!G33),(YEAR(EDATE(DATE(YEAR(TODAY()),MONTH(TODAY()),1),9))*12+MONTH(EDATE(DATE(YEAR(TODAY()),MONTH(TODAY()),1),9)))&gt;(YEAR(Suppliers!G33)*12+MONTH(Suppliers!G33))),"",1),IF(Suppliers!E33="Quarterly",IF(MOD((YEAR(EDATE(DATE(YEAR(TODAY()),MONTH(TODAY()),1),9))-YEAR(IF(ISNUMBER(Suppliers!F33),Suppliers!F33,DATE(YEAR(TODAY()),MONTH(TODAY()),1))))*12+MONTH(EDATE(DATE(YEAR(TODAY()),MONTH(TODAY()),1),9))-MONTH(IF(ISNUMBER(Suppliers!F33),Suppliers!F33,DATE(YEAR(TODAY()),MONTH(TODAY()),1))),3)=0,1,0),IF(Suppliers!E33="Semi-annual",IF(MOD((YEAR(EDATE(DATE(YEAR(TODAY()),MONTH(TODAY()),1),9))-YEAR(IF(ISNUMBER(Suppliers!F33),Suppliers!F33,DATE(YEAR(TODAY()),MONTH(TODAY()),1))))*12+MONTH(EDATE(DATE(YEAR(TODAY()),MONTH(TODAY()),1),9))-MONTH(IF(ISNUMBER(Suppliers!F33),Suppliers!F33,DATE(YEAR(TODAY()),MONTH(TODAY()),1))),6)=0,1,0),IF(Suppliers!E33="Annual",IF(MOD((YEAR(EDATE(DATE(YEAR(TODAY()),MONTH(TODAY()),1),9))-YEAR(IF(ISNUMBER(Suppliers!F33),Suppliers!F33,DATE(YEAR(TODAY()),MONTH(TODAY()),1))))*12+MONTH(EDATE(DATE(YEAR(TODAY()),MONTH(TODAY()),1),9))-MONTH(IF(ISNUMBER(Suppliers!F33),Suppliers!F33,DATE(YEAR(TODAY()),MONTH(TODAY()),1))),12)=0,1,0),IF(Suppliers!E33="One-time",IF(9=0,1,0),1)))))),"")</f>
        <v/>
      </c>
      <c r="P35" s="10" t="str">
        <f ca="1">IFERROR(IF(OR(10&gt;=$B$1,Suppliers!A33="",NOT(ISNUMBER(Suppliers!D33)),Suppliers!L33="Expired",Suppliers!L33="Terminate"),"",Suppliers!D33*-1*IF(Suppliers!E33="Monthly",IF(AND(ISNUMBER(Suppliers!G33),(YEAR(EDATE(DATE(YEAR(TODAY()),MONTH(TODAY()),1),10))*12+MONTH(EDATE(DATE(YEAR(TODAY()),MONTH(TODAY()),1),10)))&gt;(YEAR(Suppliers!G33)*12+MONTH(Suppliers!G33))),"",1),IF(Suppliers!E33="Quarterly",IF(MOD((YEAR(EDATE(DATE(YEAR(TODAY()),MONTH(TODAY()),1),10))-YEAR(IF(ISNUMBER(Suppliers!F33),Suppliers!F33,DATE(YEAR(TODAY()),MONTH(TODAY()),1))))*12+MONTH(EDATE(DATE(YEAR(TODAY()),MONTH(TODAY()),1),10))-MONTH(IF(ISNUMBER(Suppliers!F33),Suppliers!F33,DATE(YEAR(TODAY()),MONTH(TODAY()),1))),3)=0,1,0),IF(Suppliers!E33="Semi-annual",IF(MOD((YEAR(EDATE(DATE(YEAR(TODAY()),MONTH(TODAY()),1),10))-YEAR(IF(ISNUMBER(Suppliers!F33),Suppliers!F33,DATE(YEAR(TODAY()),MONTH(TODAY()),1))))*12+MONTH(EDATE(DATE(YEAR(TODAY()),MONTH(TODAY()),1),10))-MONTH(IF(ISNUMBER(Suppliers!F33),Suppliers!F33,DATE(YEAR(TODAY()),MONTH(TODAY()),1))),6)=0,1,0),IF(Suppliers!E33="Annual",IF(MOD((YEAR(EDATE(DATE(YEAR(TODAY()),MONTH(TODAY()),1),10))-YEAR(IF(ISNUMBER(Suppliers!F33),Suppliers!F33,DATE(YEAR(TODAY()),MONTH(TODAY()),1))))*12+MONTH(EDATE(DATE(YEAR(TODAY()),MONTH(TODAY()),1),10))-MONTH(IF(ISNUMBER(Suppliers!F33),Suppliers!F33,DATE(YEAR(TODAY()),MONTH(TODAY()),1))),12)=0,1,0),IF(Suppliers!E33="One-time",IF(10=0,1,0),1)))))),"")</f>
        <v/>
      </c>
      <c r="Q35" s="10" t="str">
        <f ca="1">IFERROR(IF(OR(11&gt;=$B$1,Suppliers!A33="",NOT(ISNUMBER(Suppliers!D33)),Suppliers!L33="Expired",Suppliers!L33="Terminate"),"",Suppliers!D33*-1*IF(Suppliers!E33="Monthly",IF(AND(ISNUMBER(Suppliers!G33),(YEAR(EDATE(DATE(YEAR(TODAY()),MONTH(TODAY()),1),11))*12+MONTH(EDATE(DATE(YEAR(TODAY()),MONTH(TODAY()),1),11)))&gt;(YEAR(Suppliers!G33)*12+MONTH(Suppliers!G33))),"",1),IF(Suppliers!E33="Quarterly",IF(MOD((YEAR(EDATE(DATE(YEAR(TODAY()),MONTH(TODAY()),1),11))-YEAR(IF(ISNUMBER(Suppliers!F33),Suppliers!F33,DATE(YEAR(TODAY()),MONTH(TODAY()),1))))*12+MONTH(EDATE(DATE(YEAR(TODAY()),MONTH(TODAY()),1),11))-MONTH(IF(ISNUMBER(Suppliers!F33),Suppliers!F33,DATE(YEAR(TODAY()),MONTH(TODAY()),1))),3)=0,1,0),IF(Suppliers!E33="Semi-annual",IF(MOD((YEAR(EDATE(DATE(YEAR(TODAY()),MONTH(TODAY()),1),11))-YEAR(IF(ISNUMBER(Suppliers!F33),Suppliers!F33,DATE(YEAR(TODAY()),MONTH(TODAY()),1))))*12+MONTH(EDATE(DATE(YEAR(TODAY()),MONTH(TODAY()),1),11))-MONTH(IF(ISNUMBER(Suppliers!F33),Suppliers!F33,DATE(YEAR(TODAY()),MONTH(TODAY()),1))),6)=0,1,0),IF(Suppliers!E33="Annual",IF(MOD((YEAR(EDATE(DATE(YEAR(TODAY()),MONTH(TODAY()),1),11))-YEAR(IF(ISNUMBER(Suppliers!F33),Suppliers!F33,DATE(YEAR(TODAY()),MONTH(TODAY()),1))))*12+MONTH(EDATE(DATE(YEAR(TODAY()),MONTH(TODAY()),1),11))-MONTH(IF(ISNUMBER(Suppliers!F33),Suppliers!F33,DATE(YEAR(TODAY()),MONTH(TODAY()),1))),12)=0,1,0),IF(Suppliers!E33="One-time",IF(11=0,1,0),1)))))),"")</f>
        <v/>
      </c>
      <c r="R35" s="10" t="str">
        <f ca="1">IFERROR(IF(OR(12&gt;=$B$1,Suppliers!A33="",NOT(ISNUMBER(Suppliers!D33)),Suppliers!L33="Expired",Suppliers!L33="Terminate"),"",Suppliers!D33*-1*IF(Suppliers!E33="Monthly",IF(AND(ISNUMBER(Suppliers!G33),(YEAR(EDATE(DATE(YEAR(TODAY()),MONTH(TODAY()),1),12))*12+MONTH(EDATE(DATE(YEAR(TODAY()),MONTH(TODAY()),1),12)))&gt;(YEAR(Suppliers!G33)*12+MONTH(Suppliers!G33))),"",1),IF(Suppliers!E33="Quarterly",IF(MOD((YEAR(EDATE(DATE(YEAR(TODAY()),MONTH(TODAY()),1),12))-YEAR(IF(ISNUMBER(Suppliers!F33),Suppliers!F33,DATE(YEAR(TODAY()),MONTH(TODAY()),1))))*12+MONTH(EDATE(DATE(YEAR(TODAY()),MONTH(TODAY()),1),12))-MONTH(IF(ISNUMBER(Suppliers!F33),Suppliers!F33,DATE(YEAR(TODAY()),MONTH(TODAY()),1))),3)=0,1,0),IF(Suppliers!E33="Semi-annual",IF(MOD((YEAR(EDATE(DATE(YEAR(TODAY()),MONTH(TODAY()),1),12))-YEAR(IF(ISNUMBER(Suppliers!F33),Suppliers!F33,DATE(YEAR(TODAY()),MONTH(TODAY()),1))))*12+MONTH(EDATE(DATE(YEAR(TODAY()),MONTH(TODAY()),1),12))-MONTH(IF(ISNUMBER(Suppliers!F33),Suppliers!F33,DATE(YEAR(TODAY()),MONTH(TODAY()),1))),6)=0,1,0),IF(Suppliers!E33="Annual",IF(MOD((YEAR(EDATE(DATE(YEAR(TODAY()),MONTH(TODAY()),1),12))-YEAR(IF(ISNUMBER(Suppliers!F33),Suppliers!F33,DATE(YEAR(TODAY()),MONTH(TODAY()),1))))*12+MONTH(EDATE(DATE(YEAR(TODAY()),MONTH(TODAY()),1),12))-MONTH(IF(ISNUMBER(Suppliers!F33),Suppliers!F33,DATE(YEAR(TODAY()),MONTH(TODAY()),1))),12)=0,1,0),IF(Suppliers!E33="One-time",IF(12=0,1,0),1)))))),"")</f>
        <v/>
      </c>
      <c r="S35" s="10" t="str">
        <f ca="1">IFERROR(IF(OR(13&gt;=$B$1,Suppliers!A33="",NOT(ISNUMBER(Suppliers!D33)),Suppliers!L33="Expired",Suppliers!L33="Terminate"),"",Suppliers!D33*-1*IF(Suppliers!E33="Monthly",IF(AND(ISNUMBER(Suppliers!G33),(YEAR(EDATE(DATE(YEAR(TODAY()),MONTH(TODAY()),1),13))*12+MONTH(EDATE(DATE(YEAR(TODAY()),MONTH(TODAY()),1),13)))&gt;(YEAR(Suppliers!G33)*12+MONTH(Suppliers!G33))),"",1),IF(Suppliers!E33="Quarterly",IF(MOD((YEAR(EDATE(DATE(YEAR(TODAY()),MONTH(TODAY()),1),13))-YEAR(IF(ISNUMBER(Suppliers!F33),Suppliers!F33,DATE(YEAR(TODAY()),MONTH(TODAY()),1))))*12+MONTH(EDATE(DATE(YEAR(TODAY()),MONTH(TODAY()),1),13))-MONTH(IF(ISNUMBER(Suppliers!F33),Suppliers!F33,DATE(YEAR(TODAY()),MONTH(TODAY()),1))),3)=0,1,0),IF(Suppliers!E33="Semi-annual",IF(MOD((YEAR(EDATE(DATE(YEAR(TODAY()),MONTH(TODAY()),1),13))-YEAR(IF(ISNUMBER(Suppliers!F33),Suppliers!F33,DATE(YEAR(TODAY()),MONTH(TODAY()),1))))*12+MONTH(EDATE(DATE(YEAR(TODAY()),MONTH(TODAY()),1),13))-MONTH(IF(ISNUMBER(Suppliers!F33),Suppliers!F33,DATE(YEAR(TODAY()),MONTH(TODAY()),1))),6)=0,1,0),IF(Suppliers!E33="Annual",IF(MOD((YEAR(EDATE(DATE(YEAR(TODAY()),MONTH(TODAY()),1),13))-YEAR(IF(ISNUMBER(Suppliers!F33),Suppliers!F33,DATE(YEAR(TODAY()),MONTH(TODAY()),1))))*12+MONTH(EDATE(DATE(YEAR(TODAY()),MONTH(TODAY()),1),13))-MONTH(IF(ISNUMBER(Suppliers!F33),Suppliers!F33,DATE(YEAR(TODAY()),MONTH(TODAY()),1))),12)=0,1,0),IF(Suppliers!E33="One-time",IF(13=0,1,0),1)))))),"")</f>
        <v/>
      </c>
      <c r="T35" s="10" t="str">
        <f ca="1">IFERROR(IF(OR(14&gt;=$B$1,Suppliers!A33="",NOT(ISNUMBER(Suppliers!D33)),Suppliers!L33="Expired",Suppliers!L33="Terminate"),"",Suppliers!D33*-1*IF(Suppliers!E33="Monthly",IF(AND(ISNUMBER(Suppliers!G33),(YEAR(EDATE(DATE(YEAR(TODAY()),MONTH(TODAY()),1),14))*12+MONTH(EDATE(DATE(YEAR(TODAY()),MONTH(TODAY()),1),14)))&gt;(YEAR(Suppliers!G33)*12+MONTH(Suppliers!G33))),"",1),IF(Suppliers!E33="Quarterly",IF(MOD((YEAR(EDATE(DATE(YEAR(TODAY()),MONTH(TODAY()),1),14))-YEAR(IF(ISNUMBER(Suppliers!F33),Suppliers!F33,DATE(YEAR(TODAY()),MONTH(TODAY()),1))))*12+MONTH(EDATE(DATE(YEAR(TODAY()),MONTH(TODAY()),1),14))-MONTH(IF(ISNUMBER(Suppliers!F33),Suppliers!F33,DATE(YEAR(TODAY()),MONTH(TODAY()),1))),3)=0,1,0),IF(Suppliers!E33="Semi-annual",IF(MOD((YEAR(EDATE(DATE(YEAR(TODAY()),MONTH(TODAY()),1),14))-YEAR(IF(ISNUMBER(Suppliers!F33),Suppliers!F33,DATE(YEAR(TODAY()),MONTH(TODAY()),1))))*12+MONTH(EDATE(DATE(YEAR(TODAY()),MONTH(TODAY()),1),14))-MONTH(IF(ISNUMBER(Suppliers!F33),Suppliers!F33,DATE(YEAR(TODAY()),MONTH(TODAY()),1))),6)=0,1,0),IF(Suppliers!E33="Annual",IF(MOD((YEAR(EDATE(DATE(YEAR(TODAY()),MONTH(TODAY()),1),14))-YEAR(IF(ISNUMBER(Suppliers!F33),Suppliers!F33,DATE(YEAR(TODAY()),MONTH(TODAY()),1))))*12+MONTH(EDATE(DATE(YEAR(TODAY()),MONTH(TODAY()),1),14))-MONTH(IF(ISNUMBER(Suppliers!F33),Suppliers!F33,DATE(YEAR(TODAY()),MONTH(TODAY()),1))),12)=0,1,0),IF(Suppliers!E33="One-time",IF(14=0,1,0),1)))))),"")</f>
        <v/>
      </c>
      <c r="U35" s="10" t="str">
        <f ca="1">IFERROR(IF(OR(15&gt;=$B$1,Suppliers!A33="",NOT(ISNUMBER(Suppliers!D33)),Suppliers!L33="Expired",Suppliers!L33="Terminate"),"",Suppliers!D33*-1*IF(Suppliers!E33="Monthly",IF(AND(ISNUMBER(Suppliers!G33),(YEAR(EDATE(DATE(YEAR(TODAY()),MONTH(TODAY()),1),15))*12+MONTH(EDATE(DATE(YEAR(TODAY()),MONTH(TODAY()),1),15)))&gt;(YEAR(Suppliers!G33)*12+MONTH(Suppliers!G33))),"",1),IF(Suppliers!E33="Quarterly",IF(MOD((YEAR(EDATE(DATE(YEAR(TODAY()),MONTH(TODAY()),1),15))-YEAR(IF(ISNUMBER(Suppliers!F33),Suppliers!F33,DATE(YEAR(TODAY()),MONTH(TODAY()),1))))*12+MONTH(EDATE(DATE(YEAR(TODAY()),MONTH(TODAY()),1),15))-MONTH(IF(ISNUMBER(Suppliers!F33),Suppliers!F33,DATE(YEAR(TODAY()),MONTH(TODAY()),1))),3)=0,1,0),IF(Suppliers!E33="Semi-annual",IF(MOD((YEAR(EDATE(DATE(YEAR(TODAY()),MONTH(TODAY()),1),15))-YEAR(IF(ISNUMBER(Suppliers!F33),Suppliers!F33,DATE(YEAR(TODAY()),MONTH(TODAY()),1))))*12+MONTH(EDATE(DATE(YEAR(TODAY()),MONTH(TODAY()),1),15))-MONTH(IF(ISNUMBER(Suppliers!F33),Suppliers!F33,DATE(YEAR(TODAY()),MONTH(TODAY()),1))),6)=0,1,0),IF(Suppliers!E33="Annual",IF(MOD((YEAR(EDATE(DATE(YEAR(TODAY()),MONTH(TODAY()),1),15))-YEAR(IF(ISNUMBER(Suppliers!F33),Suppliers!F33,DATE(YEAR(TODAY()),MONTH(TODAY()),1))))*12+MONTH(EDATE(DATE(YEAR(TODAY()),MONTH(TODAY()),1),15))-MONTH(IF(ISNUMBER(Suppliers!F33),Suppliers!F33,DATE(YEAR(TODAY()),MONTH(TODAY()),1))),12)=0,1,0),IF(Suppliers!E33="One-time",IF(15=0,1,0),1)))))),"")</f>
        <v/>
      </c>
      <c r="V35" s="10" t="str">
        <f ca="1">IFERROR(IF(OR(16&gt;=$B$1,Suppliers!A33="",NOT(ISNUMBER(Suppliers!D33)),Suppliers!L33="Expired",Suppliers!L33="Terminate"),"",Suppliers!D33*-1*IF(Suppliers!E33="Monthly",IF(AND(ISNUMBER(Suppliers!G33),(YEAR(EDATE(DATE(YEAR(TODAY()),MONTH(TODAY()),1),16))*12+MONTH(EDATE(DATE(YEAR(TODAY()),MONTH(TODAY()),1),16)))&gt;(YEAR(Suppliers!G33)*12+MONTH(Suppliers!G33))),"",1),IF(Suppliers!E33="Quarterly",IF(MOD((YEAR(EDATE(DATE(YEAR(TODAY()),MONTH(TODAY()),1),16))-YEAR(IF(ISNUMBER(Suppliers!F33),Suppliers!F33,DATE(YEAR(TODAY()),MONTH(TODAY()),1))))*12+MONTH(EDATE(DATE(YEAR(TODAY()),MONTH(TODAY()),1),16))-MONTH(IF(ISNUMBER(Suppliers!F33),Suppliers!F33,DATE(YEAR(TODAY()),MONTH(TODAY()),1))),3)=0,1,0),IF(Suppliers!E33="Semi-annual",IF(MOD((YEAR(EDATE(DATE(YEAR(TODAY()),MONTH(TODAY()),1),16))-YEAR(IF(ISNUMBER(Suppliers!F33),Suppliers!F33,DATE(YEAR(TODAY()),MONTH(TODAY()),1))))*12+MONTH(EDATE(DATE(YEAR(TODAY()),MONTH(TODAY()),1),16))-MONTH(IF(ISNUMBER(Suppliers!F33),Suppliers!F33,DATE(YEAR(TODAY()),MONTH(TODAY()),1))),6)=0,1,0),IF(Suppliers!E33="Annual",IF(MOD((YEAR(EDATE(DATE(YEAR(TODAY()),MONTH(TODAY()),1),16))-YEAR(IF(ISNUMBER(Suppliers!F33),Suppliers!F33,DATE(YEAR(TODAY()),MONTH(TODAY()),1))))*12+MONTH(EDATE(DATE(YEAR(TODAY()),MONTH(TODAY()),1),16))-MONTH(IF(ISNUMBER(Suppliers!F33),Suppliers!F33,DATE(YEAR(TODAY()),MONTH(TODAY()),1))),12)=0,1,0),IF(Suppliers!E33="One-time",IF(16=0,1,0),1)))))),"")</f>
        <v/>
      </c>
      <c r="W35" s="10" t="str">
        <f ca="1">IFERROR(IF(OR(17&gt;=$B$1,Suppliers!A33="",NOT(ISNUMBER(Suppliers!D33)),Suppliers!L33="Expired",Suppliers!L33="Terminate"),"",Suppliers!D33*-1*IF(Suppliers!E33="Monthly",IF(AND(ISNUMBER(Suppliers!G33),(YEAR(EDATE(DATE(YEAR(TODAY()),MONTH(TODAY()),1),17))*12+MONTH(EDATE(DATE(YEAR(TODAY()),MONTH(TODAY()),1),17)))&gt;(YEAR(Suppliers!G33)*12+MONTH(Suppliers!G33))),"",1),IF(Suppliers!E33="Quarterly",IF(MOD((YEAR(EDATE(DATE(YEAR(TODAY()),MONTH(TODAY()),1),17))-YEAR(IF(ISNUMBER(Suppliers!F33),Suppliers!F33,DATE(YEAR(TODAY()),MONTH(TODAY()),1))))*12+MONTH(EDATE(DATE(YEAR(TODAY()),MONTH(TODAY()),1),17))-MONTH(IF(ISNUMBER(Suppliers!F33),Suppliers!F33,DATE(YEAR(TODAY()),MONTH(TODAY()),1))),3)=0,1,0),IF(Suppliers!E33="Semi-annual",IF(MOD((YEAR(EDATE(DATE(YEAR(TODAY()),MONTH(TODAY()),1),17))-YEAR(IF(ISNUMBER(Suppliers!F33),Suppliers!F33,DATE(YEAR(TODAY()),MONTH(TODAY()),1))))*12+MONTH(EDATE(DATE(YEAR(TODAY()),MONTH(TODAY()),1),17))-MONTH(IF(ISNUMBER(Suppliers!F33),Suppliers!F33,DATE(YEAR(TODAY()),MONTH(TODAY()),1))),6)=0,1,0),IF(Suppliers!E33="Annual",IF(MOD((YEAR(EDATE(DATE(YEAR(TODAY()),MONTH(TODAY()),1),17))-YEAR(IF(ISNUMBER(Suppliers!F33),Suppliers!F33,DATE(YEAR(TODAY()),MONTH(TODAY()),1))))*12+MONTH(EDATE(DATE(YEAR(TODAY()),MONTH(TODAY()),1),17))-MONTH(IF(ISNUMBER(Suppliers!F33),Suppliers!F33,DATE(YEAR(TODAY()),MONTH(TODAY()),1))),12)=0,1,0),IF(Suppliers!E33="One-time",IF(17=0,1,0),1)))))),"")</f>
        <v/>
      </c>
      <c r="X35" s="10" t="str">
        <f ca="1">IFERROR(IF(OR(18&gt;=$B$1,Suppliers!A33="",NOT(ISNUMBER(Suppliers!D33)),Suppliers!L33="Expired",Suppliers!L33="Terminate"),"",Suppliers!D33*-1*IF(Suppliers!E33="Monthly",IF(AND(ISNUMBER(Suppliers!G33),(YEAR(EDATE(DATE(YEAR(TODAY()),MONTH(TODAY()),1),18))*12+MONTH(EDATE(DATE(YEAR(TODAY()),MONTH(TODAY()),1),18)))&gt;(YEAR(Suppliers!G33)*12+MONTH(Suppliers!G33))),"",1),IF(Suppliers!E33="Quarterly",IF(MOD((YEAR(EDATE(DATE(YEAR(TODAY()),MONTH(TODAY()),1),18))-YEAR(IF(ISNUMBER(Suppliers!F33),Suppliers!F33,DATE(YEAR(TODAY()),MONTH(TODAY()),1))))*12+MONTH(EDATE(DATE(YEAR(TODAY()),MONTH(TODAY()),1),18))-MONTH(IF(ISNUMBER(Suppliers!F33),Suppliers!F33,DATE(YEAR(TODAY()),MONTH(TODAY()),1))),3)=0,1,0),IF(Suppliers!E33="Semi-annual",IF(MOD((YEAR(EDATE(DATE(YEAR(TODAY()),MONTH(TODAY()),1),18))-YEAR(IF(ISNUMBER(Suppliers!F33),Suppliers!F33,DATE(YEAR(TODAY()),MONTH(TODAY()),1))))*12+MONTH(EDATE(DATE(YEAR(TODAY()),MONTH(TODAY()),1),18))-MONTH(IF(ISNUMBER(Suppliers!F33),Suppliers!F33,DATE(YEAR(TODAY()),MONTH(TODAY()),1))),6)=0,1,0),IF(Suppliers!E33="Annual",IF(MOD((YEAR(EDATE(DATE(YEAR(TODAY()),MONTH(TODAY()),1),18))-YEAR(IF(ISNUMBER(Suppliers!F33),Suppliers!F33,DATE(YEAR(TODAY()),MONTH(TODAY()),1))))*12+MONTH(EDATE(DATE(YEAR(TODAY()),MONTH(TODAY()),1),18))-MONTH(IF(ISNUMBER(Suppliers!F33),Suppliers!F33,DATE(YEAR(TODAY()),MONTH(TODAY()),1))),12)=0,1,0),IF(Suppliers!E33="One-time",IF(18=0,1,0),1)))))),"")</f>
        <v/>
      </c>
      <c r="Y35" s="10" t="str">
        <f ca="1">IFERROR(IF(OR(19&gt;=$B$1,Suppliers!A33="",NOT(ISNUMBER(Suppliers!D33)),Suppliers!L33="Expired",Suppliers!L33="Terminate"),"",Suppliers!D33*-1*IF(Suppliers!E33="Monthly",IF(AND(ISNUMBER(Suppliers!G33),(YEAR(EDATE(DATE(YEAR(TODAY()),MONTH(TODAY()),1),19))*12+MONTH(EDATE(DATE(YEAR(TODAY()),MONTH(TODAY()),1),19)))&gt;(YEAR(Suppliers!G33)*12+MONTH(Suppliers!G33))),"",1),IF(Suppliers!E33="Quarterly",IF(MOD((YEAR(EDATE(DATE(YEAR(TODAY()),MONTH(TODAY()),1),19))-YEAR(IF(ISNUMBER(Suppliers!F33),Suppliers!F33,DATE(YEAR(TODAY()),MONTH(TODAY()),1))))*12+MONTH(EDATE(DATE(YEAR(TODAY()),MONTH(TODAY()),1),19))-MONTH(IF(ISNUMBER(Suppliers!F33),Suppliers!F33,DATE(YEAR(TODAY()),MONTH(TODAY()),1))),3)=0,1,0),IF(Suppliers!E33="Semi-annual",IF(MOD((YEAR(EDATE(DATE(YEAR(TODAY()),MONTH(TODAY()),1),19))-YEAR(IF(ISNUMBER(Suppliers!F33),Suppliers!F33,DATE(YEAR(TODAY()),MONTH(TODAY()),1))))*12+MONTH(EDATE(DATE(YEAR(TODAY()),MONTH(TODAY()),1),19))-MONTH(IF(ISNUMBER(Suppliers!F33),Suppliers!F33,DATE(YEAR(TODAY()),MONTH(TODAY()),1))),6)=0,1,0),IF(Suppliers!E33="Annual",IF(MOD((YEAR(EDATE(DATE(YEAR(TODAY()),MONTH(TODAY()),1),19))-YEAR(IF(ISNUMBER(Suppliers!F33),Suppliers!F33,DATE(YEAR(TODAY()),MONTH(TODAY()),1))))*12+MONTH(EDATE(DATE(YEAR(TODAY()),MONTH(TODAY()),1),19))-MONTH(IF(ISNUMBER(Suppliers!F33),Suppliers!F33,DATE(YEAR(TODAY()),MONTH(TODAY()),1))),12)=0,1,0),IF(Suppliers!E33="One-time",IF(19=0,1,0),1)))))),"")</f>
        <v/>
      </c>
      <c r="Z35" s="10" t="str">
        <f ca="1">IFERROR(IF(OR(20&gt;=$B$1,Suppliers!A33="",NOT(ISNUMBER(Suppliers!D33)),Suppliers!L33="Expired",Suppliers!L33="Terminate"),"",Suppliers!D33*-1*IF(Suppliers!E33="Monthly",IF(AND(ISNUMBER(Suppliers!G33),(YEAR(EDATE(DATE(YEAR(TODAY()),MONTH(TODAY()),1),20))*12+MONTH(EDATE(DATE(YEAR(TODAY()),MONTH(TODAY()),1),20)))&gt;(YEAR(Suppliers!G33)*12+MONTH(Suppliers!G33))),"",1),IF(Suppliers!E33="Quarterly",IF(MOD((YEAR(EDATE(DATE(YEAR(TODAY()),MONTH(TODAY()),1),20))-YEAR(IF(ISNUMBER(Suppliers!F33),Suppliers!F33,DATE(YEAR(TODAY()),MONTH(TODAY()),1))))*12+MONTH(EDATE(DATE(YEAR(TODAY()),MONTH(TODAY()),1),20))-MONTH(IF(ISNUMBER(Suppliers!F33),Suppliers!F33,DATE(YEAR(TODAY()),MONTH(TODAY()),1))),3)=0,1,0),IF(Suppliers!E33="Semi-annual",IF(MOD((YEAR(EDATE(DATE(YEAR(TODAY()),MONTH(TODAY()),1),20))-YEAR(IF(ISNUMBER(Suppliers!F33),Suppliers!F33,DATE(YEAR(TODAY()),MONTH(TODAY()),1))))*12+MONTH(EDATE(DATE(YEAR(TODAY()),MONTH(TODAY()),1),20))-MONTH(IF(ISNUMBER(Suppliers!F33),Suppliers!F33,DATE(YEAR(TODAY()),MONTH(TODAY()),1))),6)=0,1,0),IF(Suppliers!E33="Annual",IF(MOD((YEAR(EDATE(DATE(YEAR(TODAY()),MONTH(TODAY()),1),20))-YEAR(IF(ISNUMBER(Suppliers!F33),Suppliers!F33,DATE(YEAR(TODAY()),MONTH(TODAY()),1))))*12+MONTH(EDATE(DATE(YEAR(TODAY()),MONTH(TODAY()),1),20))-MONTH(IF(ISNUMBER(Suppliers!F33),Suppliers!F33,DATE(YEAR(TODAY()),MONTH(TODAY()),1))),12)=0,1,0),IF(Suppliers!E33="One-time",IF(20=0,1,0),1)))))),"")</f>
        <v/>
      </c>
      <c r="AA35" s="10" t="str">
        <f ca="1">IFERROR(IF(OR(21&gt;=$B$1,Suppliers!A33="",NOT(ISNUMBER(Suppliers!D33)),Suppliers!L33="Expired",Suppliers!L33="Terminate"),"",Suppliers!D33*-1*IF(Suppliers!E33="Monthly",IF(AND(ISNUMBER(Suppliers!G33),(YEAR(EDATE(DATE(YEAR(TODAY()),MONTH(TODAY()),1),21))*12+MONTH(EDATE(DATE(YEAR(TODAY()),MONTH(TODAY()),1),21)))&gt;(YEAR(Suppliers!G33)*12+MONTH(Suppliers!G33))),"",1),IF(Suppliers!E33="Quarterly",IF(MOD((YEAR(EDATE(DATE(YEAR(TODAY()),MONTH(TODAY()),1),21))-YEAR(IF(ISNUMBER(Suppliers!F33),Suppliers!F33,DATE(YEAR(TODAY()),MONTH(TODAY()),1))))*12+MONTH(EDATE(DATE(YEAR(TODAY()),MONTH(TODAY()),1),21))-MONTH(IF(ISNUMBER(Suppliers!F33),Suppliers!F33,DATE(YEAR(TODAY()),MONTH(TODAY()),1))),3)=0,1,0),IF(Suppliers!E33="Semi-annual",IF(MOD((YEAR(EDATE(DATE(YEAR(TODAY()),MONTH(TODAY()),1),21))-YEAR(IF(ISNUMBER(Suppliers!F33),Suppliers!F33,DATE(YEAR(TODAY()),MONTH(TODAY()),1))))*12+MONTH(EDATE(DATE(YEAR(TODAY()),MONTH(TODAY()),1),21))-MONTH(IF(ISNUMBER(Suppliers!F33),Suppliers!F33,DATE(YEAR(TODAY()),MONTH(TODAY()),1))),6)=0,1,0),IF(Suppliers!E33="Annual",IF(MOD((YEAR(EDATE(DATE(YEAR(TODAY()),MONTH(TODAY()),1),21))-YEAR(IF(ISNUMBER(Suppliers!F33),Suppliers!F33,DATE(YEAR(TODAY()),MONTH(TODAY()),1))))*12+MONTH(EDATE(DATE(YEAR(TODAY()),MONTH(TODAY()),1),21))-MONTH(IF(ISNUMBER(Suppliers!F33),Suppliers!F33,DATE(YEAR(TODAY()),MONTH(TODAY()),1))),12)=0,1,0),IF(Suppliers!E33="One-time",IF(21=0,1,0),1)))))),"")</f>
        <v/>
      </c>
      <c r="AB35" s="10" t="str">
        <f ca="1">IFERROR(IF(OR(22&gt;=$B$1,Suppliers!A33="",NOT(ISNUMBER(Suppliers!D33)),Suppliers!L33="Expired",Suppliers!L33="Terminate"),"",Suppliers!D33*-1*IF(Suppliers!E33="Monthly",IF(AND(ISNUMBER(Suppliers!G33),(YEAR(EDATE(DATE(YEAR(TODAY()),MONTH(TODAY()),1),22))*12+MONTH(EDATE(DATE(YEAR(TODAY()),MONTH(TODAY()),1),22)))&gt;(YEAR(Suppliers!G33)*12+MONTH(Suppliers!G33))),"",1),IF(Suppliers!E33="Quarterly",IF(MOD((YEAR(EDATE(DATE(YEAR(TODAY()),MONTH(TODAY()),1),22))-YEAR(IF(ISNUMBER(Suppliers!F33),Suppliers!F33,DATE(YEAR(TODAY()),MONTH(TODAY()),1))))*12+MONTH(EDATE(DATE(YEAR(TODAY()),MONTH(TODAY()),1),22))-MONTH(IF(ISNUMBER(Suppliers!F33),Suppliers!F33,DATE(YEAR(TODAY()),MONTH(TODAY()),1))),3)=0,1,0),IF(Suppliers!E33="Semi-annual",IF(MOD((YEAR(EDATE(DATE(YEAR(TODAY()),MONTH(TODAY()),1),22))-YEAR(IF(ISNUMBER(Suppliers!F33),Suppliers!F33,DATE(YEAR(TODAY()),MONTH(TODAY()),1))))*12+MONTH(EDATE(DATE(YEAR(TODAY()),MONTH(TODAY()),1),22))-MONTH(IF(ISNUMBER(Suppliers!F33),Suppliers!F33,DATE(YEAR(TODAY()),MONTH(TODAY()),1))),6)=0,1,0),IF(Suppliers!E33="Annual",IF(MOD((YEAR(EDATE(DATE(YEAR(TODAY()),MONTH(TODAY()),1),22))-YEAR(IF(ISNUMBER(Suppliers!F33),Suppliers!F33,DATE(YEAR(TODAY()),MONTH(TODAY()),1))))*12+MONTH(EDATE(DATE(YEAR(TODAY()),MONTH(TODAY()),1),22))-MONTH(IF(ISNUMBER(Suppliers!F33),Suppliers!F33,DATE(YEAR(TODAY()),MONTH(TODAY()),1))),12)=0,1,0),IF(Suppliers!E33="One-time",IF(22=0,1,0),1)))))),"")</f>
        <v/>
      </c>
      <c r="AC35" s="10" t="str">
        <f ca="1">IFERROR(IF(OR(23&gt;=$B$1,Suppliers!A33="",NOT(ISNUMBER(Suppliers!D33)),Suppliers!L33="Expired",Suppliers!L33="Terminate"),"",Suppliers!D33*-1*IF(Suppliers!E33="Monthly",IF(AND(ISNUMBER(Suppliers!G33),(YEAR(EDATE(DATE(YEAR(TODAY()),MONTH(TODAY()),1),23))*12+MONTH(EDATE(DATE(YEAR(TODAY()),MONTH(TODAY()),1),23)))&gt;(YEAR(Suppliers!G33)*12+MONTH(Suppliers!G33))),"",1),IF(Suppliers!E33="Quarterly",IF(MOD((YEAR(EDATE(DATE(YEAR(TODAY()),MONTH(TODAY()),1),23))-YEAR(IF(ISNUMBER(Suppliers!F33),Suppliers!F33,DATE(YEAR(TODAY()),MONTH(TODAY()),1))))*12+MONTH(EDATE(DATE(YEAR(TODAY()),MONTH(TODAY()),1),23))-MONTH(IF(ISNUMBER(Suppliers!F33),Suppliers!F33,DATE(YEAR(TODAY()),MONTH(TODAY()),1))),3)=0,1,0),IF(Suppliers!E33="Semi-annual",IF(MOD((YEAR(EDATE(DATE(YEAR(TODAY()),MONTH(TODAY()),1),23))-YEAR(IF(ISNUMBER(Suppliers!F33),Suppliers!F33,DATE(YEAR(TODAY()),MONTH(TODAY()),1))))*12+MONTH(EDATE(DATE(YEAR(TODAY()),MONTH(TODAY()),1),23))-MONTH(IF(ISNUMBER(Suppliers!F33),Suppliers!F33,DATE(YEAR(TODAY()),MONTH(TODAY()),1))),6)=0,1,0),IF(Suppliers!E33="Annual",IF(MOD((YEAR(EDATE(DATE(YEAR(TODAY()),MONTH(TODAY()),1),23))-YEAR(IF(ISNUMBER(Suppliers!F33),Suppliers!F33,DATE(YEAR(TODAY()),MONTH(TODAY()),1))))*12+MONTH(EDATE(DATE(YEAR(TODAY()),MONTH(TODAY()),1),23))-MONTH(IF(ISNUMBER(Suppliers!F33),Suppliers!F33,DATE(YEAR(TODAY()),MONTH(TODAY()),1))),12)=0,1,0),IF(Suppliers!E33="One-time",IF(23=0,1,0),1)))))),"")</f>
        <v/>
      </c>
    </row>
    <row r="36" spans="1:29" ht="15" customHeight="1" x14ac:dyDescent="0.35">
      <c r="A36" s="4" t="s">
        <v>80</v>
      </c>
      <c r="B36" s="4" t="str">
        <f>IF(Suppliers!A34="","",Suppliers!A34)</f>
        <v/>
      </c>
      <c r="C36" s="10" t="str">
        <f>IF(Suppliers!C34="","",Suppliers!C34)</f>
        <v/>
      </c>
      <c r="D36" s="10" t="str">
        <f>IF(Suppliers!D34="","",Suppliers!D34)</f>
        <v/>
      </c>
      <c r="E36" s="4" t="str">
        <f>IF(Suppliers!E34="","",Suppliers!E34)</f>
        <v/>
      </c>
      <c r="F36" s="10" t="str">
        <f ca="1">IFERROR(IF(OR(0&gt;=$B$1,Suppliers!A34="",NOT(ISNUMBER(Suppliers!D34)),Suppliers!L34="Expired",Suppliers!L34="Terminate"),"",Suppliers!D34*-1*IF(Suppliers!E34="Monthly",IF(AND(ISNUMBER(Suppliers!G34),(YEAR(EDATE(DATE(YEAR(TODAY()),MONTH(TODAY()),1),0))*12+MONTH(EDATE(DATE(YEAR(TODAY()),MONTH(TODAY()),1),0)))&gt;(YEAR(Suppliers!G34)*12+MONTH(Suppliers!G34))),"",1),IF(Suppliers!E34="Quarterly",IF(MOD((YEAR(EDATE(DATE(YEAR(TODAY()),MONTH(TODAY()),1),0))-YEAR(IF(ISNUMBER(Suppliers!F34),Suppliers!F34,DATE(YEAR(TODAY()),MONTH(TODAY()),1))))*12+MONTH(EDATE(DATE(YEAR(TODAY()),MONTH(TODAY()),1),0))-MONTH(IF(ISNUMBER(Suppliers!F34),Suppliers!F34,DATE(YEAR(TODAY()),MONTH(TODAY()),1))),3)=0,1,0),IF(Suppliers!E34="Semi-annual",IF(MOD((YEAR(EDATE(DATE(YEAR(TODAY()),MONTH(TODAY()),1),0))-YEAR(IF(ISNUMBER(Suppliers!F34),Suppliers!F34,DATE(YEAR(TODAY()),MONTH(TODAY()),1))))*12+MONTH(EDATE(DATE(YEAR(TODAY()),MONTH(TODAY()),1),0))-MONTH(IF(ISNUMBER(Suppliers!F34),Suppliers!F34,DATE(YEAR(TODAY()),MONTH(TODAY()),1))),6)=0,1,0),IF(Suppliers!E34="Annual",IF(MOD((YEAR(EDATE(DATE(YEAR(TODAY()),MONTH(TODAY()),1),0))-YEAR(IF(ISNUMBER(Suppliers!F34),Suppliers!F34,DATE(YEAR(TODAY()),MONTH(TODAY()),1))))*12+MONTH(EDATE(DATE(YEAR(TODAY()),MONTH(TODAY()),1),0))-MONTH(IF(ISNUMBER(Suppliers!F34),Suppliers!F34,DATE(YEAR(TODAY()),MONTH(TODAY()),1))),12)=0,1,0),IF(Suppliers!E34="One-time",IF(0=0,1,0),1)))))),"")</f>
        <v/>
      </c>
      <c r="G36" s="10" t="str">
        <f ca="1">IFERROR(IF(OR(1&gt;=$B$1,Suppliers!A34="",NOT(ISNUMBER(Suppliers!D34)),Suppliers!L34="Expired",Suppliers!L34="Terminate"),"",Suppliers!D34*-1*IF(Suppliers!E34="Monthly",IF(AND(ISNUMBER(Suppliers!G34),(YEAR(EDATE(DATE(YEAR(TODAY()),MONTH(TODAY()),1),1))*12+MONTH(EDATE(DATE(YEAR(TODAY()),MONTH(TODAY()),1),1)))&gt;(YEAR(Suppliers!G34)*12+MONTH(Suppliers!G34))),"",1),IF(Suppliers!E34="Quarterly",IF(MOD((YEAR(EDATE(DATE(YEAR(TODAY()),MONTH(TODAY()),1),1))-YEAR(IF(ISNUMBER(Suppliers!F34),Suppliers!F34,DATE(YEAR(TODAY()),MONTH(TODAY()),1))))*12+MONTH(EDATE(DATE(YEAR(TODAY()),MONTH(TODAY()),1),1))-MONTH(IF(ISNUMBER(Suppliers!F34),Suppliers!F34,DATE(YEAR(TODAY()),MONTH(TODAY()),1))),3)=0,1,0),IF(Suppliers!E34="Semi-annual",IF(MOD((YEAR(EDATE(DATE(YEAR(TODAY()),MONTH(TODAY()),1),1))-YEAR(IF(ISNUMBER(Suppliers!F34),Suppliers!F34,DATE(YEAR(TODAY()),MONTH(TODAY()),1))))*12+MONTH(EDATE(DATE(YEAR(TODAY()),MONTH(TODAY()),1),1))-MONTH(IF(ISNUMBER(Suppliers!F34),Suppliers!F34,DATE(YEAR(TODAY()),MONTH(TODAY()),1))),6)=0,1,0),IF(Suppliers!E34="Annual",IF(MOD((YEAR(EDATE(DATE(YEAR(TODAY()),MONTH(TODAY()),1),1))-YEAR(IF(ISNUMBER(Suppliers!F34),Suppliers!F34,DATE(YEAR(TODAY()),MONTH(TODAY()),1))))*12+MONTH(EDATE(DATE(YEAR(TODAY()),MONTH(TODAY()),1),1))-MONTH(IF(ISNUMBER(Suppliers!F34),Suppliers!F34,DATE(YEAR(TODAY()),MONTH(TODAY()),1))),12)=0,1,0),IF(Suppliers!E34="One-time",IF(1=0,1,0),1)))))),"")</f>
        <v/>
      </c>
      <c r="H36" s="10" t="str">
        <f ca="1">IFERROR(IF(OR(2&gt;=$B$1,Suppliers!A34="",NOT(ISNUMBER(Suppliers!D34)),Suppliers!L34="Expired",Suppliers!L34="Terminate"),"",Suppliers!D34*-1*IF(Suppliers!E34="Monthly",IF(AND(ISNUMBER(Suppliers!G34),(YEAR(EDATE(DATE(YEAR(TODAY()),MONTH(TODAY()),1),2))*12+MONTH(EDATE(DATE(YEAR(TODAY()),MONTH(TODAY()),1),2)))&gt;(YEAR(Suppliers!G34)*12+MONTH(Suppliers!G34))),"",1),IF(Suppliers!E34="Quarterly",IF(MOD((YEAR(EDATE(DATE(YEAR(TODAY()),MONTH(TODAY()),1),2))-YEAR(IF(ISNUMBER(Suppliers!F34),Suppliers!F34,DATE(YEAR(TODAY()),MONTH(TODAY()),1))))*12+MONTH(EDATE(DATE(YEAR(TODAY()),MONTH(TODAY()),1),2))-MONTH(IF(ISNUMBER(Suppliers!F34),Suppliers!F34,DATE(YEAR(TODAY()),MONTH(TODAY()),1))),3)=0,1,0),IF(Suppliers!E34="Semi-annual",IF(MOD((YEAR(EDATE(DATE(YEAR(TODAY()),MONTH(TODAY()),1),2))-YEAR(IF(ISNUMBER(Suppliers!F34),Suppliers!F34,DATE(YEAR(TODAY()),MONTH(TODAY()),1))))*12+MONTH(EDATE(DATE(YEAR(TODAY()),MONTH(TODAY()),1),2))-MONTH(IF(ISNUMBER(Suppliers!F34),Suppliers!F34,DATE(YEAR(TODAY()),MONTH(TODAY()),1))),6)=0,1,0),IF(Suppliers!E34="Annual",IF(MOD((YEAR(EDATE(DATE(YEAR(TODAY()),MONTH(TODAY()),1),2))-YEAR(IF(ISNUMBER(Suppliers!F34),Suppliers!F34,DATE(YEAR(TODAY()),MONTH(TODAY()),1))))*12+MONTH(EDATE(DATE(YEAR(TODAY()),MONTH(TODAY()),1),2))-MONTH(IF(ISNUMBER(Suppliers!F34),Suppliers!F34,DATE(YEAR(TODAY()),MONTH(TODAY()),1))),12)=0,1,0),IF(Suppliers!E34="One-time",IF(2=0,1,0),1)))))),"")</f>
        <v/>
      </c>
      <c r="I36" s="10" t="str">
        <f ca="1">IFERROR(IF(OR(3&gt;=$B$1,Suppliers!A34="",NOT(ISNUMBER(Suppliers!D34)),Suppliers!L34="Expired",Suppliers!L34="Terminate"),"",Suppliers!D34*-1*IF(Suppliers!E34="Monthly",IF(AND(ISNUMBER(Suppliers!G34),(YEAR(EDATE(DATE(YEAR(TODAY()),MONTH(TODAY()),1),3))*12+MONTH(EDATE(DATE(YEAR(TODAY()),MONTH(TODAY()),1),3)))&gt;(YEAR(Suppliers!G34)*12+MONTH(Suppliers!G34))),"",1),IF(Suppliers!E34="Quarterly",IF(MOD((YEAR(EDATE(DATE(YEAR(TODAY()),MONTH(TODAY()),1),3))-YEAR(IF(ISNUMBER(Suppliers!F34),Suppliers!F34,DATE(YEAR(TODAY()),MONTH(TODAY()),1))))*12+MONTH(EDATE(DATE(YEAR(TODAY()),MONTH(TODAY()),1),3))-MONTH(IF(ISNUMBER(Suppliers!F34),Suppliers!F34,DATE(YEAR(TODAY()),MONTH(TODAY()),1))),3)=0,1,0),IF(Suppliers!E34="Semi-annual",IF(MOD((YEAR(EDATE(DATE(YEAR(TODAY()),MONTH(TODAY()),1),3))-YEAR(IF(ISNUMBER(Suppliers!F34),Suppliers!F34,DATE(YEAR(TODAY()),MONTH(TODAY()),1))))*12+MONTH(EDATE(DATE(YEAR(TODAY()),MONTH(TODAY()),1),3))-MONTH(IF(ISNUMBER(Suppliers!F34),Suppliers!F34,DATE(YEAR(TODAY()),MONTH(TODAY()),1))),6)=0,1,0),IF(Suppliers!E34="Annual",IF(MOD((YEAR(EDATE(DATE(YEAR(TODAY()),MONTH(TODAY()),1),3))-YEAR(IF(ISNUMBER(Suppliers!F34),Suppliers!F34,DATE(YEAR(TODAY()),MONTH(TODAY()),1))))*12+MONTH(EDATE(DATE(YEAR(TODAY()),MONTH(TODAY()),1),3))-MONTH(IF(ISNUMBER(Suppliers!F34),Suppliers!F34,DATE(YEAR(TODAY()),MONTH(TODAY()),1))),12)=0,1,0),IF(Suppliers!E34="One-time",IF(3=0,1,0),1)))))),"")</f>
        <v/>
      </c>
      <c r="J36" s="10" t="str">
        <f ca="1">IFERROR(IF(OR(4&gt;=$B$1,Suppliers!A34="",NOT(ISNUMBER(Suppliers!D34)),Suppliers!L34="Expired",Suppliers!L34="Terminate"),"",Suppliers!D34*-1*IF(Suppliers!E34="Monthly",IF(AND(ISNUMBER(Suppliers!G34),(YEAR(EDATE(DATE(YEAR(TODAY()),MONTH(TODAY()),1),4))*12+MONTH(EDATE(DATE(YEAR(TODAY()),MONTH(TODAY()),1),4)))&gt;(YEAR(Suppliers!G34)*12+MONTH(Suppliers!G34))),"",1),IF(Suppliers!E34="Quarterly",IF(MOD((YEAR(EDATE(DATE(YEAR(TODAY()),MONTH(TODAY()),1),4))-YEAR(IF(ISNUMBER(Suppliers!F34),Suppliers!F34,DATE(YEAR(TODAY()),MONTH(TODAY()),1))))*12+MONTH(EDATE(DATE(YEAR(TODAY()),MONTH(TODAY()),1),4))-MONTH(IF(ISNUMBER(Suppliers!F34),Suppliers!F34,DATE(YEAR(TODAY()),MONTH(TODAY()),1))),3)=0,1,0),IF(Suppliers!E34="Semi-annual",IF(MOD((YEAR(EDATE(DATE(YEAR(TODAY()),MONTH(TODAY()),1),4))-YEAR(IF(ISNUMBER(Suppliers!F34),Suppliers!F34,DATE(YEAR(TODAY()),MONTH(TODAY()),1))))*12+MONTH(EDATE(DATE(YEAR(TODAY()),MONTH(TODAY()),1),4))-MONTH(IF(ISNUMBER(Suppliers!F34),Suppliers!F34,DATE(YEAR(TODAY()),MONTH(TODAY()),1))),6)=0,1,0),IF(Suppliers!E34="Annual",IF(MOD((YEAR(EDATE(DATE(YEAR(TODAY()),MONTH(TODAY()),1),4))-YEAR(IF(ISNUMBER(Suppliers!F34),Suppliers!F34,DATE(YEAR(TODAY()),MONTH(TODAY()),1))))*12+MONTH(EDATE(DATE(YEAR(TODAY()),MONTH(TODAY()),1),4))-MONTH(IF(ISNUMBER(Suppliers!F34),Suppliers!F34,DATE(YEAR(TODAY()),MONTH(TODAY()),1))),12)=0,1,0),IF(Suppliers!E34="One-time",IF(4=0,1,0),1)))))),"")</f>
        <v/>
      </c>
      <c r="K36" s="10" t="str">
        <f ca="1">IFERROR(IF(OR(5&gt;=$B$1,Suppliers!A34="",NOT(ISNUMBER(Suppliers!D34)),Suppliers!L34="Expired",Suppliers!L34="Terminate"),"",Suppliers!D34*-1*IF(Suppliers!E34="Monthly",IF(AND(ISNUMBER(Suppliers!G34),(YEAR(EDATE(DATE(YEAR(TODAY()),MONTH(TODAY()),1),5))*12+MONTH(EDATE(DATE(YEAR(TODAY()),MONTH(TODAY()),1),5)))&gt;(YEAR(Suppliers!G34)*12+MONTH(Suppliers!G34))),"",1),IF(Suppliers!E34="Quarterly",IF(MOD((YEAR(EDATE(DATE(YEAR(TODAY()),MONTH(TODAY()),1),5))-YEAR(IF(ISNUMBER(Suppliers!F34),Suppliers!F34,DATE(YEAR(TODAY()),MONTH(TODAY()),1))))*12+MONTH(EDATE(DATE(YEAR(TODAY()),MONTH(TODAY()),1),5))-MONTH(IF(ISNUMBER(Suppliers!F34),Suppliers!F34,DATE(YEAR(TODAY()),MONTH(TODAY()),1))),3)=0,1,0),IF(Suppliers!E34="Semi-annual",IF(MOD((YEAR(EDATE(DATE(YEAR(TODAY()),MONTH(TODAY()),1),5))-YEAR(IF(ISNUMBER(Suppliers!F34),Suppliers!F34,DATE(YEAR(TODAY()),MONTH(TODAY()),1))))*12+MONTH(EDATE(DATE(YEAR(TODAY()),MONTH(TODAY()),1),5))-MONTH(IF(ISNUMBER(Suppliers!F34),Suppliers!F34,DATE(YEAR(TODAY()),MONTH(TODAY()),1))),6)=0,1,0),IF(Suppliers!E34="Annual",IF(MOD((YEAR(EDATE(DATE(YEAR(TODAY()),MONTH(TODAY()),1),5))-YEAR(IF(ISNUMBER(Suppliers!F34),Suppliers!F34,DATE(YEAR(TODAY()),MONTH(TODAY()),1))))*12+MONTH(EDATE(DATE(YEAR(TODAY()),MONTH(TODAY()),1),5))-MONTH(IF(ISNUMBER(Suppliers!F34),Suppliers!F34,DATE(YEAR(TODAY()),MONTH(TODAY()),1))),12)=0,1,0),IF(Suppliers!E34="One-time",IF(5=0,1,0),1)))))),"")</f>
        <v/>
      </c>
      <c r="L36" s="10" t="str">
        <f ca="1">IFERROR(IF(OR(6&gt;=$B$1,Suppliers!A34="",NOT(ISNUMBER(Suppliers!D34)),Suppliers!L34="Expired",Suppliers!L34="Terminate"),"",Suppliers!D34*-1*IF(Suppliers!E34="Monthly",IF(AND(ISNUMBER(Suppliers!G34),(YEAR(EDATE(DATE(YEAR(TODAY()),MONTH(TODAY()),1),6))*12+MONTH(EDATE(DATE(YEAR(TODAY()),MONTH(TODAY()),1),6)))&gt;(YEAR(Suppliers!G34)*12+MONTH(Suppliers!G34))),"",1),IF(Suppliers!E34="Quarterly",IF(MOD((YEAR(EDATE(DATE(YEAR(TODAY()),MONTH(TODAY()),1),6))-YEAR(IF(ISNUMBER(Suppliers!F34),Suppliers!F34,DATE(YEAR(TODAY()),MONTH(TODAY()),1))))*12+MONTH(EDATE(DATE(YEAR(TODAY()),MONTH(TODAY()),1),6))-MONTH(IF(ISNUMBER(Suppliers!F34),Suppliers!F34,DATE(YEAR(TODAY()),MONTH(TODAY()),1))),3)=0,1,0),IF(Suppliers!E34="Semi-annual",IF(MOD((YEAR(EDATE(DATE(YEAR(TODAY()),MONTH(TODAY()),1),6))-YEAR(IF(ISNUMBER(Suppliers!F34),Suppliers!F34,DATE(YEAR(TODAY()),MONTH(TODAY()),1))))*12+MONTH(EDATE(DATE(YEAR(TODAY()),MONTH(TODAY()),1),6))-MONTH(IF(ISNUMBER(Suppliers!F34),Suppliers!F34,DATE(YEAR(TODAY()),MONTH(TODAY()),1))),6)=0,1,0),IF(Suppliers!E34="Annual",IF(MOD((YEAR(EDATE(DATE(YEAR(TODAY()),MONTH(TODAY()),1),6))-YEAR(IF(ISNUMBER(Suppliers!F34),Suppliers!F34,DATE(YEAR(TODAY()),MONTH(TODAY()),1))))*12+MONTH(EDATE(DATE(YEAR(TODAY()),MONTH(TODAY()),1),6))-MONTH(IF(ISNUMBER(Suppliers!F34),Suppliers!F34,DATE(YEAR(TODAY()),MONTH(TODAY()),1))),12)=0,1,0),IF(Suppliers!E34="One-time",IF(6=0,1,0),1)))))),"")</f>
        <v/>
      </c>
      <c r="M36" s="10" t="str">
        <f ca="1">IFERROR(IF(OR(7&gt;=$B$1,Suppliers!A34="",NOT(ISNUMBER(Suppliers!D34)),Suppliers!L34="Expired",Suppliers!L34="Terminate"),"",Suppliers!D34*-1*IF(Suppliers!E34="Monthly",IF(AND(ISNUMBER(Suppliers!G34),(YEAR(EDATE(DATE(YEAR(TODAY()),MONTH(TODAY()),1),7))*12+MONTH(EDATE(DATE(YEAR(TODAY()),MONTH(TODAY()),1),7)))&gt;(YEAR(Suppliers!G34)*12+MONTH(Suppliers!G34))),"",1),IF(Suppliers!E34="Quarterly",IF(MOD((YEAR(EDATE(DATE(YEAR(TODAY()),MONTH(TODAY()),1),7))-YEAR(IF(ISNUMBER(Suppliers!F34),Suppliers!F34,DATE(YEAR(TODAY()),MONTH(TODAY()),1))))*12+MONTH(EDATE(DATE(YEAR(TODAY()),MONTH(TODAY()),1),7))-MONTH(IF(ISNUMBER(Suppliers!F34),Suppliers!F34,DATE(YEAR(TODAY()),MONTH(TODAY()),1))),3)=0,1,0),IF(Suppliers!E34="Semi-annual",IF(MOD((YEAR(EDATE(DATE(YEAR(TODAY()),MONTH(TODAY()),1),7))-YEAR(IF(ISNUMBER(Suppliers!F34),Suppliers!F34,DATE(YEAR(TODAY()),MONTH(TODAY()),1))))*12+MONTH(EDATE(DATE(YEAR(TODAY()),MONTH(TODAY()),1),7))-MONTH(IF(ISNUMBER(Suppliers!F34),Suppliers!F34,DATE(YEAR(TODAY()),MONTH(TODAY()),1))),6)=0,1,0),IF(Suppliers!E34="Annual",IF(MOD((YEAR(EDATE(DATE(YEAR(TODAY()),MONTH(TODAY()),1),7))-YEAR(IF(ISNUMBER(Suppliers!F34),Suppliers!F34,DATE(YEAR(TODAY()),MONTH(TODAY()),1))))*12+MONTH(EDATE(DATE(YEAR(TODAY()),MONTH(TODAY()),1),7))-MONTH(IF(ISNUMBER(Suppliers!F34),Suppliers!F34,DATE(YEAR(TODAY()),MONTH(TODAY()),1))),12)=0,1,0),IF(Suppliers!E34="One-time",IF(7=0,1,0),1)))))),"")</f>
        <v/>
      </c>
      <c r="N36" s="10" t="str">
        <f ca="1">IFERROR(IF(OR(8&gt;=$B$1,Suppliers!A34="",NOT(ISNUMBER(Suppliers!D34)),Suppliers!L34="Expired",Suppliers!L34="Terminate"),"",Suppliers!D34*-1*IF(Suppliers!E34="Monthly",IF(AND(ISNUMBER(Suppliers!G34),(YEAR(EDATE(DATE(YEAR(TODAY()),MONTH(TODAY()),1),8))*12+MONTH(EDATE(DATE(YEAR(TODAY()),MONTH(TODAY()),1),8)))&gt;(YEAR(Suppliers!G34)*12+MONTH(Suppliers!G34))),"",1),IF(Suppliers!E34="Quarterly",IF(MOD((YEAR(EDATE(DATE(YEAR(TODAY()),MONTH(TODAY()),1),8))-YEAR(IF(ISNUMBER(Suppliers!F34),Suppliers!F34,DATE(YEAR(TODAY()),MONTH(TODAY()),1))))*12+MONTH(EDATE(DATE(YEAR(TODAY()),MONTH(TODAY()),1),8))-MONTH(IF(ISNUMBER(Suppliers!F34),Suppliers!F34,DATE(YEAR(TODAY()),MONTH(TODAY()),1))),3)=0,1,0),IF(Suppliers!E34="Semi-annual",IF(MOD((YEAR(EDATE(DATE(YEAR(TODAY()),MONTH(TODAY()),1),8))-YEAR(IF(ISNUMBER(Suppliers!F34),Suppliers!F34,DATE(YEAR(TODAY()),MONTH(TODAY()),1))))*12+MONTH(EDATE(DATE(YEAR(TODAY()),MONTH(TODAY()),1),8))-MONTH(IF(ISNUMBER(Suppliers!F34),Suppliers!F34,DATE(YEAR(TODAY()),MONTH(TODAY()),1))),6)=0,1,0),IF(Suppliers!E34="Annual",IF(MOD((YEAR(EDATE(DATE(YEAR(TODAY()),MONTH(TODAY()),1),8))-YEAR(IF(ISNUMBER(Suppliers!F34),Suppliers!F34,DATE(YEAR(TODAY()),MONTH(TODAY()),1))))*12+MONTH(EDATE(DATE(YEAR(TODAY()),MONTH(TODAY()),1),8))-MONTH(IF(ISNUMBER(Suppliers!F34),Suppliers!F34,DATE(YEAR(TODAY()),MONTH(TODAY()),1))),12)=0,1,0),IF(Suppliers!E34="One-time",IF(8=0,1,0),1)))))),"")</f>
        <v/>
      </c>
      <c r="O36" s="10" t="str">
        <f ca="1">IFERROR(IF(OR(9&gt;=$B$1,Suppliers!A34="",NOT(ISNUMBER(Suppliers!D34)),Suppliers!L34="Expired",Suppliers!L34="Terminate"),"",Suppliers!D34*-1*IF(Suppliers!E34="Monthly",IF(AND(ISNUMBER(Suppliers!G34),(YEAR(EDATE(DATE(YEAR(TODAY()),MONTH(TODAY()),1),9))*12+MONTH(EDATE(DATE(YEAR(TODAY()),MONTH(TODAY()),1),9)))&gt;(YEAR(Suppliers!G34)*12+MONTH(Suppliers!G34))),"",1),IF(Suppliers!E34="Quarterly",IF(MOD((YEAR(EDATE(DATE(YEAR(TODAY()),MONTH(TODAY()),1),9))-YEAR(IF(ISNUMBER(Suppliers!F34),Suppliers!F34,DATE(YEAR(TODAY()),MONTH(TODAY()),1))))*12+MONTH(EDATE(DATE(YEAR(TODAY()),MONTH(TODAY()),1),9))-MONTH(IF(ISNUMBER(Suppliers!F34),Suppliers!F34,DATE(YEAR(TODAY()),MONTH(TODAY()),1))),3)=0,1,0),IF(Suppliers!E34="Semi-annual",IF(MOD((YEAR(EDATE(DATE(YEAR(TODAY()),MONTH(TODAY()),1),9))-YEAR(IF(ISNUMBER(Suppliers!F34),Suppliers!F34,DATE(YEAR(TODAY()),MONTH(TODAY()),1))))*12+MONTH(EDATE(DATE(YEAR(TODAY()),MONTH(TODAY()),1),9))-MONTH(IF(ISNUMBER(Suppliers!F34),Suppliers!F34,DATE(YEAR(TODAY()),MONTH(TODAY()),1))),6)=0,1,0),IF(Suppliers!E34="Annual",IF(MOD((YEAR(EDATE(DATE(YEAR(TODAY()),MONTH(TODAY()),1),9))-YEAR(IF(ISNUMBER(Suppliers!F34),Suppliers!F34,DATE(YEAR(TODAY()),MONTH(TODAY()),1))))*12+MONTH(EDATE(DATE(YEAR(TODAY()),MONTH(TODAY()),1),9))-MONTH(IF(ISNUMBER(Suppliers!F34),Suppliers!F34,DATE(YEAR(TODAY()),MONTH(TODAY()),1))),12)=0,1,0),IF(Suppliers!E34="One-time",IF(9=0,1,0),1)))))),"")</f>
        <v/>
      </c>
      <c r="P36" s="10" t="str">
        <f ca="1">IFERROR(IF(OR(10&gt;=$B$1,Suppliers!A34="",NOT(ISNUMBER(Suppliers!D34)),Suppliers!L34="Expired",Suppliers!L34="Terminate"),"",Suppliers!D34*-1*IF(Suppliers!E34="Monthly",IF(AND(ISNUMBER(Suppliers!G34),(YEAR(EDATE(DATE(YEAR(TODAY()),MONTH(TODAY()),1),10))*12+MONTH(EDATE(DATE(YEAR(TODAY()),MONTH(TODAY()),1),10)))&gt;(YEAR(Suppliers!G34)*12+MONTH(Suppliers!G34))),"",1),IF(Suppliers!E34="Quarterly",IF(MOD((YEAR(EDATE(DATE(YEAR(TODAY()),MONTH(TODAY()),1),10))-YEAR(IF(ISNUMBER(Suppliers!F34),Suppliers!F34,DATE(YEAR(TODAY()),MONTH(TODAY()),1))))*12+MONTH(EDATE(DATE(YEAR(TODAY()),MONTH(TODAY()),1),10))-MONTH(IF(ISNUMBER(Suppliers!F34),Suppliers!F34,DATE(YEAR(TODAY()),MONTH(TODAY()),1))),3)=0,1,0),IF(Suppliers!E34="Semi-annual",IF(MOD((YEAR(EDATE(DATE(YEAR(TODAY()),MONTH(TODAY()),1),10))-YEAR(IF(ISNUMBER(Suppliers!F34),Suppliers!F34,DATE(YEAR(TODAY()),MONTH(TODAY()),1))))*12+MONTH(EDATE(DATE(YEAR(TODAY()),MONTH(TODAY()),1),10))-MONTH(IF(ISNUMBER(Suppliers!F34),Suppliers!F34,DATE(YEAR(TODAY()),MONTH(TODAY()),1))),6)=0,1,0),IF(Suppliers!E34="Annual",IF(MOD((YEAR(EDATE(DATE(YEAR(TODAY()),MONTH(TODAY()),1),10))-YEAR(IF(ISNUMBER(Suppliers!F34),Suppliers!F34,DATE(YEAR(TODAY()),MONTH(TODAY()),1))))*12+MONTH(EDATE(DATE(YEAR(TODAY()),MONTH(TODAY()),1),10))-MONTH(IF(ISNUMBER(Suppliers!F34),Suppliers!F34,DATE(YEAR(TODAY()),MONTH(TODAY()),1))),12)=0,1,0),IF(Suppliers!E34="One-time",IF(10=0,1,0),1)))))),"")</f>
        <v/>
      </c>
      <c r="Q36" s="10" t="str">
        <f ca="1">IFERROR(IF(OR(11&gt;=$B$1,Suppliers!A34="",NOT(ISNUMBER(Suppliers!D34)),Suppliers!L34="Expired",Suppliers!L34="Terminate"),"",Suppliers!D34*-1*IF(Suppliers!E34="Monthly",IF(AND(ISNUMBER(Suppliers!G34),(YEAR(EDATE(DATE(YEAR(TODAY()),MONTH(TODAY()),1),11))*12+MONTH(EDATE(DATE(YEAR(TODAY()),MONTH(TODAY()),1),11)))&gt;(YEAR(Suppliers!G34)*12+MONTH(Suppliers!G34))),"",1),IF(Suppliers!E34="Quarterly",IF(MOD((YEAR(EDATE(DATE(YEAR(TODAY()),MONTH(TODAY()),1),11))-YEAR(IF(ISNUMBER(Suppliers!F34),Suppliers!F34,DATE(YEAR(TODAY()),MONTH(TODAY()),1))))*12+MONTH(EDATE(DATE(YEAR(TODAY()),MONTH(TODAY()),1),11))-MONTH(IF(ISNUMBER(Suppliers!F34),Suppliers!F34,DATE(YEAR(TODAY()),MONTH(TODAY()),1))),3)=0,1,0),IF(Suppliers!E34="Semi-annual",IF(MOD((YEAR(EDATE(DATE(YEAR(TODAY()),MONTH(TODAY()),1),11))-YEAR(IF(ISNUMBER(Suppliers!F34),Suppliers!F34,DATE(YEAR(TODAY()),MONTH(TODAY()),1))))*12+MONTH(EDATE(DATE(YEAR(TODAY()),MONTH(TODAY()),1),11))-MONTH(IF(ISNUMBER(Suppliers!F34),Suppliers!F34,DATE(YEAR(TODAY()),MONTH(TODAY()),1))),6)=0,1,0),IF(Suppliers!E34="Annual",IF(MOD((YEAR(EDATE(DATE(YEAR(TODAY()),MONTH(TODAY()),1),11))-YEAR(IF(ISNUMBER(Suppliers!F34),Suppliers!F34,DATE(YEAR(TODAY()),MONTH(TODAY()),1))))*12+MONTH(EDATE(DATE(YEAR(TODAY()),MONTH(TODAY()),1),11))-MONTH(IF(ISNUMBER(Suppliers!F34),Suppliers!F34,DATE(YEAR(TODAY()),MONTH(TODAY()),1))),12)=0,1,0),IF(Suppliers!E34="One-time",IF(11=0,1,0),1)))))),"")</f>
        <v/>
      </c>
      <c r="R36" s="10" t="str">
        <f ca="1">IFERROR(IF(OR(12&gt;=$B$1,Suppliers!A34="",NOT(ISNUMBER(Suppliers!D34)),Suppliers!L34="Expired",Suppliers!L34="Terminate"),"",Suppliers!D34*-1*IF(Suppliers!E34="Monthly",IF(AND(ISNUMBER(Suppliers!G34),(YEAR(EDATE(DATE(YEAR(TODAY()),MONTH(TODAY()),1),12))*12+MONTH(EDATE(DATE(YEAR(TODAY()),MONTH(TODAY()),1),12)))&gt;(YEAR(Suppliers!G34)*12+MONTH(Suppliers!G34))),"",1),IF(Suppliers!E34="Quarterly",IF(MOD((YEAR(EDATE(DATE(YEAR(TODAY()),MONTH(TODAY()),1),12))-YEAR(IF(ISNUMBER(Suppliers!F34),Suppliers!F34,DATE(YEAR(TODAY()),MONTH(TODAY()),1))))*12+MONTH(EDATE(DATE(YEAR(TODAY()),MONTH(TODAY()),1),12))-MONTH(IF(ISNUMBER(Suppliers!F34),Suppliers!F34,DATE(YEAR(TODAY()),MONTH(TODAY()),1))),3)=0,1,0),IF(Suppliers!E34="Semi-annual",IF(MOD((YEAR(EDATE(DATE(YEAR(TODAY()),MONTH(TODAY()),1),12))-YEAR(IF(ISNUMBER(Suppliers!F34),Suppliers!F34,DATE(YEAR(TODAY()),MONTH(TODAY()),1))))*12+MONTH(EDATE(DATE(YEAR(TODAY()),MONTH(TODAY()),1),12))-MONTH(IF(ISNUMBER(Suppliers!F34),Suppliers!F34,DATE(YEAR(TODAY()),MONTH(TODAY()),1))),6)=0,1,0),IF(Suppliers!E34="Annual",IF(MOD((YEAR(EDATE(DATE(YEAR(TODAY()),MONTH(TODAY()),1),12))-YEAR(IF(ISNUMBER(Suppliers!F34),Suppliers!F34,DATE(YEAR(TODAY()),MONTH(TODAY()),1))))*12+MONTH(EDATE(DATE(YEAR(TODAY()),MONTH(TODAY()),1),12))-MONTH(IF(ISNUMBER(Suppliers!F34),Suppliers!F34,DATE(YEAR(TODAY()),MONTH(TODAY()),1))),12)=0,1,0),IF(Suppliers!E34="One-time",IF(12=0,1,0),1)))))),"")</f>
        <v/>
      </c>
      <c r="S36" s="10" t="str">
        <f ca="1">IFERROR(IF(OR(13&gt;=$B$1,Suppliers!A34="",NOT(ISNUMBER(Suppliers!D34)),Suppliers!L34="Expired",Suppliers!L34="Terminate"),"",Suppliers!D34*-1*IF(Suppliers!E34="Monthly",IF(AND(ISNUMBER(Suppliers!G34),(YEAR(EDATE(DATE(YEAR(TODAY()),MONTH(TODAY()),1),13))*12+MONTH(EDATE(DATE(YEAR(TODAY()),MONTH(TODAY()),1),13)))&gt;(YEAR(Suppliers!G34)*12+MONTH(Suppliers!G34))),"",1),IF(Suppliers!E34="Quarterly",IF(MOD((YEAR(EDATE(DATE(YEAR(TODAY()),MONTH(TODAY()),1),13))-YEAR(IF(ISNUMBER(Suppliers!F34),Suppliers!F34,DATE(YEAR(TODAY()),MONTH(TODAY()),1))))*12+MONTH(EDATE(DATE(YEAR(TODAY()),MONTH(TODAY()),1),13))-MONTH(IF(ISNUMBER(Suppliers!F34),Suppliers!F34,DATE(YEAR(TODAY()),MONTH(TODAY()),1))),3)=0,1,0),IF(Suppliers!E34="Semi-annual",IF(MOD((YEAR(EDATE(DATE(YEAR(TODAY()),MONTH(TODAY()),1),13))-YEAR(IF(ISNUMBER(Suppliers!F34),Suppliers!F34,DATE(YEAR(TODAY()),MONTH(TODAY()),1))))*12+MONTH(EDATE(DATE(YEAR(TODAY()),MONTH(TODAY()),1),13))-MONTH(IF(ISNUMBER(Suppliers!F34),Suppliers!F34,DATE(YEAR(TODAY()),MONTH(TODAY()),1))),6)=0,1,0),IF(Suppliers!E34="Annual",IF(MOD((YEAR(EDATE(DATE(YEAR(TODAY()),MONTH(TODAY()),1),13))-YEAR(IF(ISNUMBER(Suppliers!F34),Suppliers!F34,DATE(YEAR(TODAY()),MONTH(TODAY()),1))))*12+MONTH(EDATE(DATE(YEAR(TODAY()),MONTH(TODAY()),1),13))-MONTH(IF(ISNUMBER(Suppliers!F34),Suppliers!F34,DATE(YEAR(TODAY()),MONTH(TODAY()),1))),12)=0,1,0),IF(Suppliers!E34="One-time",IF(13=0,1,0),1)))))),"")</f>
        <v/>
      </c>
      <c r="T36" s="10" t="str">
        <f ca="1">IFERROR(IF(OR(14&gt;=$B$1,Suppliers!A34="",NOT(ISNUMBER(Suppliers!D34)),Suppliers!L34="Expired",Suppliers!L34="Terminate"),"",Suppliers!D34*-1*IF(Suppliers!E34="Monthly",IF(AND(ISNUMBER(Suppliers!G34),(YEAR(EDATE(DATE(YEAR(TODAY()),MONTH(TODAY()),1),14))*12+MONTH(EDATE(DATE(YEAR(TODAY()),MONTH(TODAY()),1),14)))&gt;(YEAR(Suppliers!G34)*12+MONTH(Suppliers!G34))),"",1),IF(Suppliers!E34="Quarterly",IF(MOD((YEAR(EDATE(DATE(YEAR(TODAY()),MONTH(TODAY()),1),14))-YEAR(IF(ISNUMBER(Suppliers!F34),Suppliers!F34,DATE(YEAR(TODAY()),MONTH(TODAY()),1))))*12+MONTH(EDATE(DATE(YEAR(TODAY()),MONTH(TODAY()),1),14))-MONTH(IF(ISNUMBER(Suppliers!F34),Suppliers!F34,DATE(YEAR(TODAY()),MONTH(TODAY()),1))),3)=0,1,0),IF(Suppliers!E34="Semi-annual",IF(MOD((YEAR(EDATE(DATE(YEAR(TODAY()),MONTH(TODAY()),1),14))-YEAR(IF(ISNUMBER(Suppliers!F34),Suppliers!F34,DATE(YEAR(TODAY()),MONTH(TODAY()),1))))*12+MONTH(EDATE(DATE(YEAR(TODAY()),MONTH(TODAY()),1),14))-MONTH(IF(ISNUMBER(Suppliers!F34),Suppliers!F34,DATE(YEAR(TODAY()),MONTH(TODAY()),1))),6)=0,1,0),IF(Suppliers!E34="Annual",IF(MOD((YEAR(EDATE(DATE(YEAR(TODAY()),MONTH(TODAY()),1),14))-YEAR(IF(ISNUMBER(Suppliers!F34),Suppliers!F34,DATE(YEAR(TODAY()),MONTH(TODAY()),1))))*12+MONTH(EDATE(DATE(YEAR(TODAY()),MONTH(TODAY()),1),14))-MONTH(IF(ISNUMBER(Suppliers!F34),Suppliers!F34,DATE(YEAR(TODAY()),MONTH(TODAY()),1))),12)=0,1,0),IF(Suppliers!E34="One-time",IF(14=0,1,0),1)))))),"")</f>
        <v/>
      </c>
      <c r="U36" s="10" t="str">
        <f ca="1">IFERROR(IF(OR(15&gt;=$B$1,Suppliers!A34="",NOT(ISNUMBER(Suppliers!D34)),Suppliers!L34="Expired",Suppliers!L34="Terminate"),"",Suppliers!D34*-1*IF(Suppliers!E34="Monthly",IF(AND(ISNUMBER(Suppliers!G34),(YEAR(EDATE(DATE(YEAR(TODAY()),MONTH(TODAY()),1),15))*12+MONTH(EDATE(DATE(YEAR(TODAY()),MONTH(TODAY()),1),15)))&gt;(YEAR(Suppliers!G34)*12+MONTH(Suppliers!G34))),"",1),IF(Suppliers!E34="Quarterly",IF(MOD((YEAR(EDATE(DATE(YEAR(TODAY()),MONTH(TODAY()),1),15))-YEAR(IF(ISNUMBER(Suppliers!F34),Suppliers!F34,DATE(YEAR(TODAY()),MONTH(TODAY()),1))))*12+MONTH(EDATE(DATE(YEAR(TODAY()),MONTH(TODAY()),1),15))-MONTH(IF(ISNUMBER(Suppliers!F34),Suppliers!F34,DATE(YEAR(TODAY()),MONTH(TODAY()),1))),3)=0,1,0),IF(Suppliers!E34="Semi-annual",IF(MOD((YEAR(EDATE(DATE(YEAR(TODAY()),MONTH(TODAY()),1),15))-YEAR(IF(ISNUMBER(Suppliers!F34),Suppliers!F34,DATE(YEAR(TODAY()),MONTH(TODAY()),1))))*12+MONTH(EDATE(DATE(YEAR(TODAY()),MONTH(TODAY()),1),15))-MONTH(IF(ISNUMBER(Suppliers!F34),Suppliers!F34,DATE(YEAR(TODAY()),MONTH(TODAY()),1))),6)=0,1,0),IF(Suppliers!E34="Annual",IF(MOD((YEAR(EDATE(DATE(YEAR(TODAY()),MONTH(TODAY()),1),15))-YEAR(IF(ISNUMBER(Suppliers!F34),Suppliers!F34,DATE(YEAR(TODAY()),MONTH(TODAY()),1))))*12+MONTH(EDATE(DATE(YEAR(TODAY()),MONTH(TODAY()),1),15))-MONTH(IF(ISNUMBER(Suppliers!F34),Suppliers!F34,DATE(YEAR(TODAY()),MONTH(TODAY()),1))),12)=0,1,0),IF(Suppliers!E34="One-time",IF(15=0,1,0),1)))))),"")</f>
        <v/>
      </c>
      <c r="V36" s="10" t="str">
        <f ca="1">IFERROR(IF(OR(16&gt;=$B$1,Suppliers!A34="",NOT(ISNUMBER(Suppliers!D34)),Suppliers!L34="Expired",Suppliers!L34="Terminate"),"",Suppliers!D34*-1*IF(Suppliers!E34="Monthly",IF(AND(ISNUMBER(Suppliers!G34),(YEAR(EDATE(DATE(YEAR(TODAY()),MONTH(TODAY()),1),16))*12+MONTH(EDATE(DATE(YEAR(TODAY()),MONTH(TODAY()),1),16)))&gt;(YEAR(Suppliers!G34)*12+MONTH(Suppliers!G34))),"",1),IF(Suppliers!E34="Quarterly",IF(MOD((YEAR(EDATE(DATE(YEAR(TODAY()),MONTH(TODAY()),1),16))-YEAR(IF(ISNUMBER(Suppliers!F34),Suppliers!F34,DATE(YEAR(TODAY()),MONTH(TODAY()),1))))*12+MONTH(EDATE(DATE(YEAR(TODAY()),MONTH(TODAY()),1),16))-MONTH(IF(ISNUMBER(Suppliers!F34),Suppliers!F34,DATE(YEAR(TODAY()),MONTH(TODAY()),1))),3)=0,1,0),IF(Suppliers!E34="Semi-annual",IF(MOD((YEAR(EDATE(DATE(YEAR(TODAY()),MONTH(TODAY()),1),16))-YEAR(IF(ISNUMBER(Suppliers!F34),Suppliers!F34,DATE(YEAR(TODAY()),MONTH(TODAY()),1))))*12+MONTH(EDATE(DATE(YEAR(TODAY()),MONTH(TODAY()),1),16))-MONTH(IF(ISNUMBER(Suppliers!F34),Suppliers!F34,DATE(YEAR(TODAY()),MONTH(TODAY()),1))),6)=0,1,0),IF(Suppliers!E34="Annual",IF(MOD((YEAR(EDATE(DATE(YEAR(TODAY()),MONTH(TODAY()),1),16))-YEAR(IF(ISNUMBER(Suppliers!F34),Suppliers!F34,DATE(YEAR(TODAY()),MONTH(TODAY()),1))))*12+MONTH(EDATE(DATE(YEAR(TODAY()),MONTH(TODAY()),1),16))-MONTH(IF(ISNUMBER(Suppliers!F34),Suppliers!F34,DATE(YEAR(TODAY()),MONTH(TODAY()),1))),12)=0,1,0),IF(Suppliers!E34="One-time",IF(16=0,1,0),1)))))),"")</f>
        <v/>
      </c>
      <c r="W36" s="10" t="str">
        <f ca="1">IFERROR(IF(OR(17&gt;=$B$1,Suppliers!A34="",NOT(ISNUMBER(Suppliers!D34)),Suppliers!L34="Expired",Suppliers!L34="Terminate"),"",Suppliers!D34*-1*IF(Suppliers!E34="Monthly",IF(AND(ISNUMBER(Suppliers!G34),(YEAR(EDATE(DATE(YEAR(TODAY()),MONTH(TODAY()),1),17))*12+MONTH(EDATE(DATE(YEAR(TODAY()),MONTH(TODAY()),1),17)))&gt;(YEAR(Suppliers!G34)*12+MONTH(Suppliers!G34))),"",1),IF(Suppliers!E34="Quarterly",IF(MOD((YEAR(EDATE(DATE(YEAR(TODAY()),MONTH(TODAY()),1),17))-YEAR(IF(ISNUMBER(Suppliers!F34),Suppliers!F34,DATE(YEAR(TODAY()),MONTH(TODAY()),1))))*12+MONTH(EDATE(DATE(YEAR(TODAY()),MONTH(TODAY()),1),17))-MONTH(IF(ISNUMBER(Suppliers!F34),Suppliers!F34,DATE(YEAR(TODAY()),MONTH(TODAY()),1))),3)=0,1,0),IF(Suppliers!E34="Semi-annual",IF(MOD((YEAR(EDATE(DATE(YEAR(TODAY()),MONTH(TODAY()),1),17))-YEAR(IF(ISNUMBER(Suppliers!F34),Suppliers!F34,DATE(YEAR(TODAY()),MONTH(TODAY()),1))))*12+MONTH(EDATE(DATE(YEAR(TODAY()),MONTH(TODAY()),1),17))-MONTH(IF(ISNUMBER(Suppliers!F34),Suppliers!F34,DATE(YEAR(TODAY()),MONTH(TODAY()),1))),6)=0,1,0),IF(Suppliers!E34="Annual",IF(MOD((YEAR(EDATE(DATE(YEAR(TODAY()),MONTH(TODAY()),1),17))-YEAR(IF(ISNUMBER(Suppliers!F34),Suppliers!F34,DATE(YEAR(TODAY()),MONTH(TODAY()),1))))*12+MONTH(EDATE(DATE(YEAR(TODAY()),MONTH(TODAY()),1),17))-MONTH(IF(ISNUMBER(Suppliers!F34),Suppliers!F34,DATE(YEAR(TODAY()),MONTH(TODAY()),1))),12)=0,1,0),IF(Suppliers!E34="One-time",IF(17=0,1,0),1)))))),"")</f>
        <v/>
      </c>
      <c r="X36" s="10" t="str">
        <f ca="1">IFERROR(IF(OR(18&gt;=$B$1,Suppliers!A34="",NOT(ISNUMBER(Suppliers!D34)),Suppliers!L34="Expired",Suppliers!L34="Terminate"),"",Suppliers!D34*-1*IF(Suppliers!E34="Monthly",IF(AND(ISNUMBER(Suppliers!G34),(YEAR(EDATE(DATE(YEAR(TODAY()),MONTH(TODAY()),1),18))*12+MONTH(EDATE(DATE(YEAR(TODAY()),MONTH(TODAY()),1),18)))&gt;(YEAR(Suppliers!G34)*12+MONTH(Suppliers!G34))),"",1),IF(Suppliers!E34="Quarterly",IF(MOD((YEAR(EDATE(DATE(YEAR(TODAY()),MONTH(TODAY()),1),18))-YEAR(IF(ISNUMBER(Suppliers!F34),Suppliers!F34,DATE(YEAR(TODAY()),MONTH(TODAY()),1))))*12+MONTH(EDATE(DATE(YEAR(TODAY()),MONTH(TODAY()),1),18))-MONTH(IF(ISNUMBER(Suppliers!F34),Suppliers!F34,DATE(YEAR(TODAY()),MONTH(TODAY()),1))),3)=0,1,0),IF(Suppliers!E34="Semi-annual",IF(MOD((YEAR(EDATE(DATE(YEAR(TODAY()),MONTH(TODAY()),1),18))-YEAR(IF(ISNUMBER(Suppliers!F34),Suppliers!F34,DATE(YEAR(TODAY()),MONTH(TODAY()),1))))*12+MONTH(EDATE(DATE(YEAR(TODAY()),MONTH(TODAY()),1),18))-MONTH(IF(ISNUMBER(Suppliers!F34),Suppliers!F34,DATE(YEAR(TODAY()),MONTH(TODAY()),1))),6)=0,1,0),IF(Suppliers!E34="Annual",IF(MOD((YEAR(EDATE(DATE(YEAR(TODAY()),MONTH(TODAY()),1),18))-YEAR(IF(ISNUMBER(Suppliers!F34),Suppliers!F34,DATE(YEAR(TODAY()),MONTH(TODAY()),1))))*12+MONTH(EDATE(DATE(YEAR(TODAY()),MONTH(TODAY()),1),18))-MONTH(IF(ISNUMBER(Suppliers!F34),Suppliers!F34,DATE(YEAR(TODAY()),MONTH(TODAY()),1))),12)=0,1,0),IF(Suppliers!E34="One-time",IF(18=0,1,0),1)))))),"")</f>
        <v/>
      </c>
      <c r="Y36" s="10" t="str">
        <f ca="1">IFERROR(IF(OR(19&gt;=$B$1,Suppliers!A34="",NOT(ISNUMBER(Suppliers!D34)),Suppliers!L34="Expired",Suppliers!L34="Terminate"),"",Suppliers!D34*-1*IF(Suppliers!E34="Monthly",IF(AND(ISNUMBER(Suppliers!G34),(YEAR(EDATE(DATE(YEAR(TODAY()),MONTH(TODAY()),1),19))*12+MONTH(EDATE(DATE(YEAR(TODAY()),MONTH(TODAY()),1),19)))&gt;(YEAR(Suppliers!G34)*12+MONTH(Suppliers!G34))),"",1),IF(Suppliers!E34="Quarterly",IF(MOD((YEAR(EDATE(DATE(YEAR(TODAY()),MONTH(TODAY()),1),19))-YEAR(IF(ISNUMBER(Suppliers!F34),Suppliers!F34,DATE(YEAR(TODAY()),MONTH(TODAY()),1))))*12+MONTH(EDATE(DATE(YEAR(TODAY()),MONTH(TODAY()),1),19))-MONTH(IF(ISNUMBER(Suppliers!F34),Suppliers!F34,DATE(YEAR(TODAY()),MONTH(TODAY()),1))),3)=0,1,0),IF(Suppliers!E34="Semi-annual",IF(MOD((YEAR(EDATE(DATE(YEAR(TODAY()),MONTH(TODAY()),1),19))-YEAR(IF(ISNUMBER(Suppliers!F34),Suppliers!F34,DATE(YEAR(TODAY()),MONTH(TODAY()),1))))*12+MONTH(EDATE(DATE(YEAR(TODAY()),MONTH(TODAY()),1),19))-MONTH(IF(ISNUMBER(Suppliers!F34),Suppliers!F34,DATE(YEAR(TODAY()),MONTH(TODAY()),1))),6)=0,1,0),IF(Suppliers!E34="Annual",IF(MOD((YEAR(EDATE(DATE(YEAR(TODAY()),MONTH(TODAY()),1),19))-YEAR(IF(ISNUMBER(Suppliers!F34),Suppliers!F34,DATE(YEAR(TODAY()),MONTH(TODAY()),1))))*12+MONTH(EDATE(DATE(YEAR(TODAY()),MONTH(TODAY()),1),19))-MONTH(IF(ISNUMBER(Suppliers!F34),Suppliers!F34,DATE(YEAR(TODAY()),MONTH(TODAY()),1))),12)=0,1,0),IF(Suppliers!E34="One-time",IF(19=0,1,0),1)))))),"")</f>
        <v/>
      </c>
      <c r="Z36" s="10" t="str">
        <f ca="1">IFERROR(IF(OR(20&gt;=$B$1,Suppliers!A34="",NOT(ISNUMBER(Suppliers!D34)),Suppliers!L34="Expired",Suppliers!L34="Terminate"),"",Suppliers!D34*-1*IF(Suppliers!E34="Monthly",IF(AND(ISNUMBER(Suppliers!G34),(YEAR(EDATE(DATE(YEAR(TODAY()),MONTH(TODAY()),1),20))*12+MONTH(EDATE(DATE(YEAR(TODAY()),MONTH(TODAY()),1),20)))&gt;(YEAR(Suppliers!G34)*12+MONTH(Suppliers!G34))),"",1),IF(Suppliers!E34="Quarterly",IF(MOD((YEAR(EDATE(DATE(YEAR(TODAY()),MONTH(TODAY()),1),20))-YEAR(IF(ISNUMBER(Suppliers!F34),Suppliers!F34,DATE(YEAR(TODAY()),MONTH(TODAY()),1))))*12+MONTH(EDATE(DATE(YEAR(TODAY()),MONTH(TODAY()),1),20))-MONTH(IF(ISNUMBER(Suppliers!F34),Suppliers!F34,DATE(YEAR(TODAY()),MONTH(TODAY()),1))),3)=0,1,0),IF(Suppliers!E34="Semi-annual",IF(MOD((YEAR(EDATE(DATE(YEAR(TODAY()),MONTH(TODAY()),1),20))-YEAR(IF(ISNUMBER(Suppliers!F34),Suppliers!F34,DATE(YEAR(TODAY()),MONTH(TODAY()),1))))*12+MONTH(EDATE(DATE(YEAR(TODAY()),MONTH(TODAY()),1),20))-MONTH(IF(ISNUMBER(Suppliers!F34),Suppliers!F34,DATE(YEAR(TODAY()),MONTH(TODAY()),1))),6)=0,1,0),IF(Suppliers!E34="Annual",IF(MOD((YEAR(EDATE(DATE(YEAR(TODAY()),MONTH(TODAY()),1),20))-YEAR(IF(ISNUMBER(Suppliers!F34),Suppliers!F34,DATE(YEAR(TODAY()),MONTH(TODAY()),1))))*12+MONTH(EDATE(DATE(YEAR(TODAY()),MONTH(TODAY()),1),20))-MONTH(IF(ISNUMBER(Suppliers!F34),Suppliers!F34,DATE(YEAR(TODAY()),MONTH(TODAY()),1))),12)=0,1,0),IF(Suppliers!E34="One-time",IF(20=0,1,0),1)))))),"")</f>
        <v/>
      </c>
      <c r="AA36" s="10" t="str">
        <f ca="1">IFERROR(IF(OR(21&gt;=$B$1,Suppliers!A34="",NOT(ISNUMBER(Suppliers!D34)),Suppliers!L34="Expired",Suppliers!L34="Terminate"),"",Suppliers!D34*-1*IF(Suppliers!E34="Monthly",IF(AND(ISNUMBER(Suppliers!G34),(YEAR(EDATE(DATE(YEAR(TODAY()),MONTH(TODAY()),1),21))*12+MONTH(EDATE(DATE(YEAR(TODAY()),MONTH(TODAY()),1),21)))&gt;(YEAR(Suppliers!G34)*12+MONTH(Suppliers!G34))),"",1),IF(Suppliers!E34="Quarterly",IF(MOD((YEAR(EDATE(DATE(YEAR(TODAY()),MONTH(TODAY()),1),21))-YEAR(IF(ISNUMBER(Suppliers!F34),Suppliers!F34,DATE(YEAR(TODAY()),MONTH(TODAY()),1))))*12+MONTH(EDATE(DATE(YEAR(TODAY()),MONTH(TODAY()),1),21))-MONTH(IF(ISNUMBER(Suppliers!F34),Suppliers!F34,DATE(YEAR(TODAY()),MONTH(TODAY()),1))),3)=0,1,0),IF(Suppliers!E34="Semi-annual",IF(MOD((YEAR(EDATE(DATE(YEAR(TODAY()),MONTH(TODAY()),1),21))-YEAR(IF(ISNUMBER(Suppliers!F34),Suppliers!F34,DATE(YEAR(TODAY()),MONTH(TODAY()),1))))*12+MONTH(EDATE(DATE(YEAR(TODAY()),MONTH(TODAY()),1),21))-MONTH(IF(ISNUMBER(Suppliers!F34),Suppliers!F34,DATE(YEAR(TODAY()),MONTH(TODAY()),1))),6)=0,1,0),IF(Suppliers!E34="Annual",IF(MOD((YEAR(EDATE(DATE(YEAR(TODAY()),MONTH(TODAY()),1),21))-YEAR(IF(ISNUMBER(Suppliers!F34),Suppliers!F34,DATE(YEAR(TODAY()),MONTH(TODAY()),1))))*12+MONTH(EDATE(DATE(YEAR(TODAY()),MONTH(TODAY()),1),21))-MONTH(IF(ISNUMBER(Suppliers!F34),Suppliers!F34,DATE(YEAR(TODAY()),MONTH(TODAY()),1))),12)=0,1,0),IF(Suppliers!E34="One-time",IF(21=0,1,0),1)))))),"")</f>
        <v/>
      </c>
      <c r="AB36" s="10" t="str">
        <f ca="1">IFERROR(IF(OR(22&gt;=$B$1,Suppliers!A34="",NOT(ISNUMBER(Suppliers!D34)),Suppliers!L34="Expired",Suppliers!L34="Terminate"),"",Suppliers!D34*-1*IF(Suppliers!E34="Monthly",IF(AND(ISNUMBER(Suppliers!G34),(YEAR(EDATE(DATE(YEAR(TODAY()),MONTH(TODAY()),1),22))*12+MONTH(EDATE(DATE(YEAR(TODAY()),MONTH(TODAY()),1),22)))&gt;(YEAR(Suppliers!G34)*12+MONTH(Suppliers!G34))),"",1),IF(Suppliers!E34="Quarterly",IF(MOD((YEAR(EDATE(DATE(YEAR(TODAY()),MONTH(TODAY()),1),22))-YEAR(IF(ISNUMBER(Suppliers!F34),Suppliers!F34,DATE(YEAR(TODAY()),MONTH(TODAY()),1))))*12+MONTH(EDATE(DATE(YEAR(TODAY()),MONTH(TODAY()),1),22))-MONTH(IF(ISNUMBER(Suppliers!F34),Suppliers!F34,DATE(YEAR(TODAY()),MONTH(TODAY()),1))),3)=0,1,0),IF(Suppliers!E34="Semi-annual",IF(MOD((YEAR(EDATE(DATE(YEAR(TODAY()),MONTH(TODAY()),1),22))-YEAR(IF(ISNUMBER(Suppliers!F34),Suppliers!F34,DATE(YEAR(TODAY()),MONTH(TODAY()),1))))*12+MONTH(EDATE(DATE(YEAR(TODAY()),MONTH(TODAY()),1),22))-MONTH(IF(ISNUMBER(Suppliers!F34),Suppliers!F34,DATE(YEAR(TODAY()),MONTH(TODAY()),1))),6)=0,1,0),IF(Suppliers!E34="Annual",IF(MOD((YEAR(EDATE(DATE(YEAR(TODAY()),MONTH(TODAY()),1),22))-YEAR(IF(ISNUMBER(Suppliers!F34),Suppliers!F34,DATE(YEAR(TODAY()),MONTH(TODAY()),1))))*12+MONTH(EDATE(DATE(YEAR(TODAY()),MONTH(TODAY()),1),22))-MONTH(IF(ISNUMBER(Suppliers!F34),Suppliers!F34,DATE(YEAR(TODAY()),MONTH(TODAY()),1))),12)=0,1,0),IF(Suppliers!E34="One-time",IF(22=0,1,0),1)))))),"")</f>
        <v/>
      </c>
      <c r="AC36" s="10" t="str">
        <f ca="1">IFERROR(IF(OR(23&gt;=$B$1,Suppliers!A34="",NOT(ISNUMBER(Suppliers!D34)),Suppliers!L34="Expired",Suppliers!L34="Terminate"),"",Suppliers!D34*-1*IF(Suppliers!E34="Monthly",IF(AND(ISNUMBER(Suppliers!G34),(YEAR(EDATE(DATE(YEAR(TODAY()),MONTH(TODAY()),1),23))*12+MONTH(EDATE(DATE(YEAR(TODAY()),MONTH(TODAY()),1),23)))&gt;(YEAR(Suppliers!G34)*12+MONTH(Suppliers!G34))),"",1),IF(Suppliers!E34="Quarterly",IF(MOD((YEAR(EDATE(DATE(YEAR(TODAY()),MONTH(TODAY()),1),23))-YEAR(IF(ISNUMBER(Suppliers!F34),Suppliers!F34,DATE(YEAR(TODAY()),MONTH(TODAY()),1))))*12+MONTH(EDATE(DATE(YEAR(TODAY()),MONTH(TODAY()),1),23))-MONTH(IF(ISNUMBER(Suppliers!F34),Suppliers!F34,DATE(YEAR(TODAY()),MONTH(TODAY()),1))),3)=0,1,0),IF(Suppliers!E34="Semi-annual",IF(MOD((YEAR(EDATE(DATE(YEAR(TODAY()),MONTH(TODAY()),1),23))-YEAR(IF(ISNUMBER(Suppliers!F34),Suppliers!F34,DATE(YEAR(TODAY()),MONTH(TODAY()),1))))*12+MONTH(EDATE(DATE(YEAR(TODAY()),MONTH(TODAY()),1),23))-MONTH(IF(ISNUMBER(Suppliers!F34),Suppliers!F34,DATE(YEAR(TODAY()),MONTH(TODAY()),1))),6)=0,1,0),IF(Suppliers!E34="Annual",IF(MOD((YEAR(EDATE(DATE(YEAR(TODAY()),MONTH(TODAY()),1),23))-YEAR(IF(ISNUMBER(Suppliers!F34),Suppliers!F34,DATE(YEAR(TODAY()),MONTH(TODAY()),1))))*12+MONTH(EDATE(DATE(YEAR(TODAY()),MONTH(TODAY()),1),23))-MONTH(IF(ISNUMBER(Suppliers!F34),Suppliers!F34,DATE(YEAR(TODAY()),MONTH(TODAY()),1))),12)=0,1,0),IF(Suppliers!E34="One-time",IF(23=0,1,0),1)))))),"")</f>
        <v/>
      </c>
    </row>
    <row r="37" spans="1:29" ht="15" customHeight="1" x14ac:dyDescent="0.35">
      <c r="A37" s="4" t="s">
        <v>80</v>
      </c>
      <c r="B37" s="4" t="str">
        <f>IF(Suppliers!A35="","",Suppliers!A35)</f>
        <v/>
      </c>
      <c r="C37" s="10" t="str">
        <f>IF(Suppliers!C35="","",Suppliers!C35)</f>
        <v/>
      </c>
      <c r="D37" s="10" t="str">
        <f>IF(Suppliers!D35="","",Suppliers!D35)</f>
        <v/>
      </c>
      <c r="E37" s="4" t="str">
        <f>IF(Suppliers!E35="","",Suppliers!E35)</f>
        <v/>
      </c>
      <c r="F37" s="10" t="str">
        <f ca="1">IFERROR(IF(OR(0&gt;=$B$1,Suppliers!A35="",NOT(ISNUMBER(Suppliers!D35)),Suppliers!L35="Expired",Suppliers!L35="Terminate"),"",Suppliers!D35*-1*IF(Suppliers!E35="Monthly",IF(AND(ISNUMBER(Suppliers!G35),(YEAR(EDATE(DATE(YEAR(TODAY()),MONTH(TODAY()),1),0))*12+MONTH(EDATE(DATE(YEAR(TODAY()),MONTH(TODAY()),1),0)))&gt;(YEAR(Suppliers!G35)*12+MONTH(Suppliers!G35))),"",1),IF(Suppliers!E35="Quarterly",IF(MOD((YEAR(EDATE(DATE(YEAR(TODAY()),MONTH(TODAY()),1),0))-YEAR(IF(ISNUMBER(Suppliers!F35),Suppliers!F35,DATE(YEAR(TODAY()),MONTH(TODAY()),1))))*12+MONTH(EDATE(DATE(YEAR(TODAY()),MONTH(TODAY()),1),0))-MONTH(IF(ISNUMBER(Suppliers!F35),Suppliers!F35,DATE(YEAR(TODAY()),MONTH(TODAY()),1))),3)=0,1,0),IF(Suppliers!E35="Semi-annual",IF(MOD((YEAR(EDATE(DATE(YEAR(TODAY()),MONTH(TODAY()),1),0))-YEAR(IF(ISNUMBER(Suppliers!F35),Suppliers!F35,DATE(YEAR(TODAY()),MONTH(TODAY()),1))))*12+MONTH(EDATE(DATE(YEAR(TODAY()),MONTH(TODAY()),1),0))-MONTH(IF(ISNUMBER(Suppliers!F35),Suppliers!F35,DATE(YEAR(TODAY()),MONTH(TODAY()),1))),6)=0,1,0),IF(Suppliers!E35="Annual",IF(MOD((YEAR(EDATE(DATE(YEAR(TODAY()),MONTH(TODAY()),1),0))-YEAR(IF(ISNUMBER(Suppliers!F35),Suppliers!F35,DATE(YEAR(TODAY()),MONTH(TODAY()),1))))*12+MONTH(EDATE(DATE(YEAR(TODAY()),MONTH(TODAY()),1),0))-MONTH(IF(ISNUMBER(Suppliers!F35),Suppliers!F35,DATE(YEAR(TODAY()),MONTH(TODAY()),1))),12)=0,1,0),IF(Suppliers!E35="One-time",IF(0=0,1,0),1)))))),"")</f>
        <v/>
      </c>
      <c r="G37" s="10" t="str">
        <f ca="1">IFERROR(IF(OR(1&gt;=$B$1,Suppliers!A35="",NOT(ISNUMBER(Suppliers!D35)),Suppliers!L35="Expired",Suppliers!L35="Terminate"),"",Suppliers!D35*-1*IF(Suppliers!E35="Monthly",IF(AND(ISNUMBER(Suppliers!G35),(YEAR(EDATE(DATE(YEAR(TODAY()),MONTH(TODAY()),1),1))*12+MONTH(EDATE(DATE(YEAR(TODAY()),MONTH(TODAY()),1),1)))&gt;(YEAR(Suppliers!G35)*12+MONTH(Suppliers!G35))),"",1),IF(Suppliers!E35="Quarterly",IF(MOD((YEAR(EDATE(DATE(YEAR(TODAY()),MONTH(TODAY()),1),1))-YEAR(IF(ISNUMBER(Suppliers!F35),Suppliers!F35,DATE(YEAR(TODAY()),MONTH(TODAY()),1))))*12+MONTH(EDATE(DATE(YEAR(TODAY()),MONTH(TODAY()),1),1))-MONTH(IF(ISNUMBER(Suppliers!F35),Suppliers!F35,DATE(YEAR(TODAY()),MONTH(TODAY()),1))),3)=0,1,0),IF(Suppliers!E35="Semi-annual",IF(MOD((YEAR(EDATE(DATE(YEAR(TODAY()),MONTH(TODAY()),1),1))-YEAR(IF(ISNUMBER(Suppliers!F35),Suppliers!F35,DATE(YEAR(TODAY()),MONTH(TODAY()),1))))*12+MONTH(EDATE(DATE(YEAR(TODAY()),MONTH(TODAY()),1),1))-MONTH(IF(ISNUMBER(Suppliers!F35),Suppliers!F35,DATE(YEAR(TODAY()),MONTH(TODAY()),1))),6)=0,1,0),IF(Suppliers!E35="Annual",IF(MOD((YEAR(EDATE(DATE(YEAR(TODAY()),MONTH(TODAY()),1),1))-YEAR(IF(ISNUMBER(Suppliers!F35),Suppliers!F35,DATE(YEAR(TODAY()),MONTH(TODAY()),1))))*12+MONTH(EDATE(DATE(YEAR(TODAY()),MONTH(TODAY()),1),1))-MONTH(IF(ISNUMBER(Suppliers!F35),Suppliers!F35,DATE(YEAR(TODAY()),MONTH(TODAY()),1))),12)=0,1,0),IF(Suppliers!E35="One-time",IF(1=0,1,0),1)))))),"")</f>
        <v/>
      </c>
      <c r="H37" s="10" t="str">
        <f ca="1">IFERROR(IF(OR(2&gt;=$B$1,Suppliers!A35="",NOT(ISNUMBER(Suppliers!D35)),Suppliers!L35="Expired",Suppliers!L35="Terminate"),"",Suppliers!D35*-1*IF(Suppliers!E35="Monthly",IF(AND(ISNUMBER(Suppliers!G35),(YEAR(EDATE(DATE(YEAR(TODAY()),MONTH(TODAY()),1),2))*12+MONTH(EDATE(DATE(YEAR(TODAY()),MONTH(TODAY()),1),2)))&gt;(YEAR(Suppliers!G35)*12+MONTH(Suppliers!G35))),"",1),IF(Suppliers!E35="Quarterly",IF(MOD((YEAR(EDATE(DATE(YEAR(TODAY()),MONTH(TODAY()),1),2))-YEAR(IF(ISNUMBER(Suppliers!F35),Suppliers!F35,DATE(YEAR(TODAY()),MONTH(TODAY()),1))))*12+MONTH(EDATE(DATE(YEAR(TODAY()),MONTH(TODAY()),1),2))-MONTH(IF(ISNUMBER(Suppliers!F35),Suppliers!F35,DATE(YEAR(TODAY()),MONTH(TODAY()),1))),3)=0,1,0),IF(Suppliers!E35="Semi-annual",IF(MOD((YEAR(EDATE(DATE(YEAR(TODAY()),MONTH(TODAY()),1),2))-YEAR(IF(ISNUMBER(Suppliers!F35),Suppliers!F35,DATE(YEAR(TODAY()),MONTH(TODAY()),1))))*12+MONTH(EDATE(DATE(YEAR(TODAY()),MONTH(TODAY()),1),2))-MONTH(IF(ISNUMBER(Suppliers!F35),Suppliers!F35,DATE(YEAR(TODAY()),MONTH(TODAY()),1))),6)=0,1,0),IF(Suppliers!E35="Annual",IF(MOD((YEAR(EDATE(DATE(YEAR(TODAY()),MONTH(TODAY()),1),2))-YEAR(IF(ISNUMBER(Suppliers!F35),Suppliers!F35,DATE(YEAR(TODAY()),MONTH(TODAY()),1))))*12+MONTH(EDATE(DATE(YEAR(TODAY()),MONTH(TODAY()),1),2))-MONTH(IF(ISNUMBER(Suppliers!F35),Suppliers!F35,DATE(YEAR(TODAY()),MONTH(TODAY()),1))),12)=0,1,0),IF(Suppliers!E35="One-time",IF(2=0,1,0),1)))))),"")</f>
        <v/>
      </c>
      <c r="I37" s="10" t="str">
        <f ca="1">IFERROR(IF(OR(3&gt;=$B$1,Suppliers!A35="",NOT(ISNUMBER(Suppliers!D35)),Suppliers!L35="Expired",Suppliers!L35="Terminate"),"",Suppliers!D35*-1*IF(Suppliers!E35="Monthly",IF(AND(ISNUMBER(Suppliers!G35),(YEAR(EDATE(DATE(YEAR(TODAY()),MONTH(TODAY()),1),3))*12+MONTH(EDATE(DATE(YEAR(TODAY()),MONTH(TODAY()),1),3)))&gt;(YEAR(Suppliers!G35)*12+MONTH(Suppliers!G35))),"",1),IF(Suppliers!E35="Quarterly",IF(MOD((YEAR(EDATE(DATE(YEAR(TODAY()),MONTH(TODAY()),1),3))-YEAR(IF(ISNUMBER(Suppliers!F35),Suppliers!F35,DATE(YEAR(TODAY()),MONTH(TODAY()),1))))*12+MONTH(EDATE(DATE(YEAR(TODAY()),MONTH(TODAY()),1),3))-MONTH(IF(ISNUMBER(Suppliers!F35),Suppliers!F35,DATE(YEAR(TODAY()),MONTH(TODAY()),1))),3)=0,1,0),IF(Suppliers!E35="Semi-annual",IF(MOD((YEAR(EDATE(DATE(YEAR(TODAY()),MONTH(TODAY()),1),3))-YEAR(IF(ISNUMBER(Suppliers!F35),Suppliers!F35,DATE(YEAR(TODAY()),MONTH(TODAY()),1))))*12+MONTH(EDATE(DATE(YEAR(TODAY()),MONTH(TODAY()),1),3))-MONTH(IF(ISNUMBER(Suppliers!F35),Suppliers!F35,DATE(YEAR(TODAY()),MONTH(TODAY()),1))),6)=0,1,0),IF(Suppliers!E35="Annual",IF(MOD((YEAR(EDATE(DATE(YEAR(TODAY()),MONTH(TODAY()),1),3))-YEAR(IF(ISNUMBER(Suppliers!F35),Suppliers!F35,DATE(YEAR(TODAY()),MONTH(TODAY()),1))))*12+MONTH(EDATE(DATE(YEAR(TODAY()),MONTH(TODAY()),1),3))-MONTH(IF(ISNUMBER(Suppliers!F35),Suppliers!F35,DATE(YEAR(TODAY()),MONTH(TODAY()),1))),12)=0,1,0),IF(Suppliers!E35="One-time",IF(3=0,1,0),1)))))),"")</f>
        <v/>
      </c>
      <c r="J37" s="10" t="str">
        <f ca="1">IFERROR(IF(OR(4&gt;=$B$1,Suppliers!A35="",NOT(ISNUMBER(Suppliers!D35)),Suppliers!L35="Expired",Suppliers!L35="Terminate"),"",Suppliers!D35*-1*IF(Suppliers!E35="Monthly",IF(AND(ISNUMBER(Suppliers!G35),(YEAR(EDATE(DATE(YEAR(TODAY()),MONTH(TODAY()),1),4))*12+MONTH(EDATE(DATE(YEAR(TODAY()),MONTH(TODAY()),1),4)))&gt;(YEAR(Suppliers!G35)*12+MONTH(Suppliers!G35))),"",1),IF(Suppliers!E35="Quarterly",IF(MOD((YEAR(EDATE(DATE(YEAR(TODAY()),MONTH(TODAY()),1),4))-YEAR(IF(ISNUMBER(Suppliers!F35),Suppliers!F35,DATE(YEAR(TODAY()),MONTH(TODAY()),1))))*12+MONTH(EDATE(DATE(YEAR(TODAY()),MONTH(TODAY()),1),4))-MONTH(IF(ISNUMBER(Suppliers!F35),Suppliers!F35,DATE(YEAR(TODAY()),MONTH(TODAY()),1))),3)=0,1,0),IF(Suppliers!E35="Semi-annual",IF(MOD((YEAR(EDATE(DATE(YEAR(TODAY()),MONTH(TODAY()),1),4))-YEAR(IF(ISNUMBER(Suppliers!F35),Suppliers!F35,DATE(YEAR(TODAY()),MONTH(TODAY()),1))))*12+MONTH(EDATE(DATE(YEAR(TODAY()),MONTH(TODAY()),1),4))-MONTH(IF(ISNUMBER(Suppliers!F35),Suppliers!F35,DATE(YEAR(TODAY()),MONTH(TODAY()),1))),6)=0,1,0),IF(Suppliers!E35="Annual",IF(MOD((YEAR(EDATE(DATE(YEAR(TODAY()),MONTH(TODAY()),1),4))-YEAR(IF(ISNUMBER(Suppliers!F35),Suppliers!F35,DATE(YEAR(TODAY()),MONTH(TODAY()),1))))*12+MONTH(EDATE(DATE(YEAR(TODAY()),MONTH(TODAY()),1),4))-MONTH(IF(ISNUMBER(Suppliers!F35),Suppliers!F35,DATE(YEAR(TODAY()),MONTH(TODAY()),1))),12)=0,1,0),IF(Suppliers!E35="One-time",IF(4=0,1,0),1)))))),"")</f>
        <v/>
      </c>
      <c r="K37" s="10" t="str">
        <f ca="1">IFERROR(IF(OR(5&gt;=$B$1,Suppliers!A35="",NOT(ISNUMBER(Suppliers!D35)),Suppliers!L35="Expired",Suppliers!L35="Terminate"),"",Suppliers!D35*-1*IF(Suppliers!E35="Monthly",IF(AND(ISNUMBER(Suppliers!G35),(YEAR(EDATE(DATE(YEAR(TODAY()),MONTH(TODAY()),1),5))*12+MONTH(EDATE(DATE(YEAR(TODAY()),MONTH(TODAY()),1),5)))&gt;(YEAR(Suppliers!G35)*12+MONTH(Suppliers!G35))),"",1),IF(Suppliers!E35="Quarterly",IF(MOD((YEAR(EDATE(DATE(YEAR(TODAY()),MONTH(TODAY()),1),5))-YEAR(IF(ISNUMBER(Suppliers!F35),Suppliers!F35,DATE(YEAR(TODAY()),MONTH(TODAY()),1))))*12+MONTH(EDATE(DATE(YEAR(TODAY()),MONTH(TODAY()),1),5))-MONTH(IF(ISNUMBER(Suppliers!F35),Suppliers!F35,DATE(YEAR(TODAY()),MONTH(TODAY()),1))),3)=0,1,0),IF(Suppliers!E35="Semi-annual",IF(MOD((YEAR(EDATE(DATE(YEAR(TODAY()),MONTH(TODAY()),1),5))-YEAR(IF(ISNUMBER(Suppliers!F35),Suppliers!F35,DATE(YEAR(TODAY()),MONTH(TODAY()),1))))*12+MONTH(EDATE(DATE(YEAR(TODAY()),MONTH(TODAY()),1),5))-MONTH(IF(ISNUMBER(Suppliers!F35),Suppliers!F35,DATE(YEAR(TODAY()),MONTH(TODAY()),1))),6)=0,1,0),IF(Suppliers!E35="Annual",IF(MOD((YEAR(EDATE(DATE(YEAR(TODAY()),MONTH(TODAY()),1),5))-YEAR(IF(ISNUMBER(Suppliers!F35),Suppliers!F35,DATE(YEAR(TODAY()),MONTH(TODAY()),1))))*12+MONTH(EDATE(DATE(YEAR(TODAY()),MONTH(TODAY()),1),5))-MONTH(IF(ISNUMBER(Suppliers!F35),Suppliers!F35,DATE(YEAR(TODAY()),MONTH(TODAY()),1))),12)=0,1,0),IF(Suppliers!E35="One-time",IF(5=0,1,0),1)))))),"")</f>
        <v/>
      </c>
      <c r="L37" s="10" t="str">
        <f ca="1">IFERROR(IF(OR(6&gt;=$B$1,Suppliers!A35="",NOT(ISNUMBER(Suppliers!D35)),Suppliers!L35="Expired",Suppliers!L35="Terminate"),"",Suppliers!D35*-1*IF(Suppliers!E35="Monthly",IF(AND(ISNUMBER(Suppliers!G35),(YEAR(EDATE(DATE(YEAR(TODAY()),MONTH(TODAY()),1),6))*12+MONTH(EDATE(DATE(YEAR(TODAY()),MONTH(TODAY()),1),6)))&gt;(YEAR(Suppliers!G35)*12+MONTH(Suppliers!G35))),"",1),IF(Suppliers!E35="Quarterly",IF(MOD((YEAR(EDATE(DATE(YEAR(TODAY()),MONTH(TODAY()),1),6))-YEAR(IF(ISNUMBER(Suppliers!F35),Suppliers!F35,DATE(YEAR(TODAY()),MONTH(TODAY()),1))))*12+MONTH(EDATE(DATE(YEAR(TODAY()),MONTH(TODAY()),1),6))-MONTH(IF(ISNUMBER(Suppliers!F35),Suppliers!F35,DATE(YEAR(TODAY()),MONTH(TODAY()),1))),3)=0,1,0),IF(Suppliers!E35="Semi-annual",IF(MOD((YEAR(EDATE(DATE(YEAR(TODAY()),MONTH(TODAY()),1),6))-YEAR(IF(ISNUMBER(Suppliers!F35),Suppliers!F35,DATE(YEAR(TODAY()),MONTH(TODAY()),1))))*12+MONTH(EDATE(DATE(YEAR(TODAY()),MONTH(TODAY()),1),6))-MONTH(IF(ISNUMBER(Suppliers!F35),Suppliers!F35,DATE(YEAR(TODAY()),MONTH(TODAY()),1))),6)=0,1,0),IF(Suppliers!E35="Annual",IF(MOD((YEAR(EDATE(DATE(YEAR(TODAY()),MONTH(TODAY()),1),6))-YEAR(IF(ISNUMBER(Suppliers!F35),Suppliers!F35,DATE(YEAR(TODAY()),MONTH(TODAY()),1))))*12+MONTH(EDATE(DATE(YEAR(TODAY()),MONTH(TODAY()),1),6))-MONTH(IF(ISNUMBER(Suppliers!F35),Suppliers!F35,DATE(YEAR(TODAY()),MONTH(TODAY()),1))),12)=0,1,0),IF(Suppliers!E35="One-time",IF(6=0,1,0),1)))))),"")</f>
        <v/>
      </c>
      <c r="M37" s="10" t="str">
        <f ca="1">IFERROR(IF(OR(7&gt;=$B$1,Suppliers!A35="",NOT(ISNUMBER(Suppliers!D35)),Suppliers!L35="Expired",Suppliers!L35="Terminate"),"",Suppliers!D35*-1*IF(Suppliers!E35="Monthly",IF(AND(ISNUMBER(Suppliers!G35),(YEAR(EDATE(DATE(YEAR(TODAY()),MONTH(TODAY()),1),7))*12+MONTH(EDATE(DATE(YEAR(TODAY()),MONTH(TODAY()),1),7)))&gt;(YEAR(Suppliers!G35)*12+MONTH(Suppliers!G35))),"",1),IF(Suppliers!E35="Quarterly",IF(MOD((YEAR(EDATE(DATE(YEAR(TODAY()),MONTH(TODAY()),1),7))-YEAR(IF(ISNUMBER(Suppliers!F35),Suppliers!F35,DATE(YEAR(TODAY()),MONTH(TODAY()),1))))*12+MONTH(EDATE(DATE(YEAR(TODAY()),MONTH(TODAY()),1),7))-MONTH(IF(ISNUMBER(Suppliers!F35),Suppliers!F35,DATE(YEAR(TODAY()),MONTH(TODAY()),1))),3)=0,1,0),IF(Suppliers!E35="Semi-annual",IF(MOD((YEAR(EDATE(DATE(YEAR(TODAY()),MONTH(TODAY()),1),7))-YEAR(IF(ISNUMBER(Suppliers!F35),Suppliers!F35,DATE(YEAR(TODAY()),MONTH(TODAY()),1))))*12+MONTH(EDATE(DATE(YEAR(TODAY()),MONTH(TODAY()),1),7))-MONTH(IF(ISNUMBER(Suppliers!F35),Suppliers!F35,DATE(YEAR(TODAY()),MONTH(TODAY()),1))),6)=0,1,0),IF(Suppliers!E35="Annual",IF(MOD((YEAR(EDATE(DATE(YEAR(TODAY()),MONTH(TODAY()),1),7))-YEAR(IF(ISNUMBER(Suppliers!F35),Suppliers!F35,DATE(YEAR(TODAY()),MONTH(TODAY()),1))))*12+MONTH(EDATE(DATE(YEAR(TODAY()),MONTH(TODAY()),1),7))-MONTH(IF(ISNUMBER(Suppliers!F35),Suppliers!F35,DATE(YEAR(TODAY()),MONTH(TODAY()),1))),12)=0,1,0),IF(Suppliers!E35="One-time",IF(7=0,1,0),1)))))),"")</f>
        <v/>
      </c>
      <c r="N37" s="10" t="str">
        <f ca="1">IFERROR(IF(OR(8&gt;=$B$1,Suppliers!A35="",NOT(ISNUMBER(Suppliers!D35)),Suppliers!L35="Expired",Suppliers!L35="Terminate"),"",Suppliers!D35*-1*IF(Suppliers!E35="Monthly",IF(AND(ISNUMBER(Suppliers!G35),(YEAR(EDATE(DATE(YEAR(TODAY()),MONTH(TODAY()),1),8))*12+MONTH(EDATE(DATE(YEAR(TODAY()),MONTH(TODAY()),1),8)))&gt;(YEAR(Suppliers!G35)*12+MONTH(Suppliers!G35))),"",1),IF(Suppliers!E35="Quarterly",IF(MOD((YEAR(EDATE(DATE(YEAR(TODAY()),MONTH(TODAY()),1),8))-YEAR(IF(ISNUMBER(Suppliers!F35),Suppliers!F35,DATE(YEAR(TODAY()),MONTH(TODAY()),1))))*12+MONTH(EDATE(DATE(YEAR(TODAY()),MONTH(TODAY()),1),8))-MONTH(IF(ISNUMBER(Suppliers!F35),Suppliers!F35,DATE(YEAR(TODAY()),MONTH(TODAY()),1))),3)=0,1,0),IF(Suppliers!E35="Semi-annual",IF(MOD((YEAR(EDATE(DATE(YEAR(TODAY()),MONTH(TODAY()),1),8))-YEAR(IF(ISNUMBER(Suppliers!F35),Suppliers!F35,DATE(YEAR(TODAY()),MONTH(TODAY()),1))))*12+MONTH(EDATE(DATE(YEAR(TODAY()),MONTH(TODAY()),1),8))-MONTH(IF(ISNUMBER(Suppliers!F35),Suppliers!F35,DATE(YEAR(TODAY()),MONTH(TODAY()),1))),6)=0,1,0),IF(Suppliers!E35="Annual",IF(MOD((YEAR(EDATE(DATE(YEAR(TODAY()),MONTH(TODAY()),1),8))-YEAR(IF(ISNUMBER(Suppliers!F35),Suppliers!F35,DATE(YEAR(TODAY()),MONTH(TODAY()),1))))*12+MONTH(EDATE(DATE(YEAR(TODAY()),MONTH(TODAY()),1),8))-MONTH(IF(ISNUMBER(Suppliers!F35),Suppliers!F35,DATE(YEAR(TODAY()),MONTH(TODAY()),1))),12)=0,1,0),IF(Suppliers!E35="One-time",IF(8=0,1,0),1)))))),"")</f>
        <v/>
      </c>
      <c r="O37" s="10" t="str">
        <f ca="1">IFERROR(IF(OR(9&gt;=$B$1,Suppliers!A35="",NOT(ISNUMBER(Suppliers!D35)),Suppliers!L35="Expired",Suppliers!L35="Terminate"),"",Suppliers!D35*-1*IF(Suppliers!E35="Monthly",IF(AND(ISNUMBER(Suppliers!G35),(YEAR(EDATE(DATE(YEAR(TODAY()),MONTH(TODAY()),1),9))*12+MONTH(EDATE(DATE(YEAR(TODAY()),MONTH(TODAY()),1),9)))&gt;(YEAR(Suppliers!G35)*12+MONTH(Suppliers!G35))),"",1),IF(Suppliers!E35="Quarterly",IF(MOD((YEAR(EDATE(DATE(YEAR(TODAY()),MONTH(TODAY()),1),9))-YEAR(IF(ISNUMBER(Suppliers!F35),Suppliers!F35,DATE(YEAR(TODAY()),MONTH(TODAY()),1))))*12+MONTH(EDATE(DATE(YEAR(TODAY()),MONTH(TODAY()),1),9))-MONTH(IF(ISNUMBER(Suppliers!F35),Suppliers!F35,DATE(YEAR(TODAY()),MONTH(TODAY()),1))),3)=0,1,0),IF(Suppliers!E35="Semi-annual",IF(MOD((YEAR(EDATE(DATE(YEAR(TODAY()),MONTH(TODAY()),1),9))-YEAR(IF(ISNUMBER(Suppliers!F35),Suppliers!F35,DATE(YEAR(TODAY()),MONTH(TODAY()),1))))*12+MONTH(EDATE(DATE(YEAR(TODAY()),MONTH(TODAY()),1),9))-MONTH(IF(ISNUMBER(Suppliers!F35),Suppliers!F35,DATE(YEAR(TODAY()),MONTH(TODAY()),1))),6)=0,1,0),IF(Suppliers!E35="Annual",IF(MOD((YEAR(EDATE(DATE(YEAR(TODAY()),MONTH(TODAY()),1),9))-YEAR(IF(ISNUMBER(Suppliers!F35),Suppliers!F35,DATE(YEAR(TODAY()),MONTH(TODAY()),1))))*12+MONTH(EDATE(DATE(YEAR(TODAY()),MONTH(TODAY()),1),9))-MONTH(IF(ISNUMBER(Suppliers!F35),Suppliers!F35,DATE(YEAR(TODAY()),MONTH(TODAY()),1))),12)=0,1,0),IF(Suppliers!E35="One-time",IF(9=0,1,0),1)))))),"")</f>
        <v/>
      </c>
      <c r="P37" s="10" t="str">
        <f ca="1">IFERROR(IF(OR(10&gt;=$B$1,Suppliers!A35="",NOT(ISNUMBER(Suppliers!D35)),Suppliers!L35="Expired",Suppliers!L35="Terminate"),"",Suppliers!D35*-1*IF(Suppliers!E35="Monthly",IF(AND(ISNUMBER(Suppliers!G35),(YEAR(EDATE(DATE(YEAR(TODAY()),MONTH(TODAY()),1),10))*12+MONTH(EDATE(DATE(YEAR(TODAY()),MONTH(TODAY()),1),10)))&gt;(YEAR(Suppliers!G35)*12+MONTH(Suppliers!G35))),"",1),IF(Suppliers!E35="Quarterly",IF(MOD((YEAR(EDATE(DATE(YEAR(TODAY()),MONTH(TODAY()),1),10))-YEAR(IF(ISNUMBER(Suppliers!F35),Suppliers!F35,DATE(YEAR(TODAY()),MONTH(TODAY()),1))))*12+MONTH(EDATE(DATE(YEAR(TODAY()),MONTH(TODAY()),1),10))-MONTH(IF(ISNUMBER(Suppliers!F35),Suppliers!F35,DATE(YEAR(TODAY()),MONTH(TODAY()),1))),3)=0,1,0),IF(Suppliers!E35="Semi-annual",IF(MOD((YEAR(EDATE(DATE(YEAR(TODAY()),MONTH(TODAY()),1),10))-YEAR(IF(ISNUMBER(Suppliers!F35),Suppliers!F35,DATE(YEAR(TODAY()),MONTH(TODAY()),1))))*12+MONTH(EDATE(DATE(YEAR(TODAY()),MONTH(TODAY()),1),10))-MONTH(IF(ISNUMBER(Suppliers!F35),Suppliers!F35,DATE(YEAR(TODAY()),MONTH(TODAY()),1))),6)=0,1,0),IF(Suppliers!E35="Annual",IF(MOD((YEAR(EDATE(DATE(YEAR(TODAY()),MONTH(TODAY()),1),10))-YEAR(IF(ISNUMBER(Suppliers!F35),Suppliers!F35,DATE(YEAR(TODAY()),MONTH(TODAY()),1))))*12+MONTH(EDATE(DATE(YEAR(TODAY()),MONTH(TODAY()),1),10))-MONTH(IF(ISNUMBER(Suppliers!F35),Suppliers!F35,DATE(YEAR(TODAY()),MONTH(TODAY()),1))),12)=0,1,0),IF(Suppliers!E35="One-time",IF(10=0,1,0),1)))))),"")</f>
        <v/>
      </c>
      <c r="Q37" s="10" t="str">
        <f ca="1">IFERROR(IF(OR(11&gt;=$B$1,Suppliers!A35="",NOT(ISNUMBER(Suppliers!D35)),Suppliers!L35="Expired",Suppliers!L35="Terminate"),"",Suppliers!D35*-1*IF(Suppliers!E35="Monthly",IF(AND(ISNUMBER(Suppliers!G35),(YEAR(EDATE(DATE(YEAR(TODAY()),MONTH(TODAY()),1),11))*12+MONTH(EDATE(DATE(YEAR(TODAY()),MONTH(TODAY()),1),11)))&gt;(YEAR(Suppliers!G35)*12+MONTH(Suppliers!G35))),"",1),IF(Suppliers!E35="Quarterly",IF(MOD((YEAR(EDATE(DATE(YEAR(TODAY()),MONTH(TODAY()),1),11))-YEAR(IF(ISNUMBER(Suppliers!F35),Suppliers!F35,DATE(YEAR(TODAY()),MONTH(TODAY()),1))))*12+MONTH(EDATE(DATE(YEAR(TODAY()),MONTH(TODAY()),1),11))-MONTH(IF(ISNUMBER(Suppliers!F35),Suppliers!F35,DATE(YEAR(TODAY()),MONTH(TODAY()),1))),3)=0,1,0),IF(Suppliers!E35="Semi-annual",IF(MOD((YEAR(EDATE(DATE(YEAR(TODAY()),MONTH(TODAY()),1),11))-YEAR(IF(ISNUMBER(Suppliers!F35),Suppliers!F35,DATE(YEAR(TODAY()),MONTH(TODAY()),1))))*12+MONTH(EDATE(DATE(YEAR(TODAY()),MONTH(TODAY()),1),11))-MONTH(IF(ISNUMBER(Suppliers!F35),Suppliers!F35,DATE(YEAR(TODAY()),MONTH(TODAY()),1))),6)=0,1,0),IF(Suppliers!E35="Annual",IF(MOD((YEAR(EDATE(DATE(YEAR(TODAY()),MONTH(TODAY()),1),11))-YEAR(IF(ISNUMBER(Suppliers!F35),Suppliers!F35,DATE(YEAR(TODAY()),MONTH(TODAY()),1))))*12+MONTH(EDATE(DATE(YEAR(TODAY()),MONTH(TODAY()),1),11))-MONTH(IF(ISNUMBER(Suppliers!F35),Suppliers!F35,DATE(YEAR(TODAY()),MONTH(TODAY()),1))),12)=0,1,0),IF(Suppliers!E35="One-time",IF(11=0,1,0),1)))))),"")</f>
        <v/>
      </c>
      <c r="R37" s="10" t="str">
        <f ca="1">IFERROR(IF(OR(12&gt;=$B$1,Suppliers!A35="",NOT(ISNUMBER(Suppliers!D35)),Suppliers!L35="Expired",Suppliers!L35="Terminate"),"",Suppliers!D35*-1*IF(Suppliers!E35="Monthly",IF(AND(ISNUMBER(Suppliers!G35),(YEAR(EDATE(DATE(YEAR(TODAY()),MONTH(TODAY()),1),12))*12+MONTH(EDATE(DATE(YEAR(TODAY()),MONTH(TODAY()),1),12)))&gt;(YEAR(Suppliers!G35)*12+MONTH(Suppliers!G35))),"",1),IF(Suppliers!E35="Quarterly",IF(MOD((YEAR(EDATE(DATE(YEAR(TODAY()),MONTH(TODAY()),1),12))-YEAR(IF(ISNUMBER(Suppliers!F35),Suppliers!F35,DATE(YEAR(TODAY()),MONTH(TODAY()),1))))*12+MONTH(EDATE(DATE(YEAR(TODAY()),MONTH(TODAY()),1),12))-MONTH(IF(ISNUMBER(Suppliers!F35),Suppliers!F35,DATE(YEAR(TODAY()),MONTH(TODAY()),1))),3)=0,1,0),IF(Suppliers!E35="Semi-annual",IF(MOD((YEAR(EDATE(DATE(YEAR(TODAY()),MONTH(TODAY()),1),12))-YEAR(IF(ISNUMBER(Suppliers!F35),Suppliers!F35,DATE(YEAR(TODAY()),MONTH(TODAY()),1))))*12+MONTH(EDATE(DATE(YEAR(TODAY()),MONTH(TODAY()),1),12))-MONTH(IF(ISNUMBER(Suppliers!F35),Suppliers!F35,DATE(YEAR(TODAY()),MONTH(TODAY()),1))),6)=0,1,0),IF(Suppliers!E35="Annual",IF(MOD((YEAR(EDATE(DATE(YEAR(TODAY()),MONTH(TODAY()),1),12))-YEAR(IF(ISNUMBER(Suppliers!F35),Suppliers!F35,DATE(YEAR(TODAY()),MONTH(TODAY()),1))))*12+MONTH(EDATE(DATE(YEAR(TODAY()),MONTH(TODAY()),1),12))-MONTH(IF(ISNUMBER(Suppliers!F35),Suppliers!F35,DATE(YEAR(TODAY()),MONTH(TODAY()),1))),12)=0,1,0),IF(Suppliers!E35="One-time",IF(12=0,1,0),1)))))),"")</f>
        <v/>
      </c>
      <c r="S37" s="10" t="str">
        <f ca="1">IFERROR(IF(OR(13&gt;=$B$1,Suppliers!A35="",NOT(ISNUMBER(Suppliers!D35)),Suppliers!L35="Expired",Suppliers!L35="Terminate"),"",Suppliers!D35*-1*IF(Suppliers!E35="Monthly",IF(AND(ISNUMBER(Suppliers!G35),(YEAR(EDATE(DATE(YEAR(TODAY()),MONTH(TODAY()),1),13))*12+MONTH(EDATE(DATE(YEAR(TODAY()),MONTH(TODAY()),1),13)))&gt;(YEAR(Suppliers!G35)*12+MONTH(Suppliers!G35))),"",1),IF(Suppliers!E35="Quarterly",IF(MOD((YEAR(EDATE(DATE(YEAR(TODAY()),MONTH(TODAY()),1),13))-YEAR(IF(ISNUMBER(Suppliers!F35),Suppliers!F35,DATE(YEAR(TODAY()),MONTH(TODAY()),1))))*12+MONTH(EDATE(DATE(YEAR(TODAY()),MONTH(TODAY()),1),13))-MONTH(IF(ISNUMBER(Suppliers!F35),Suppliers!F35,DATE(YEAR(TODAY()),MONTH(TODAY()),1))),3)=0,1,0),IF(Suppliers!E35="Semi-annual",IF(MOD((YEAR(EDATE(DATE(YEAR(TODAY()),MONTH(TODAY()),1),13))-YEAR(IF(ISNUMBER(Suppliers!F35),Suppliers!F35,DATE(YEAR(TODAY()),MONTH(TODAY()),1))))*12+MONTH(EDATE(DATE(YEAR(TODAY()),MONTH(TODAY()),1),13))-MONTH(IF(ISNUMBER(Suppliers!F35),Suppliers!F35,DATE(YEAR(TODAY()),MONTH(TODAY()),1))),6)=0,1,0),IF(Suppliers!E35="Annual",IF(MOD((YEAR(EDATE(DATE(YEAR(TODAY()),MONTH(TODAY()),1),13))-YEAR(IF(ISNUMBER(Suppliers!F35),Suppliers!F35,DATE(YEAR(TODAY()),MONTH(TODAY()),1))))*12+MONTH(EDATE(DATE(YEAR(TODAY()),MONTH(TODAY()),1),13))-MONTH(IF(ISNUMBER(Suppliers!F35),Suppliers!F35,DATE(YEAR(TODAY()),MONTH(TODAY()),1))),12)=0,1,0),IF(Suppliers!E35="One-time",IF(13=0,1,0),1)))))),"")</f>
        <v/>
      </c>
      <c r="T37" s="10" t="str">
        <f ca="1">IFERROR(IF(OR(14&gt;=$B$1,Suppliers!A35="",NOT(ISNUMBER(Suppliers!D35)),Suppliers!L35="Expired",Suppliers!L35="Terminate"),"",Suppliers!D35*-1*IF(Suppliers!E35="Monthly",IF(AND(ISNUMBER(Suppliers!G35),(YEAR(EDATE(DATE(YEAR(TODAY()),MONTH(TODAY()),1),14))*12+MONTH(EDATE(DATE(YEAR(TODAY()),MONTH(TODAY()),1),14)))&gt;(YEAR(Suppliers!G35)*12+MONTH(Suppliers!G35))),"",1),IF(Suppliers!E35="Quarterly",IF(MOD((YEAR(EDATE(DATE(YEAR(TODAY()),MONTH(TODAY()),1),14))-YEAR(IF(ISNUMBER(Suppliers!F35),Suppliers!F35,DATE(YEAR(TODAY()),MONTH(TODAY()),1))))*12+MONTH(EDATE(DATE(YEAR(TODAY()),MONTH(TODAY()),1),14))-MONTH(IF(ISNUMBER(Suppliers!F35),Suppliers!F35,DATE(YEAR(TODAY()),MONTH(TODAY()),1))),3)=0,1,0),IF(Suppliers!E35="Semi-annual",IF(MOD((YEAR(EDATE(DATE(YEAR(TODAY()),MONTH(TODAY()),1),14))-YEAR(IF(ISNUMBER(Suppliers!F35),Suppliers!F35,DATE(YEAR(TODAY()),MONTH(TODAY()),1))))*12+MONTH(EDATE(DATE(YEAR(TODAY()),MONTH(TODAY()),1),14))-MONTH(IF(ISNUMBER(Suppliers!F35),Suppliers!F35,DATE(YEAR(TODAY()),MONTH(TODAY()),1))),6)=0,1,0),IF(Suppliers!E35="Annual",IF(MOD((YEAR(EDATE(DATE(YEAR(TODAY()),MONTH(TODAY()),1),14))-YEAR(IF(ISNUMBER(Suppliers!F35),Suppliers!F35,DATE(YEAR(TODAY()),MONTH(TODAY()),1))))*12+MONTH(EDATE(DATE(YEAR(TODAY()),MONTH(TODAY()),1),14))-MONTH(IF(ISNUMBER(Suppliers!F35),Suppliers!F35,DATE(YEAR(TODAY()),MONTH(TODAY()),1))),12)=0,1,0),IF(Suppliers!E35="One-time",IF(14=0,1,0),1)))))),"")</f>
        <v/>
      </c>
      <c r="U37" s="10" t="str">
        <f ca="1">IFERROR(IF(OR(15&gt;=$B$1,Suppliers!A35="",NOT(ISNUMBER(Suppliers!D35)),Suppliers!L35="Expired",Suppliers!L35="Terminate"),"",Suppliers!D35*-1*IF(Suppliers!E35="Monthly",IF(AND(ISNUMBER(Suppliers!G35),(YEAR(EDATE(DATE(YEAR(TODAY()),MONTH(TODAY()),1),15))*12+MONTH(EDATE(DATE(YEAR(TODAY()),MONTH(TODAY()),1),15)))&gt;(YEAR(Suppliers!G35)*12+MONTH(Suppliers!G35))),"",1),IF(Suppliers!E35="Quarterly",IF(MOD((YEAR(EDATE(DATE(YEAR(TODAY()),MONTH(TODAY()),1),15))-YEAR(IF(ISNUMBER(Suppliers!F35),Suppliers!F35,DATE(YEAR(TODAY()),MONTH(TODAY()),1))))*12+MONTH(EDATE(DATE(YEAR(TODAY()),MONTH(TODAY()),1),15))-MONTH(IF(ISNUMBER(Suppliers!F35),Suppliers!F35,DATE(YEAR(TODAY()),MONTH(TODAY()),1))),3)=0,1,0),IF(Suppliers!E35="Semi-annual",IF(MOD((YEAR(EDATE(DATE(YEAR(TODAY()),MONTH(TODAY()),1),15))-YEAR(IF(ISNUMBER(Suppliers!F35),Suppliers!F35,DATE(YEAR(TODAY()),MONTH(TODAY()),1))))*12+MONTH(EDATE(DATE(YEAR(TODAY()),MONTH(TODAY()),1),15))-MONTH(IF(ISNUMBER(Suppliers!F35),Suppliers!F35,DATE(YEAR(TODAY()),MONTH(TODAY()),1))),6)=0,1,0),IF(Suppliers!E35="Annual",IF(MOD((YEAR(EDATE(DATE(YEAR(TODAY()),MONTH(TODAY()),1),15))-YEAR(IF(ISNUMBER(Suppliers!F35),Suppliers!F35,DATE(YEAR(TODAY()),MONTH(TODAY()),1))))*12+MONTH(EDATE(DATE(YEAR(TODAY()),MONTH(TODAY()),1),15))-MONTH(IF(ISNUMBER(Suppliers!F35),Suppliers!F35,DATE(YEAR(TODAY()),MONTH(TODAY()),1))),12)=0,1,0),IF(Suppliers!E35="One-time",IF(15=0,1,0),1)))))),"")</f>
        <v/>
      </c>
      <c r="V37" s="10" t="str">
        <f ca="1">IFERROR(IF(OR(16&gt;=$B$1,Suppliers!A35="",NOT(ISNUMBER(Suppliers!D35)),Suppliers!L35="Expired",Suppliers!L35="Terminate"),"",Suppliers!D35*-1*IF(Suppliers!E35="Monthly",IF(AND(ISNUMBER(Suppliers!G35),(YEAR(EDATE(DATE(YEAR(TODAY()),MONTH(TODAY()),1),16))*12+MONTH(EDATE(DATE(YEAR(TODAY()),MONTH(TODAY()),1),16)))&gt;(YEAR(Suppliers!G35)*12+MONTH(Suppliers!G35))),"",1),IF(Suppliers!E35="Quarterly",IF(MOD((YEAR(EDATE(DATE(YEAR(TODAY()),MONTH(TODAY()),1),16))-YEAR(IF(ISNUMBER(Suppliers!F35),Suppliers!F35,DATE(YEAR(TODAY()),MONTH(TODAY()),1))))*12+MONTH(EDATE(DATE(YEAR(TODAY()),MONTH(TODAY()),1),16))-MONTH(IF(ISNUMBER(Suppliers!F35),Suppliers!F35,DATE(YEAR(TODAY()),MONTH(TODAY()),1))),3)=0,1,0),IF(Suppliers!E35="Semi-annual",IF(MOD((YEAR(EDATE(DATE(YEAR(TODAY()),MONTH(TODAY()),1),16))-YEAR(IF(ISNUMBER(Suppliers!F35),Suppliers!F35,DATE(YEAR(TODAY()),MONTH(TODAY()),1))))*12+MONTH(EDATE(DATE(YEAR(TODAY()),MONTH(TODAY()),1),16))-MONTH(IF(ISNUMBER(Suppliers!F35),Suppliers!F35,DATE(YEAR(TODAY()),MONTH(TODAY()),1))),6)=0,1,0),IF(Suppliers!E35="Annual",IF(MOD((YEAR(EDATE(DATE(YEAR(TODAY()),MONTH(TODAY()),1),16))-YEAR(IF(ISNUMBER(Suppliers!F35),Suppliers!F35,DATE(YEAR(TODAY()),MONTH(TODAY()),1))))*12+MONTH(EDATE(DATE(YEAR(TODAY()),MONTH(TODAY()),1),16))-MONTH(IF(ISNUMBER(Suppliers!F35),Suppliers!F35,DATE(YEAR(TODAY()),MONTH(TODAY()),1))),12)=0,1,0),IF(Suppliers!E35="One-time",IF(16=0,1,0),1)))))),"")</f>
        <v/>
      </c>
      <c r="W37" s="10" t="str">
        <f ca="1">IFERROR(IF(OR(17&gt;=$B$1,Suppliers!A35="",NOT(ISNUMBER(Suppliers!D35)),Suppliers!L35="Expired",Suppliers!L35="Terminate"),"",Suppliers!D35*-1*IF(Suppliers!E35="Monthly",IF(AND(ISNUMBER(Suppliers!G35),(YEAR(EDATE(DATE(YEAR(TODAY()),MONTH(TODAY()),1),17))*12+MONTH(EDATE(DATE(YEAR(TODAY()),MONTH(TODAY()),1),17)))&gt;(YEAR(Suppliers!G35)*12+MONTH(Suppliers!G35))),"",1),IF(Suppliers!E35="Quarterly",IF(MOD((YEAR(EDATE(DATE(YEAR(TODAY()),MONTH(TODAY()),1),17))-YEAR(IF(ISNUMBER(Suppliers!F35),Suppliers!F35,DATE(YEAR(TODAY()),MONTH(TODAY()),1))))*12+MONTH(EDATE(DATE(YEAR(TODAY()),MONTH(TODAY()),1),17))-MONTH(IF(ISNUMBER(Suppliers!F35),Suppliers!F35,DATE(YEAR(TODAY()),MONTH(TODAY()),1))),3)=0,1,0),IF(Suppliers!E35="Semi-annual",IF(MOD((YEAR(EDATE(DATE(YEAR(TODAY()),MONTH(TODAY()),1),17))-YEAR(IF(ISNUMBER(Suppliers!F35),Suppliers!F35,DATE(YEAR(TODAY()),MONTH(TODAY()),1))))*12+MONTH(EDATE(DATE(YEAR(TODAY()),MONTH(TODAY()),1),17))-MONTH(IF(ISNUMBER(Suppliers!F35),Suppliers!F35,DATE(YEAR(TODAY()),MONTH(TODAY()),1))),6)=0,1,0),IF(Suppliers!E35="Annual",IF(MOD((YEAR(EDATE(DATE(YEAR(TODAY()),MONTH(TODAY()),1),17))-YEAR(IF(ISNUMBER(Suppliers!F35),Suppliers!F35,DATE(YEAR(TODAY()),MONTH(TODAY()),1))))*12+MONTH(EDATE(DATE(YEAR(TODAY()),MONTH(TODAY()),1),17))-MONTH(IF(ISNUMBER(Suppliers!F35),Suppliers!F35,DATE(YEAR(TODAY()),MONTH(TODAY()),1))),12)=0,1,0),IF(Suppliers!E35="One-time",IF(17=0,1,0),1)))))),"")</f>
        <v/>
      </c>
      <c r="X37" s="10" t="str">
        <f ca="1">IFERROR(IF(OR(18&gt;=$B$1,Suppliers!A35="",NOT(ISNUMBER(Suppliers!D35)),Suppliers!L35="Expired",Suppliers!L35="Terminate"),"",Suppliers!D35*-1*IF(Suppliers!E35="Monthly",IF(AND(ISNUMBER(Suppliers!G35),(YEAR(EDATE(DATE(YEAR(TODAY()),MONTH(TODAY()),1),18))*12+MONTH(EDATE(DATE(YEAR(TODAY()),MONTH(TODAY()),1),18)))&gt;(YEAR(Suppliers!G35)*12+MONTH(Suppliers!G35))),"",1),IF(Suppliers!E35="Quarterly",IF(MOD((YEAR(EDATE(DATE(YEAR(TODAY()),MONTH(TODAY()),1),18))-YEAR(IF(ISNUMBER(Suppliers!F35),Suppliers!F35,DATE(YEAR(TODAY()),MONTH(TODAY()),1))))*12+MONTH(EDATE(DATE(YEAR(TODAY()),MONTH(TODAY()),1),18))-MONTH(IF(ISNUMBER(Suppliers!F35),Suppliers!F35,DATE(YEAR(TODAY()),MONTH(TODAY()),1))),3)=0,1,0),IF(Suppliers!E35="Semi-annual",IF(MOD((YEAR(EDATE(DATE(YEAR(TODAY()),MONTH(TODAY()),1),18))-YEAR(IF(ISNUMBER(Suppliers!F35),Suppliers!F35,DATE(YEAR(TODAY()),MONTH(TODAY()),1))))*12+MONTH(EDATE(DATE(YEAR(TODAY()),MONTH(TODAY()),1),18))-MONTH(IF(ISNUMBER(Suppliers!F35),Suppliers!F35,DATE(YEAR(TODAY()),MONTH(TODAY()),1))),6)=0,1,0),IF(Suppliers!E35="Annual",IF(MOD((YEAR(EDATE(DATE(YEAR(TODAY()),MONTH(TODAY()),1),18))-YEAR(IF(ISNUMBER(Suppliers!F35),Suppliers!F35,DATE(YEAR(TODAY()),MONTH(TODAY()),1))))*12+MONTH(EDATE(DATE(YEAR(TODAY()),MONTH(TODAY()),1),18))-MONTH(IF(ISNUMBER(Suppliers!F35),Suppliers!F35,DATE(YEAR(TODAY()),MONTH(TODAY()),1))),12)=0,1,0),IF(Suppliers!E35="One-time",IF(18=0,1,0),1)))))),"")</f>
        <v/>
      </c>
      <c r="Y37" s="10" t="str">
        <f ca="1">IFERROR(IF(OR(19&gt;=$B$1,Suppliers!A35="",NOT(ISNUMBER(Suppliers!D35)),Suppliers!L35="Expired",Suppliers!L35="Terminate"),"",Suppliers!D35*-1*IF(Suppliers!E35="Monthly",IF(AND(ISNUMBER(Suppliers!G35),(YEAR(EDATE(DATE(YEAR(TODAY()),MONTH(TODAY()),1),19))*12+MONTH(EDATE(DATE(YEAR(TODAY()),MONTH(TODAY()),1),19)))&gt;(YEAR(Suppliers!G35)*12+MONTH(Suppliers!G35))),"",1),IF(Suppliers!E35="Quarterly",IF(MOD((YEAR(EDATE(DATE(YEAR(TODAY()),MONTH(TODAY()),1),19))-YEAR(IF(ISNUMBER(Suppliers!F35),Suppliers!F35,DATE(YEAR(TODAY()),MONTH(TODAY()),1))))*12+MONTH(EDATE(DATE(YEAR(TODAY()),MONTH(TODAY()),1),19))-MONTH(IF(ISNUMBER(Suppliers!F35),Suppliers!F35,DATE(YEAR(TODAY()),MONTH(TODAY()),1))),3)=0,1,0),IF(Suppliers!E35="Semi-annual",IF(MOD((YEAR(EDATE(DATE(YEAR(TODAY()),MONTH(TODAY()),1),19))-YEAR(IF(ISNUMBER(Suppliers!F35),Suppliers!F35,DATE(YEAR(TODAY()),MONTH(TODAY()),1))))*12+MONTH(EDATE(DATE(YEAR(TODAY()),MONTH(TODAY()),1),19))-MONTH(IF(ISNUMBER(Suppliers!F35),Suppliers!F35,DATE(YEAR(TODAY()),MONTH(TODAY()),1))),6)=0,1,0),IF(Suppliers!E35="Annual",IF(MOD((YEAR(EDATE(DATE(YEAR(TODAY()),MONTH(TODAY()),1),19))-YEAR(IF(ISNUMBER(Suppliers!F35),Suppliers!F35,DATE(YEAR(TODAY()),MONTH(TODAY()),1))))*12+MONTH(EDATE(DATE(YEAR(TODAY()),MONTH(TODAY()),1),19))-MONTH(IF(ISNUMBER(Suppliers!F35),Suppliers!F35,DATE(YEAR(TODAY()),MONTH(TODAY()),1))),12)=0,1,0),IF(Suppliers!E35="One-time",IF(19=0,1,0),1)))))),"")</f>
        <v/>
      </c>
      <c r="Z37" s="10" t="str">
        <f ca="1">IFERROR(IF(OR(20&gt;=$B$1,Suppliers!A35="",NOT(ISNUMBER(Suppliers!D35)),Suppliers!L35="Expired",Suppliers!L35="Terminate"),"",Suppliers!D35*-1*IF(Suppliers!E35="Monthly",IF(AND(ISNUMBER(Suppliers!G35),(YEAR(EDATE(DATE(YEAR(TODAY()),MONTH(TODAY()),1),20))*12+MONTH(EDATE(DATE(YEAR(TODAY()),MONTH(TODAY()),1),20)))&gt;(YEAR(Suppliers!G35)*12+MONTH(Suppliers!G35))),"",1),IF(Suppliers!E35="Quarterly",IF(MOD((YEAR(EDATE(DATE(YEAR(TODAY()),MONTH(TODAY()),1),20))-YEAR(IF(ISNUMBER(Suppliers!F35),Suppliers!F35,DATE(YEAR(TODAY()),MONTH(TODAY()),1))))*12+MONTH(EDATE(DATE(YEAR(TODAY()),MONTH(TODAY()),1),20))-MONTH(IF(ISNUMBER(Suppliers!F35),Suppliers!F35,DATE(YEAR(TODAY()),MONTH(TODAY()),1))),3)=0,1,0),IF(Suppliers!E35="Semi-annual",IF(MOD((YEAR(EDATE(DATE(YEAR(TODAY()),MONTH(TODAY()),1),20))-YEAR(IF(ISNUMBER(Suppliers!F35),Suppliers!F35,DATE(YEAR(TODAY()),MONTH(TODAY()),1))))*12+MONTH(EDATE(DATE(YEAR(TODAY()),MONTH(TODAY()),1),20))-MONTH(IF(ISNUMBER(Suppliers!F35),Suppliers!F35,DATE(YEAR(TODAY()),MONTH(TODAY()),1))),6)=0,1,0),IF(Suppliers!E35="Annual",IF(MOD((YEAR(EDATE(DATE(YEAR(TODAY()),MONTH(TODAY()),1),20))-YEAR(IF(ISNUMBER(Suppliers!F35),Suppliers!F35,DATE(YEAR(TODAY()),MONTH(TODAY()),1))))*12+MONTH(EDATE(DATE(YEAR(TODAY()),MONTH(TODAY()),1),20))-MONTH(IF(ISNUMBER(Suppliers!F35),Suppliers!F35,DATE(YEAR(TODAY()),MONTH(TODAY()),1))),12)=0,1,0),IF(Suppliers!E35="One-time",IF(20=0,1,0),1)))))),"")</f>
        <v/>
      </c>
      <c r="AA37" s="10" t="str">
        <f ca="1">IFERROR(IF(OR(21&gt;=$B$1,Suppliers!A35="",NOT(ISNUMBER(Suppliers!D35)),Suppliers!L35="Expired",Suppliers!L35="Terminate"),"",Suppliers!D35*-1*IF(Suppliers!E35="Monthly",IF(AND(ISNUMBER(Suppliers!G35),(YEAR(EDATE(DATE(YEAR(TODAY()),MONTH(TODAY()),1),21))*12+MONTH(EDATE(DATE(YEAR(TODAY()),MONTH(TODAY()),1),21)))&gt;(YEAR(Suppliers!G35)*12+MONTH(Suppliers!G35))),"",1),IF(Suppliers!E35="Quarterly",IF(MOD((YEAR(EDATE(DATE(YEAR(TODAY()),MONTH(TODAY()),1),21))-YEAR(IF(ISNUMBER(Suppliers!F35),Suppliers!F35,DATE(YEAR(TODAY()),MONTH(TODAY()),1))))*12+MONTH(EDATE(DATE(YEAR(TODAY()),MONTH(TODAY()),1),21))-MONTH(IF(ISNUMBER(Suppliers!F35),Suppliers!F35,DATE(YEAR(TODAY()),MONTH(TODAY()),1))),3)=0,1,0),IF(Suppliers!E35="Semi-annual",IF(MOD((YEAR(EDATE(DATE(YEAR(TODAY()),MONTH(TODAY()),1),21))-YEAR(IF(ISNUMBER(Suppliers!F35),Suppliers!F35,DATE(YEAR(TODAY()),MONTH(TODAY()),1))))*12+MONTH(EDATE(DATE(YEAR(TODAY()),MONTH(TODAY()),1),21))-MONTH(IF(ISNUMBER(Suppliers!F35),Suppliers!F35,DATE(YEAR(TODAY()),MONTH(TODAY()),1))),6)=0,1,0),IF(Suppliers!E35="Annual",IF(MOD((YEAR(EDATE(DATE(YEAR(TODAY()),MONTH(TODAY()),1),21))-YEAR(IF(ISNUMBER(Suppliers!F35),Suppliers!F35,DATE(YEAR(TODAY()),MONTH(TODAY()),1))))*12+MONTH(EDATE(DATE(YEAR(TODAY()),MONTH(TODAY()),1),21))-MONTH(IF(ISNUMBER(Suppliers!F35),Suppliers!F35,DATE(YEAR(TODAY()),MONTH(TODAY()),1))),12)=0,1,0),IF(Suppliers!E35="One-time",IF(21=0,1,0),1)))))),"")</f>
        <v/>
      </c>
      <c r="AB37" s="10" t="str">
        <f ca="1">IFERROR(IF(OR(22&gt;=$B$1,Suppliers!A35="",NOT(ISNUMBER(Suppliers!D35)),Suppliers!L35="Expired",Suppliers!L35="Terminate"),"",Suppliers!D35*-1*IF(Suppliers!E35="Monthly",IF(AND(ISNUMBER(Suppliers!G35),(YEAR(EDATE(DATE(YEAR(TODAY()),MONTH(TODAY()),1),22))*12+MONTH(EDATE(DATE(YEAR(TODAY()),MONTH(TODAY()),1),22)))&gt;(YEAR(Suppliers!G35)*12+MONTH(Suppliers!G35))),"",1),IF(Suppliers!E35="Quarterly",IF(MOD((YEAR(EDATE(DATE(YEAR(TODAY()),MONTH(TODAY()),1),22))-YEAR(IF(ISNUMBER(Suppliers!F35),Suppliers!F35,DATE(YEAR(TODAY()),MONTH(TODAY()),1))))*12+MONTH(EDATE(DATE(YEAR(TODAY()),MONTH(TODAY()),1),22))-MONTH(IF(ISNUMBER(Suppliers!F35),Suppliers!F35,DATE(YEAR(TODAY()),MONTH(TODAY()),1))),3)=0,1,0),IF(Suppliers!E35="Semi-annual",IF(MOD((YEAR(EDATE(DATE(YEAR(TODAY()),MONTH(TODAY()),1),22))-YEAR(IF(ISNUMBER(Suppliers!F35),Suppliers!F35,DATE(YEAR(TODAY()),MONTH(TODAY()),1))))*12+MONTH(EDATE(DATE(YEAR(TODAY()),MONTH(TODAY()),1),22))-MONTH(IF(ISNUMBER(Suppliers!F35),Suppliers!F35,DATE(YEAR(TODAY()),MONTH(TODAY()),1))),6)=0,1,0),IF(Suppliers!E35="Annual",IF(MOD((YEAR(EDATE(DATE(YEAR(TODAY()),MONTH(TODAY()),1),22))-YEAR(IF(ISNUMBER(Suppliers!F35),Suppliers!F35,DATE(YEAR(TODAY()),MONTH(TODAY()),1))))*12+MONTH(EDATE(DATE(YEAR(TODAY()),MONTH(TODAY()),1),22))-MONTH(IF(ISNUMBER(Suppliers!F35),Suppliers!F35,DATE(YEAR(TODAY()),MONTH(TODAY()),1))),12)=0,1,0),IF(Suppliers!E35="One-time",IF(22=0,1,0),1)))))),"")</f>
        <v/>
      </c>
      <c r="AC37" s="10" t="str">
        <f ca="1">IFERROR(IF(OR(23&gt;=$B$1,Suppliers!A35="",NOT(ISNUMBER(Suppliers!D35)),Suppliers!L35="Expired",Suppliers!L35="Terminate"),"",Suppliers!D35*-1*IF(Suppliers!E35="Monthly",IF(AND(ISNUMBER(Suppliers!G35),(YEAR(EDATE(DATE(YEAR(TODAY()),MONTH(TODAY()),1),23))*12+MONTH(EDATE(DATE(YEAR(TODAY()),MONTH(TODAY()),1),23)))&gt;(YEAR(Suppliers!G35)*12+MONTH(Suppliers!G35))),"",1),IF(Suppliers!E35="Quarterly",IF(MOD((YEAR(EDATE(DATE(YEAR(TODAY()),MONTH(TODAY()),1),23))-YEAR(IF(ISNUMBER(Suppliers!F35),Suppliers!F35,DATE(YEAR(TODAY()),MONTH(TODAY()),1))))*12+MONTH(EDATE(DATE(YEAR(TODAY()),MONTH(TODAY()),1),23))-MONTH(IF(ISNUMBER(Suppliers!F35),Suppliers!F35,DATE(YEAR(TODAY()),MONTH(TODAY()),1))),3)=0,1,0),IF(Suppliers!E35="Semi-annual",IF(MOD((YEAR(EDATE(DATE(YEAR(TODAY()),MONTH(TODAY()),1),23))-YEAR(IF(ISNUMBER(Suppliers!F35),Suppliers!F35,DATE(YEAR(TODAY()),MONTH(TODAY()),1))))*12+MONTH(EDATE(DATE(YEAR(TODAY()),MONTH(TODAY()),1),23))-MONTH(IF(ISNUMBER(Suppliers!F35),Suppliers!F35,DATE(YEAR(TODAY()),MONTH(TODAY()),1))),6)=0,1,0),IF(Suppliers!E35="Annual",IF(MOD((YEAR(EDATE(DATE(YEAR(TODAY()),MONTH(TODAY()),1),23))-YEAR(IF(ISNUMBER(Suppliers!F35),Suppliers!F35,DATE(YEAR(TODAY()),MONTH(TODAY()),1))))*12+MONTH(EDATE(DATE(YEAR(TODAY()),MONTH(TODAY()),1),23))-MONTH(IF(ISNUMBER(Suppliers!F35),Suppliers!F35,DATE(YEAR(TODAY()),MONTH(TODAY()),1))),12)=0,1,0),IF(Suppliers!E35="One-time",IF(23=0,1,0),1)))))),"")</f>
        <v/>
      </c>
    </row>
    <row r="38" spans="1:29" ht="15" customHeight="1" x14ac:dyDescent="0.35">
      <c r="A38" s="4" t="s">
        <v>80</v>
      </c>
      <c r="B38" s="4" t="str">
        <f>IF(Suppliers!A36="","",Suppliers!A36)</f>
        <v/>
      </c>
      <c r="C38" s="10" t="str">
        <f>IF(Suppliers!C36="","",Suppliers!C36)</f>
        <v/>
      </c>
      <c r="D38" s="10" t="str">
        <f>IF(Suppliers!D36="","",Suppliers!D36)</f>
        <v/>
      </c>
      <c r="E38" s="4" t="str">
        <f>IF(Suppliers!E36="","",Suppliers!E36)</f>
        <v/>
      </c>
      <c r="F38" s="10" t="str">
        <f ca="1">IFERROR(IF(OR(0&gt;=$B$1,Suppliers!A36="",NOT(ISNUMBER(Suppliers!D36)),Suppliers!L36="Expired",Suppliers!L36="Terminate"),"",Suppliers!D36*-1*IF(Suppliers!E36="Monthly",IF(AND(ISNUMBER(Suppliers!G36),(YEAR(EDATE(DATE(YEAR(TODAY()),MONTH(TODAY()),1),0))*12+MONTH(EDATE(DATE(YEAR(TODAY()),MONTH(TODAY()),1),0)))&gt;(YEAR(Suppliers!G36)*12+MONTH(Suppliers!G36))),"",1),IF(Suppliers!E36="Quarterly",IF(MOD((YEAR(EDATE(DATE(YEAR(TODAY()),MONTH(TODAY()),1),0))-YEAR(IF(ISNUMBER(Suppliers!F36),Suppliers!F36,DATE(YEAR(TODAY()),MONTH(TODAY()),1))))*12+MONTH(EDATE(DATE(YEAR(TODAY()),MONTH(TODAY()),1),0))-MONTH(IF(ISNUMBER(Suppliers!F36),Suppliers!F36,DATE(YEAR(TODAY()),MONTH(TODAY()),1))),3)=0,1,0),IF(Suppliers!E36="Semi-annual",IF(MOD((YEAR(EDATE(DATE(YEAR(TODAY()),MONTH(TODAY()),1),0))-YEAR(IF(ISNUMBER(Suppliers!F36),Suppliers!F36,DATE(YEAR(TODAY()),MONTH(TODAY()),1))))*12+MONTH(EDATE(DATE(YEAR(TODAY()),MONTH(TODAY()),1),0))-MONTH(IF(ISNUMBER(Suppliers!F36),Suppliers!F36,DATE(YEAR(TODAY()),MONTH(TODAY()),1))),6)=0,1,0),IF(Suppliers!E36="Annual",IF(MOD((YEAR(EDATE(DATE(YEAR(TODAY()),MONTH(TODAY()),1),0))-YEAR(IF(ISNUMBER(Suppliers!F36),Suppliers!F36,DATE(YEAR(TODAY()),MONTH(TODAY()),1))))*12+MONTH(EDATE(DATE(YEAR(TODAY()),MONTH(TODAY()),1),0))-MONTH(IF(ISNUMBER(Suppliers!F36),Suppliers!F36,DATE(YEAR(TODAY()),MONTH(TODAY()),1))),12)=0,1,0),IF(Suppliers!E36="One-time",IF(0=0,1,0),1)))))),"")</f>
        <v/>
      </c>
      <c r="G38" s="10" t="str">
        <f ca="1">IFERROR(IF(OR(1&gt;=$B$1,Suppliers!A36="",NOT(ISNUMBER(Suppliers!D36)),Suppliers!L36="Expired",Suppliers!L36="Terminate"),"",Suppliers!D36*-1*IF(Suppliers!E36="Monthly",IF(AND(ISNUMBER(Suppliers!G36),(YEAR(EDATE(DATE(YEAR(TODAY()),MONTH(TODAY()),1),1))*12+MONTH(EDATE(DATE(YEAR(TODAY()),MONTH(TODAY()),1),1)))&gt;(YEAR(Suppliers!G36)*12+MONTH(Suppliers!G36))),"",1),IF(Suppliers!E36="Quarterly",IF(MOD((YEAR(EDATE(DATE(YEAR(TODAY()),MONTH(TODAY()),1),1))-YEAR(IF(ISNUMBER(Suppliers!F36),Suppliers!F36,DATE(YEAR(TODAY()),MONTH(TODAY()),1))))*12+MONTH(EDATE(DATE(YEAR(TODAY()),MONTH(TODAY()),1),1))-MONTH(IF(ISNUMBER(Suppliers!F36),Suppliers!F36,DATE(YEAR(TODAY()),MONTH(TODAY()),1))),3)=0,1,0),IF(Suppliers!E36="Semi-annual",IF(MOD((YEAR(EDATE(DATE(YEAR(TODAY()),MONTH(TODAY()),1),1))-YEAR(IF(ISNUMBER(Suppliers!F36),Suppliers!F36,DATE(YEAR(TODAY()),MONTH(TODAY()),1))))*12+MONTH(EDATE(DATE(YEAR(TODAY()),MONTH(TODAY()),1),1))-MONTH(IF(ISNUMBER(Suppliers!F36),Suppliers!F36,DATE(YEAR(TODAY()),MONTH(TODAY()),1))),6)=0,1,0),IF(Suppliers!E36="Annual",IF(MOD((YEAR(EDATE(DATE(YEAR(TODAY()),MONTH(TODAY()),1),1))-YEAR(IF(ISNUMBER(Suppliers!F36),Suppliers!F36,DATE(YEAR(TODAY()),MONTH(TODAY()),1))))*12+MONTH(EDATE(DATE(YEAR(TODAY()),MONTH(TODAY()),1),1))-MONTH(IF(ISNUMBER(Suppliers!F36),Suppliers!F36,DATE(YEAR(TODAY()),MONTH(TODAY()),1))),12)=0,1,0),IF(Suppliers!E36="One-time",IF(1=0,1,0),1)))))),"")</f>
        <v/>
      </c>
      <c r="H38" s="10" t="str">
        <f ca="1">IFERROR(IF(OR(2&gt;=$B$1,Suppliers!A36="",NOT(ISNUMBER(Suppliers!D36)),Suppliers!L36="Expired",Suppliers!L36="Terminate"),"",Suppliers!D36*-1*IF(Suppliers!E36="Monthly",IF(AND(ISNUMBER(Suppliers!G36),(YEAR(EDATE(DATE(YEAR(TODAY()),MONTH(TODAY()),1),2))*12+MONTH(EDATE(DATE(YEAR(TODAY()),MONTH(TODAY()),1),2)))&gt;(YEAR(Suppliers!G36)*12+MONTH(Suppliers!G36))),"",1),IF(Suppliers!E36="Quarterly",IF(MOD((YEAR(EDATE(DATE(YEAR(TODAY()),MONTH(TODAY()),1),2))-YEAR(IF(ISNUMBER(Suppliers!F36),Suppliers!F36,DATE(YEAR(TODAY()),MONTH(TODAY()),1))))*12+MONTH(EDATE(DATE(YEAR(TODAY()),MONTH(TODAY()),1),2))-MONTH(IF(ISNUMBER(Suppliers!F36),Suppliers!F36,DATE(YEAR(TODAY()),MONTH(TODAY()),1))),3)=0,1,0),IF(Suppliers!E36="Semi-annual",IF(MOD((YEAR(EDATE(DATE(YEAR(TODAY()),MONTH(TODAY()),1),2))-YEAR(IF(ISNUMBER(Suppliers!F36),Suppliers!F36,DATE(YEAR(TODAY()),MONTH(TODAY()),1))))*12+MONTH(EDATE(DATE(YEAR(TODAY()),MONTH(TODAY()),1),2))-MONTH(IF(ISNUMBER(Suppliers!F36),Suppliers!F36,DATE(YEAR(TODAY()),MONTH(TODAY()),1))),6)=0,1,0),IF(Suppliers!E36="Annual",IF(MOD((YEAR(EDATE(DATE(YEAR(TODAY()),MONTH(TODAY()),1),2))-YEAR(IF(ISNUMBER(Suppliers!F36),Suppliers!F36,DATE(YEAR(TODAY()),MONTH(TODAY()),1))))*12+MONTH(EDATE(DATE(YEAR(TODAY()),MONTH(TODAY()),1),2))-MONTH(IF(ISNUMBER(Suppliers!F36),Suppliers!F36,DATE(YEAR(TODAY()),MONTH(TODAY()),1))),12)=0,1,0),IF(Suppliers!E36="One-time",IF(2=0,1,0),1)))))),"")</f>
        <v/>
      </c>
      <c r="I38" s="10" t="str">
        <f ca="1">IFERROR(IF(OR(3&gt;=$B$1,Suppliers!A36="",NOT(ISNUMBER(Suppliers!D36)),Suppliers!L36="Expired",Suppliers!L36="Terminate"),"",Suppliers!D36*-1*IF(Suppliers!E36="Monthly",IF(AND(ISNUMBER(Suppliers!G36),(YEAR(EDATE(DATE(YEAR(TODAY()),MONTH(TODAY()),1),3))*12+MONTH(EDATE(DATE(YEAR(TODAY()),MONTH(TODAY()),1),3)))&gt;(YEAR(Suppliers!G36)*12+MONTH(Suppliers!G36))),"",1),IF(Suppliers!E36="Quarterly",IF(MOD((YEAR(EDATE(DATE(YEAR(TODAY()),MONTH(TODAY()),1),3))-YEAR(IF(ISNUMBER(Suppliers!F36),Suppliers!F36,DATE(YEAR(TODAY()),MONTH(TODAY()),1))))*12+MONTH(EDATE(DATE(YEAR(TODAY()),MONTH(TODAY()),1),3))-MONTH(IF(ISNUMBER(Suppliers!F36),Suppliers!F36,DATE(YEAR(TODAY()),MONTH(TODAY()),1))),3)=0,1,0),IF(Suppliers!E36="Semi-annual",IF(MOD((YEAR(EDATE(DATE(YEAR(TODAY()),MONTH(TODAY()),1),3))-YEAR(IF(ISNUMBER(Suppliers!F36),Suppliers!F36,DATE(YEAR(TODAY()),MONTH(TODAY()),1))))*12+MONTH(EDATE(DATE(YEAR(TODAY()),MONTH(TODAY()),1),3))-MONTH(IF(ISNUMBER(Suppliers!F36),Suppliers!F36,DATE(YEAR(TODAY()),MONTH(TODAY()),1))),6)=0,1,0),IF(Suppliers!E36="Annual",IF(MOD((YEAR(EDATE(DATE(YEAR(TODAY()),MONTH(TODAY()),1),3))-YEAR(IF(ISNUMBER(Suppliers!F36),Suppliers!F36,DATE(YEAR(TODAY()),MONTH(TODAY()),1))))*12+MONTH(EDATE(DATE(YEAR(TODAY()),MONTH(TODAY()),1),3))-MONTH(IF(ISNUMBER(Suppliers!F36),Suppliers!F36,DATE(YEAR(TODAY()),MONTH(TODAY()),1))),12)=0,1,0),IF(Suppliers!E36="One-time",IF(3=0,1,0),1)))))),"")</f>
        <v/>
      </c>
      <c r="J38" s="10" t="str">
        <f ca="1">IFERROR(IF(OR(4&gt;=$B$1,Suppliers!A36="",NOT(ISNUMBER(Suppliers!D36)),Suppliers!L36="Expired",Suppliers!L36="Terminate"),"",Suppliers!D36*-1*IF(Suppliers!E36="Monthly",IF(AND(ISNUMBER(Suppliers!G36),(YEAR(EDATE(DATE(YEAR(TODAY()),MONTH(TODAY()),1),4))*12+MONTH(EDATE(DATE(YEAR(TODAY()),MONTH(TODAY()),1),4)))&gt;(YEAR(Suppliers!G36)*12+MONTH(Suppliers!G36))),"",1),IF(Suppliers!E36="Quarterly",IF(MOD((YEAR(EDATE(DATE(YEAR(TODAY()),MONTH(TODAY()),1),4))-YEAR(IF(ISNUMBER(Suppliers!F36),Suppliers!F36,DATE(YEAR(TODAY()),MONTH(TODAY()),1))))*12+MONTH(EDATE(DATE(YEAR(TODAY()),MONTH(TODAY()),1),4))-MONTH(IF(ISNUMBER(Suppliers!F36),Suppliers!F36,DATE(YEAR(TODAY()),MONTH(TODAY()),1))),3)=0,1,0),IF(Suppliers!E36="Semi-annual",IF(MOD((YEAR(EDATE(DATE(YEAR(TODAY()),MONTH(TODAY()),1),4))-YEAR(IF(ISNUMBER(Suppliers!F36),Suppliers!F36,DATE(YEAR(TODAY()),MONTH(TODAY()),1))))*12+MONTH(EDATE(DATE(YEAR(TODAY()),MONTH(TODAY()),1),4))-MONTH(IF(ISNUMBER(Suppliers!F36),Suppliers!F36,DATE(YEAR(TODAY()),MONTH(TODAY()),1))),6)=0,1,0),IF(Suppliers!E36="Annual",IF(MOD((YEAR(EDATE(DATE(YEAR(TODAY()),MONTH(TODAY()),1),4))-YEAR(IF(ISNUMBER(Suppliers!F36),Suppliers!F36,DATE(YEAR(TODAY()),MONTH(TODAY()),1))))*12+MONTH(EDATE(DATE(YEAR(TODAY()),MONTH(TODAY()),1),4))-MONTH(IF(ISNUMBER(Suppliers!F36),Suppliers!F36,DATE(YEAR(TODAY()),MONTH(TODAY()),1))),12)=0,1,0),IF(Suppliers!E36="One-time",IF(4=0,1,0),1)))))),"")</f>
        <v/>
      </c>
      <c r="K38" s="10" t="str">
        <f ca="1">IFERROR(IF(OR(5&gt;=$B$1,Suppliers!A36="",NOT(ISNUMBER(Suppliers!D36)),Suppliers!L36="Expired",Suppliers!L36="Terminate"),"",Suppliers!D36*-1*IF(Suppliers!E36="Monthly",IF(AND(ISNUMBER(Suppliers!G36),(YEAR(EDATE(DATE(YEAR(TODAY()),MONTH(TODAY()),1),5))*12+MONTH(EDATE(DATE(YEAR(TODAY()),MONTH(TODAY()),1),5)))&gt;(YEAR(Suppliers!G36)*12+MONTH(Suppliers!G36))),"",1),IF(Suppliers!E36="Quarterly",IF(MOD((YEAR(EDATE(DATE(YEAR(TODAY()),MONTH(TODAY()),1),5))-YEAR(IF(ISNUMBER(Suppliers!F36),Suppliers!F36,DATE(YEAR(TODAY()),MONTH(TODAY()),1))))*12+MONTH(EDATE(DATE(YEAR(TODAY()),MONTH(TODAY()),1),5))-MONTH(IF(ISNUMBER(Suppliers!F36),Suppliers!F36,DATE(YEAR(TODAY()),MONTH(TODAY()),1))),3)=0,1,0),IF(Suppliers!E36="Semi-annual",IF(MOD((YEAR(EDATE(DATE(YEAR(TODAY()),MONTH(TODAY()),1),5))-YEAR(IF(ISNUMBER(Suppliers!F36),Suppliers!F36,DATE(YEAR(TODAY()),MONTH(TODAY()),1))))*12+MONTH(EDATE(DATE(YEAR(TODAY()),MONTH(TODAY()),1),5))-MONTH(IF(ISNUMBER(Suppliers!F36),Suppliers!F36,DATE(YEAR(TODAY()),MONTH(TODAY()),1))),6)=0,1,0),IF(Suppliers!E36="Annual",IF(MOD((YEAR(EDATE(DATE(YEAR(TODAY()),MONTH(TODAY()),1),5))-YEAR(IF(ISNUMBER(Suppliers!F36),Suppliers!F36,DATE(YEAR(TODAY()),MONTH(TODAY()),1))))*12+MONTH(EDATE(DATE(YEAR(TODAY()),MONTH(TODAY()),1),5))-MONTH(IF(ISNUMBER(Suppliers!F36),Suppliers!F36,DATE(YEAR(TODAY()),MONTH(TODAY()),1))),12)=0,1,0),IF(Suppliers!E36="One-time",IF(5=0,1,0),1)))))),"")</f>
        <v/>
      </c>
      <c r="L38" s="10" t="str">
        <f ca="1">IFERROR(IF(OR(6&gt;=$B$1,Suppliers!A36="",NOT(ISNUMBER(Suppliers!D36)),Suppliers!L36="Expired",Suppliers!L36="Terminate"),"",Suppliers!D36*-1*IF(Suppliers!E36="Monthly",IF(AND(ISNUMBER(Suppliers!G36),(YEAR(EDATE(DATE(YEAR(TODAY()),MONTH(TODAY()),1),6))*12+MONTH(EDATE(DATE(YEAR(TODAY()),MONTH(TODAY()),1),6)))&gt;(YEAR(Suppliers!G36)*12+MONTH(Suppliers!G36))),"",1),IF(Suppliers!E36="Quarterly",IF(MOD((YEAR(EDATE(DATE(YEAR(TODAY()),MONTH(TODAY()),1),6))-YEAR(IF(ISNUMBER(Suppliers!F36),Suppliers!F36,DATE(YEAR(TODAY()),MONTH(TODAY()),1))))*12+MONTH(EDATE(DATE(YEAR(TODAY()),MONTH(TODAY()),1),6))-MONTH(IF(ISNUMBER(Suppliers!F36),Suppliers!F36,DATE(YEAR(TODAY()),MONTH(TODAY()),1))),3)=0,1,0),IF(Suppliers!E36="Semi-annual",IF(MOD((YEAR(EDATE(DATE(YEAR(TODAY()),MONTH(TODAY()),1),6))-YEAR(IF(ISNUMBER(Suppliers!F36),Suppliers!F36,DATE(YEAR(TODAY()),MONTH(TODAY()),1))))*12+MONTH(EDATE(DATE(YEAR(TODAY()),MONTH(TODAY()),1),6))-MONTH(IF(ISNUMBER(Suppliers!F36),Suppliers!F36,DATE(YEAR(TODAY()),MONTH(TODAY()),1))),6)=0,1,0),IF(Suppliers!E36="Annual",IF(MOD((YEAR(EDATE(DATE(YEAR(TODAY()),MONTH(TODAY()),1),6))-YEAR(IF(ISNUMBER(Suppliers!F36),Suppliers!F36,DATE(YEAR(TODAY()),MONTH(TODAY()),1))))*12+MONTH(EDATE(DATE(YEAR(TODAY()),MONTH(TODAY()),1),6))-MONTH(IF(ISNUMBER(Suppliers!F36),Suppliers!F36,DATE(YEAR(TODAY()),MONTH(TODAY()),1))),12)=0,1,0),IF(Suppliers!E36="One-time",IF(6=0,1,0),1)))))),"")</f>
        <v/>
      </c>
      <c r="M38" s="10" t="str">
        <f ca="1">IFERROR(IF(OR(7&gt;=$B$1,Suppliers!A36="",NOT(ISNUMBER(Suppliers!D36)),Suppliers!L36="Expired",Suppliers!L36="Terminate"),"",Suppliers!D36*-1*IF(Suppliers!E36="Monthly",IF(AND(ISNUMBER(Suppliers!G36),(YEAR(EDATE(DATE(YEAR(TODAY()),MONTH(TODAY()),1),7))*12+MONTH(EDATE(DATE(YEAR(TODAY()),MONTH(TODAY()),1),7)))&gt;(YEAR(Suppliers!G36)*12+MONTH(Suppliers!G36))),"",1),IF(Suppliers!E36="Quarterly",IF(MOD((YEAR(EDATE(DATE(YEAR(TODAY()),MONTH(TODAY()),1),7))-YEAR(IF(ISNUMBER(Suppliers!F36),Suppliers!F36,DATE(YEAR(TODAY()),MONTH(TODAY()),1))))*12+MONTH(EDATE(DATE(YEAR(TODAY()),MONTH(TODAY()),1),7))-MONTH(IF(ISNUMBER(Suppliers!F36),Suppliers!F36,DATE(YEAR(TODAY()),MONTH(TODAY()),1))),3)=0,1,0),IF(Suppliers!E36="Semi-annual",IF(MOD((YEAR(EDATE(DATE(YEAR(TODAY()),MONTH(TODAY()),1),7))-YEAR(IF(ISNUMBER(Suppliers!F36),Suppliers!F36,DATE(YEAR(TODAY()),MONTH(TODAY()),1))))*12+MONTH(EDATE(DATE(YEAR(TODAY()),MONTH(TODAY()),1),7))-MONTH(IF(ISNUMBER(Suppliers!F36),Suppliers!F36,DATE(YEAR(TODAY()),MONTH(TODAY()),1))),6)=0,1,0),IF(Suppliers!E36="Annual",IF(MOD((YEAR(EDATE(DATE(YEAR(TODAY()),MONTH(TODAY()),1),7))-YEAR(IF(ISNUMBER(Suppliers!F36),Suppliers!F36,DATE(YEAR(TODAY()),MONTH(TODAY()),1))))*12+MONTH(EDATE(DATE(YEAR(TODAY()),MONTH(TODAY()),1),7))-MONTH(IF(ISNUMBER(Suppliers!F36),Suppliers!F36,DATE(YEAR(TODAY()),MONTH(TODAY()),1))),12)=0,1,0),IF(Suppliers!E36="One-time",IF(7=0,1,0),1)))))),"")</f>
        <v/>
      </c>
      <c r="N38" s="10" t="str">
        <f ca="1">IFERROR(IF(OR(8&gt;=$B$1,Suppliers!A36="",NOT(ISNUMBER(Suppliers!D36)),Suppliers!L36="Expired",Suppliers!L36="Terminate"),"",Suppliers!D36*-1*IF(Suppliers!E36="Monthly",IF(AND(ISNUMBER(Suppliers!G36),(YEAR(EDATE(DATE(YEAR(TODAY()),MONTH(TODAY()),1),8))*12+MONTH(EDATE(DATE(YEAR(TODAY()),MONTH(TODAY()),1),8)))&gt;(YEAR(Suppliers!G36)*12+MONTH(Suppliers!G36))),"",1),IF(Suppliers!E36="Quarterly",IF(MOD((YEAR(EDATE(DATE(YEAR(TODAY()),MONTH(TODAY()),1),8))-YEAR(IF(ISNUMBER(Suppliers!F36),Suppliers!F36,DATE(YEAR(TODAY()),MONTH(TODAY()),1))))*12+MONTH(EDATE(DATE(YEAR(TODAY()),MONTH(TODAY()),1),8))-MONTH(IF(ISNUMBER(Suppliers!F36),Suppliers!F36,DATE(YEAR(TODAY()),MONTH(TODAY()),1))),3)=0,1,0),IF(Suppliers!E36="Semi-annual",IF(MOD((YEAR(EDATE(DATE(YEAR(TODAY()),MONTH(TODAY()),1),8))-YEAR(IF(ISNUMBER(Suppliers!F36),Suppliers!F36,DATE(YEAR(TODAY()),MONTH(TODAY()),1))))*12+MONTH(EDATE(DATE(YEAR(TODAY()),MONTH(TODAY()),1),8))-MONTH(IF(ISNUMBER(Suppliers!F36),Suppliers!F36,DATE(YEAR(TODAY()),MONTH(TODAY()),1))),6)=0,1,0),IF(Suppliers!E36="Annual",IF(MOD((YEAR(EDATE(DATE(YEAR(TODAY()),MONTH(TODAY()),1),8))-YEAR(IF(ISNUMBER(Suppliers!F36),Suppliers!F36,DATE(YEAR(TODAY()),MONTH(TODAY()),1))))*12+MONTH(EDATE(DATE(YEAR(TODAY()),MONTH(TODAY()),1),8))-MONTH(IF(ISNUMBER(Suppliers!F36),Suppliers!F36,DATE(YEAR(TODAY()),MONTH(TODAY()),1))),12)=0,1,0),IF(Suppliers!E36="One-time",IF(8=0,1,0),1)))))),"")</f>
        <v/>
      </c>
      <c r="O38" s="10" t="str">
        <f ca="1">IFERROR(IF(OR(9&gt;=$B$1,Suppliers!A36="",NOT(ISNUMBER(Suppliers!D36)),Suppliers!L36="Expired",Suppliers!L36="Terminate"),"",Suppliers!D36*-1*IF(Suppliers!E36="Monthly",IF(AND(ISNUMBER(Suppliers!G36),(YEAR(EDATE(DATE(YEAR(TODAY()),MONTH(TODAY()),1),9))*12+MONTH(EDATE(DATE(YEAR(TODAY()),MONTH(TODAY()),1),9)))&gt;(YEAR(Suppliers!G36)*12+MONTH(Suppliers!G36))),"",1),IF(Suppliers!E36="Quarterly",IF(MOD((YEAR(EDATE(DATE(YEAR(TODAY()),MONTH(TODAY()),1),9))-YEAR(IF(ISNUMBER(Suppliers!F36),Suppliers!F36,DATE(YEAR(TODAY()),MONTH(TODAY()),1))))*12+MONTH(EDATE(DATE(YEAR(TODAY()),MONTH(TODAY()),1),9))-MONTH(IF(ISNUMBER(Suppliers!F36),Suppliers!F36,DATE(YEAR(TODAY()),MONTH(TODAY()),1))),3)=0,1,0),IF(Suppliers!E36="Semi-annual",IF(MOD((YEAR(EDATE(DATE(YEAR(TODAY()),MONTH(TODAY()),1),9))-YEAR(IF(ISNUMBER(Suppliers!F36),Suppliers!F36,DATE(YEAR(TODAY()),MONTH(TODAY()),1))))*12+MONTH(EDATE(DATE(YEAR(TODAY()),MONTH(TODAY()),1),9))-MONTH(IF(ISNUMBER(Suppliers!F36),Suppliers!F36,DATE(YEAR(TODAY()),MONTH(TODAY()),1))),6)=0,1,0),IF(Suppliers!E36="Annual",IF(MOD((YEAR(EDATE(DATE(YEAR(TODAY()),MONTH(TODAY()),1),9))-YEAR(IF(ISNUMBER(Suppliers!F36),Suppliers!F36,DATE(YEAR(TODAY()),MONTH(TODAY()),1))))*12+MONTH(EDATE(DATE(YEAR(TODAY()),MONTH(TODAY()),1),9))-MONTH(IF(ISNUMBER(Suppliers!F36),Suppliers!F36,DATE(YEAR(TODAY()),MONTH(TODAY()),1))),12)=0,1,0),IF(Suppliers!E36="One-time",IF(9=0,1,0),1)))))),"")</f>
        <v/>
      </c>
      <c r="P38" s="10" t="str">
        <f ca="1">IFERROR(IF(OR(10&gt;=$B$1,Suppliers!A36="",NOT(ISNUMBER(Suppliers!D36)),Suppliers!L36="Expired",Suppliers!L36="Terminate"),"",Suppliers!D36*-1*IF(Suppliers!E36="Monthly",IF(AND(ISNUMBER(Suppliers!G36),(YEAR(EDATE(DATE(YEAR(TODAY()),MONTH(TODAY()),1),10))*12+MONTH(EDATE(DATE(YEAR(TODAY()),MONTH(TODAY()),1),10)))&gt;(YEAR(Suppliers!G36)*12+MONTH(Suppliers!G36))),"",1),IF(Suppliers!E36="Quarterly",IF(MOD((YEAR(EDATE(DATE(YEAR(TODAY()),MONTH(TODAY()),1),10))-YEAR(IF(ISNUMBER(Suppliers!F36),Suppliers!F36,DATE(YEAR(TODAY()),MONTH(TODAY()),1))))*12+MONTH(EDATE(DATE(YEAR(TODAY()),MONTH(TODAY()),1),10))-MONTH(IF(ISNUMBER(Suppliers!F36),Suppliers!F36,DATE(YEAR(TODAY()),MONTH(TODAY()),1))),3)=0,1,0),IF(Suppliers!E36="Semi-annual",IF(MOD((YEAR(EDATE(DATE(YEAR(TODAY()),MONTH(TODAY()),1),10))-YEAR(IF(ISNUMBER(Suppliers!F36),Suppliers!F36,DATE(YEAR(TODAY()),MONTH(TODAY()),1))))*12+MONTH(EDATE(DATE(YEAR(TODAY()),MONTH(TODAY()),1),10))-MONTH(IF(ISNUMBER(Suppliers!F36),Suppliers!F36,DATE(YEAR(TODAY()),MONTH(TODAY()),1))),6)=0,1,0),IF(Suppliers!E36="Annual",IF(MOD((YEAR(EDATE(DATE(YEAR(TODAY()),MONTH(TODAY()),1),10))-YEAR(IF(ISNUMBER(Suppliers!F36),Suppliers!F36,DATE(YEAR(TODAY()),MONTH(TODAY()),1))))*12+MONTH(EDATE(DATE(YEAR(TODAY()),MONTH(TODAY()),1),10))-MONTH(IF(ISNUMBER(Suppliers!F36),Suppliers!F36,DATE(YEAR(TODAY()),MONTH(TODAY()),1))),12)=0,1,0),IF(Suppliers!E36="One-time",IF(10=0,1,0),1)))))),"")</f>
        <v/>
      </c>
      <c r="Q38" s="10" t="str">
        <f ca="1">IFERROR(IF(OR(11&gt;=$B$1,Suppliers!A36="",NOT(ISNUMBER(Suppliers!D36)),Suppliers!L36="Expired",Suppliers!L36="Terminate"),"",Suppliers!D36*-1*IF(Suppliers!E36="Monthly",IF(AND(ISNUMBER(Suppliers!G36),(YEAR(EDATE(DATE(YEAR(TODAY()),MONTH(TODAY()),1),11))*12+MONTH(EDATE(DATE(YEAR(TODAY()),MONTH(TODAY()),1),11)))&gt;(YEAR(Suppliers!G36)*12+MONTH(Suppliers!G36))),"",1),IF(Suppliers!E36="Quarterly",IF(MOD((YEAR(EDATE(DATE(YEAR(TODAY()),MONTH(TODAY()),1),11))-YEAR(IF(ISNUMBER(Suppliers!F36),Suppliers!F36,DATE(YEAR(TODAY()),MONTH(TODAY()),1))))*12+MONTH(EDATE(DATE(YEAR(TODAY()),MONTH(TODAY()),1),11))-MONTH(IF(ISNUMBER(Suppliers!F36),Suppliers!F36,DATE(YEAR(TODAY()),MONTH(TODAY()),1))),3)=0,1,0),IF(Suppliers!E36="Semi-annual",IF(MOD((YEAR(EDATE(DATE(YEAR(TODAY()),MONTH(TODAY()),1),11))-YEAR(IF(ISNUMBER(Suppliers!F36),Suppliers!F36,DATE(YEAR(TODAY()),MONTH(TODAY()),1))))*12+MONTH(EDATE(DATE(YEAR(TODAY()),MONTH(TODAY()),1),11))-MONTH(IF(ISNUMBER(Suppliers!F36),Suppliers!F36,DATE(YEAR(TODAY()),MONTH(TODAY()),1))),6)=0,1,0),IF(Suppliers!E36="Annual",IF(MOD((YEAR(EDATE(DATE(YEAR(TODAY()),MONTH(TODAY()),1),11))-YEAR(IF(ISNUMBER(Suppliers!F36),Suppliers!F36,DATE(YEAR(TODAY()),MONTH(TODAY()),1))))*12+MONTH(EDATE(DATE(YEAR(TODAY()),MONTH(TODAY()),1),11))-MONTH(IF(ISNUMBER(Suppliers!F36),Suppliers!F36,DATE(YEAR(TODAY()),MONTH(TODAY()),1))),12)=0,1,0),IF(Suppliers!E36="One-time",IF(11=0,1,0),1)))))),"")</f>
        <v/>
      </c>
      <c r="R38" s="10" t="str">
        <f ca="1">IFERROR(IF(OR(12&gt;=$B$1,Suppliers!A36="",NOT(ISNUMBER(Suppliers!D36)),Suppliers!L36="Expired",Suppliers!L36="Terminate"),"",Suppliers!D36*-1*IF(Suppliers!E36="Monthly",IF(AND(ISNUMBER(Suppliers!G36),(YEAR(EDATE(DATE(YEAR(TODAY()),MONTH(TODAY()),1),12))*12+MONTH(EDATE(DATE(YEAR(TODAY()),MONTH(TODAY()),1),12)))&gt;(YEAR(Suppliers!G36)*12+MONTH(Suppliers!G36))),"",1),IF(Suppliers!E36="Quarterly",IF(MOD((YEAR(EDATE(DATE(YEAR(TODAY()),MONTH(TODAY()),1),12))-YEAR(IF(ISNUMBER(Suppliers!F36),Suppliers!F36,DATE(YEAR(TODAY()),MONTH(TODAY()),1))))*12+MONTH(EDATE(DATE(YEAR(TODAY()),MONTH(TODAY()),1),12))-MONTH(IF(ISNUMBER(Suppliers!F36),Suppliers!F36,DATE(YEAR(TODAY()),MONTH(TODAY()),1))),3)=0,1,0),IF(Suppliers!E36="Semi-annual",IF(MOD((YEAR(EDATE(DATE(YEAR(TODAY()),MONTH(TODAY()),1),12))-YEAR(IF(ISNUMBER(Suppliers!F36),Suppliers!F36,DATE(YEAR(TODAY()),MONTH(TODAY()),1))))*12+MONTH(EDATE(DATE(YEAR(TODAY()),MONTH(TODAY()),1),12))-MONTH(IF(ISNUMBER(Suppliers!F36),Suppliers!F36,DATE(YEAR(TODAY()),MONTH(TODAY()),1))),6)=0,1,0),IF(Suppliers!E36="Annual",IF(MOD((YEAR(EDATE(DATE(YEAR(TODAY()),MONTH(TODAY()),1),12))-YEAR(IF(ISNUMBER(Suppliers!F36),Suppliers!F36,DATE(YEAR(TODAY()),MONTH(TODAY()),1))))*12+MONTH(EDATE(DATE(YEAR(TODAY()),MONTH(TODAY()),1),12))-MONTH(IF(ISNUMBER(Suppliers!F36),Suppliers!F36,DATE(YEAR(TODAY()),MONTH(TODAY()),1))),12)=0,1,0),IF(Suppliers!E36="One-time",IF(12=0,1,0),1)))))),"")</f>
        <v/>
      </c>
      <c r="S38" s="10" t="str">
        <f ca="1">IFERROR(IF(OR(13&gt;=$B$1,Suppliers!A36="",NOT(ISNUMBER(Suppliers!D36)),Suppliers!L36="Expired",Suppliers!L36="Terminate"),"",Suppliers!D36*-1*IF(Suppliers!E36="Monthly",IF(AND(ISNUMBER(Suppliers!G36),(YEAR(EDATE(DATE(YEAR(TODAY()),MONTH(TODAY()),1),13))*12+MONTH(EDATE(DATE(YEAR(TODAY()),MONTH(TODAY()),1),13)))&gt;(YEAR(Suppliers!G36)*12+MONTH(Suppliers!G36))),"",1),IF(Suppliers!E36="Quarterly",IF(MOD((YEAR(EDATE(DATE(YEAR(TODAY()),MONTH(TODAY()),1),13))-YEAR(IF(ISNUMBER(Suppliers!F36),Suppliers!F36,DATE(YEAR(TODAY()),MONTH(TODAY()),1))))*12+MONTH(EDATE(DATE(YEAR(TODAY()),MONTH(TODAY()),1),13))-MONTH(IF(ISNUMBER(Suppliers!F36),Suppliers!F36,DATE(YEAR(TODAY()),MONTH(TODAY()),1))),3)=0,1,0),IF(Suppliers!E36="Semi-annual",IF(MOD((YEAR(EDATE(DATE(YEAR(TODAY()),MONTH(TODAY()),1),13))-YEAR(IF(ISNUMBER(Suppliers!F36),Suppliers!F36,DATE(YEAR(TODAY()),MONTH(TODAY()),1))))*12+MONTH(EDATE(DATE(YEAR(TODAY()),MONTH(TODAY()),1),13))-MONTH(IF(ISNUMBER(Suppliers!F36),Suppliers!F36,DATE(YEAR(TODAY()),MONTH(TODAY()),1))),6)=0,1,0),IF(Suppliers!E36="Annual",IF(MOD((YEAR(EDATE(DATE(YEAR(TODAY()),MONTH(TODAY()),1),13))-YEAR(IF(ISNUMBER(Suppliers!F36),Suppliers!F36,DATE(YEAR(TODAY()),MONTH(TODAY()),1))))*12+MONTH(EDATE(DATE(YEAR(TODAY()),MONTH(TODAY()),1),13))-MONTH(IF(ISNUMBER(Suppliers!F36),Suppliers!F36,DATE(YEAR(TODAY()),MONTH(TODAY()),1))),12)=0,1,0),IF(Suppliers!E36="One-time",IF(13=0,1,0),1)))))),"")</f>
        <v/>
      </c>
      <c r="T38" s="10" t="str">
        <f ca="1">IFERROR(IF(OR(14&gt;=$B$1,Suppliers!A36="",NOT(ISNUMBER(Suppliers!D36)),Suppliers!L36="Expired",Suppliers!L36="Terminate"),"",Suppliers!D36*-1*IF(Suppliers!E36="Monthly",IF(AND(ISNUMBER(Suppliers!G36),(YEAR(EDATE(DATE(YEAR(TODAY()),MONTH(TODAY()),1),14))*12+MONTH(EDATE(DATE(YEAR(TODAY()),MONTH(TODAY()),1),14)))&gt;(YEAR(Suppliers!G36)*12+MONTH(Suppliers!G36))),"",1),IF(Suppliers!E36="Quarterly",IF(MOD((YEAR(EDATE(DATE(YEAR(TODAY()),MONTH(TODAY()),1),14))-YEAR(IF(ISNUMBER(Suppliers!F36),Suppliers!F36,DATE(YEAR(TODAY()),MONTH(TODAY()),1))))*12+MONTH(EDATE(DATE(YEAR(TODAY()),MONTH(TODAY()),1),14))-MONTH(IF(ISNUMBER(Suppliers!F36),Suppliers!F36,DATE(YEAR(TODAY()),MONTH(TODAY()),1))),3)=0,1,0),IF(Suppliers!E36="Semi-annual",IF(MOD((YEAR(EDATE(DATE(YEAR(TODAY()),MONTH(TODAY()),1),14))-YEAR(IF(ISNUMBER(Suppliers!F36),Suppliers!F36,DATE(YEAR(TODAY()),MONTH(TODAY()),1))))*12+MONTH(EDATE(DATE(YEAR(TODAY()),MONTH(TODAY()),1),14))-MONTH(IF(ISNUMBER(Suppliers!F36),Suppliers!F36,DATE(YEAR(TODAY()),MONTH(TODAY()),1))),6)=0,1,0),IF(Suppliers!E36="Annual",IF(MOD((YEAR(EDATE(DATE(YEAR(TODAY()),MONTH(TODAY()),1),14))-YEAR(IF(ISNUMBER(Suppliers!F36),Suppliers!F36,DATE(YEAR(TODAY()),MONTH(TODAY()),1))))*12+MONTH(EDATE(DATE(YEAR(TODAY()),MONTH(TODAY()),1),14))-MONTH(IF(ISNUMBER(Suppliers!F36),Suppliers!F36,DATE(YEAR(TODAY()),MONTH(TODAY()),1))),12)=0,1,0),IF(Suppliers!E36="One-time",IF(14=0,1,0),1)))))),"")</f>
        <v/>
      </c>
      <c r="U38" s="10" t="str">
        <f ca="1">IFERROR(IF(OR(15&gt;=$B$1,Suppliers!A36="",NOT(ISNUMBER(Suppliers!D36)),Suppliers!L36="Expired",Suppliers!L36="Terminate"),"",Suppliers!D36*-1*IF(Suppliers!E36="Monthly",IF(AND(ISNUMBER(Suppliers!G36),(YEAR(EDATE(DATE(YEAR(TODAY()),MONTH(TODAY()),1),15))*12+MONTH(EDATE(DATE(YEAR(TODAY()),MONTH(TODAY()),1),15)))&gt;(YEAR(Suppliers!G36)*12+MONTH(Suppliers!G36))),"",1),IF(Suppliers!E36="Quarterly",IF(MOD((YEAR(EDATE(DATE(YEAR(TODAY()),MONTH(TODAY()),1),15))-YEAR(IF(ISNUMBER(Suppliers!F36),Suppliers!F36,DATE(YEAR(TODAY()),MONTH(TODAY()),1))))*12+MONTH(EDATE(DATE(YEAR(TODAY()),MONTH(TODAY()),1),15))-MONTH(IF(ISNUMBER(Suppliers!F36),Suppliers!F36,DATE(YEAR(TODAY()),MONTH(TODAY()),1))),3)=0,1,0),IF(Suppliers!E36="Semi-annual",IF(MOD((YEAR(EDATE(DATE(YEAR(TODAY()),MONTH(TODAY()),1),15))-YEAR(IF(ISNUMBER(Suppliers!F36),Suppliers!F36,DATE(YEAR(TODAY()),MONTH(TODAY()),1))))*12+MONTH(EDATE(DATE(YEAR(TODAY()),MONTH(TODAY()),1),15))-MONTH(IF(ISNUMBER(Suppliers!F36),Suppliers!F36,DATE(YEAR(TODAY()),MONTH(TODAY()),1))),6)=0,1,0),IF(Suppliers!E36="Annual",IF(MOD((YEAR(EDATE(DATE(YEAR(TODAY()),MONTH(TODAY()),1),15))-YEAR(IF(ISNUMBER(Suppliers!F36),Suppliers!F36,DATE(YEAR(TODAY()),MONTH(TODAY()),1))))*12+MONTH(EDATE(DATE(YEAR(TODAY()),MONTH(TODAY()),1),15))-MONTH(IF(ISNUMBER(Suppliers!F36),Suppliers!F36,DATE(YEAR(TODAY()),MONTH(TODAY()),1))),12)=0,1,0),IF(Suppliers!E36="One-time",IF(15=0,1,0),1)))))),"")</f>
        <v/>
      </c>
      <c r="V38" s="10" t="str">
        <f ca="1">IFERROR(IF(OR(16&gt;=$B$1,Suppliers!A36="",NOT(ISNUMBER(Suppliers!D36)),Suppliers!L36="Expired",Suppliers!L36="Terminate"),"",Suppliers!D36*-1*IF(Suppliers!E36="Monthly",IF(AND(ISNUMBER(Suppliers!G36),(YEAR(EDATE(DATE(YEAR(TODAY()),MONTH(TODAY()),1),16))*12+MONTH(EDATE(DATE(YEAR(TODAY()),MONTH(TODAY()),1),16)))&gt;(YEAR(Suppliers!G36)*12+MONTH(Suppliers!G36))),"",1),IF(Suppliers!E36="Quarterly",IF(MOD((YEAR(EDATE(DATE(YEAR(TODAY()),MONTH(TODAY()),1),16))-YEAR(IF(ISNUMBER(Suppliers!F36),Suppliers!F36,DATE(YEAR(TODAY()),MONTH(TODAY()),1))))*12+MONTH(EDATE(DATE(YEAR(TODAY()),MONTH(TODAY()),1),16))-MONTH(IF(ISNUMBER(Suppliers!F36),Suppliers!F36,DATE(YEAR(TODAY()),MONTH(TODAY()),1))),3)=0,1,0),IF(Suppliers!E36="Semi-annual",IF(MOD((YEAR(EDATE(DATE(YEAR(TODAY()),MONTH(TODAY()),1),16))-YEAR(IF(ISNUMBER(Suppliers!F36),Suppliers!F36,DATE(YEAR(TODAY()),MONTH(TODAY()),1))))*12+MONTH(EDATE(DATE(YEAR(TODAY()),MONTH(TODAY()),1),16))-MONTH(IF(ISNUMBER(Suppliers!F36),Suppliers!F36,DATE(YEAR(TODAY()),MONTH(TODAY()),1))),6)=0,1,0),IF(Suppliers!E36="Annual",IF(MOD((YEAR(EDATE(DATE(YEAR(TODAY()),MONTH(TODAY()),1),16))-YEAR(IF(ISNUMBER(Suppliers!F36),Suppliers!F36,DATE(YEAR(TODAY()),MONTH(TODAY()),1))))*12+MONTH(EDATE(DATE(YEAR(TODAY()),MONTH(TODAY()),1),16))-MONTH(IF(ISNUMBER(Suppliers!F36),Suppliers!F36,DATE(YEAR(TODAY()),MONTH(TODAY()),1))),12)=0,1,0),IF(Suppliers!E36="One-time",IF(16=0,1,0),1)))))),"")</f>
        <v/>
      </c>
      <c r="W38" s="10" t="str">
        <f ca="1">IFERROR(IF(OR(17&gt;=$B$1,Suppliers!A36="",NOT(ISNUMBER(Suppliers!D36)),Suppliers!L36="Expired",Suppliers!L36="Terminate"),"",Suppliers!D36*-1*IF(Suppliers!E36="Monthly",IF(AND(ISNUMBER(Suppliers!G36),(YEAR(EDATE(DATE(YEAR(TODAY()),MONTH(TODAY()),1),17))*12+MONTH(EDATE(DATE(YEAR(TODAY()),MONTH(TODAY()),1),17)))&gt;(YEAR(Suppliers!G36)*12+MONTH(Suppliers!G36))),"",1),IF(Suppliers!E36="Quarterly",IF(MOD((YEAR(EDATE(DATE(YEAR(TODAY()),MONTH(TODAY()),1),17))-YEAR(IF(ISNUMBER(Suppliers!F36),Suppliers!F36,DATE(YEAR(TODAY()),MONTH(TODAY()),1))))*12+MONTH(EDATE(DATE(YEAR(TODAY()),MONTH(TODAY()),1),17))-MONTH(IF(ISNUMBER(Suppliers!F36),Suppliers!F36,DATE(YEAR(TODAY()),MONTH(TODAY()),1))),3)=0,1,0),IF(Suppliers!E36="Semi-annual",IF(MOD((YEAR(EDATE(DATE(YEAR(TODAY()),MONTH(TODAY()),1),17))-YEAR(IF(ISNUMBER(Suppliers!F36),Suppliers!F36,DATE(YEAR(TODAY()),MONTH(TODAY()),1))))*12+MONTH(EDATE(DATE(YEAR(TODAY()),MONTH(TODAY()),1),17))-MONTH(IF(ISNUMBER(Suppliers!F36),Suppliers!F36,DATE(YEAR(TODAY()),MONTH(TODAY()),1))),6)=0,1,0),IF(Suppliers!E36="Annual",IF(MOD((YEAR(EDATE(DATE(YEAR(TODAY()),MONTH(TODAY()),1),17))-YEAR(IF(ISNUMBER(Suppliers!F36),Suppliers!F36,DATE(YEAR(TODAY()),MONTH(TODAY()),1))))*12+MONTH(EDATE(DATE(YEAR(TODAY()),MONTH(TODAY()),1),17))-MONTH(IF(ISNUMBER(Suppliers!F36),Suppliers!F36,DATE(YEAR(TODAY()),MONTH(TODAY()),1))),12)=0,1,0),IF(Suppliers!E36="One-time",IF(17=0,1,0),1)))))),"")</f>
        <v/>
      </c>
      <c r="X38" s="10" t="str">
        <f ca="1">IFERROR(IF(OR(18&gt;=$B$1,Suppliers!A36="",NOT(ISNUMBER(Suppliers!D36)),Suppliers!L36="Expired",Suppliers!L36="Terminate"),"",Suppliers!D36*-1*IF(Suppliers!E36="Monthly",IF(AND(ISNUMBER(Suppliers!G36),(YEAR(EDATE(DATE(YEAR(TODAY()),MONTH(TODAY()),1),18))*12+MONTH(EDATE(DATE(YEAR(TODAY()),MONTH(TODAY()),1),18)))&gt;(YEAR(Suppliers!G36)*12+MONTH(Suppliers!G36))),"",1),IF(Suppliers!E36="Quarterly",IF(MOD((YEAR(EDATE(DATE(YEAR(TODAY()),MONTH(TODAY()),1),18))-YEAR(IF(ISNUMBER(Suppliers!F36),Suppliers!F36,DATE(YEAR(TODAY()),MONTH(TODAY()),1))))*12+MONTH(EDATE(DATE(YEAR(TODAY()),MONTH(TODAY()),1),18))-MONTH(IF(ISNUMBER(Suppliers!F36),Suppliers!F36,DATE(YEAR(TODAY()),MONTH(TODAY()),1))),3)=0,1,0),IF(Suppliers!E36="Semi-annual",IF(MOD((YEAR(EDATE(DATE(YEAR(TODAY()),MONTH(TODAY()),1),18))-YEAR(IF(ISNUMBER(Suppliers!F36),Suppliers!F36,DATE(YEAR(TODAY()),MONTH(TODAY()),1))))*12+MONTH(EDATE(DATE(YEAR(TODAY()),MONTH(TODAY()),1),18))-MONTH(IF(ISNUMBER(Suppliers!F36),Suppliers!F36,DATE(YEAR(TODAY()),MONTH(TODAY()),1))),6)=0,1,0),IF(Suppliers!E36="Annual",IF(MOD((YEAR(EDATE(DATE(YEAR(TODAY()),MONTH(TODAY()),1),18))-YEAR(IF(ISNUMBER(Suppliers!F36),Suppliers!F36,DATE(YEAR(TODAY()),MONTH(TODAY()),1))))*12+MONTH(EDATE(DATE(YEAR(TODAY()),MONTH(TODAY()),1),18))-MONTH(IF(ISNUMBER(Suppliers!F36),Suppliers!F36,DATE(YEAR(TODAY()),MONTH(TODAY()),1))),12)=0,1,0),IF(Suppliers!E36="One-time",IF(18=0,1,0),1)))))),"")</f>
        <v/>
      </c>
      <c r="Y38" s="10" t="str">
        <f ca="1">IFERROR(IF(OR(19&gt;=$B$1,Suppliers!A36="",NOT(ISNUMBER(Suppliers!D36)),Suppliers!L36="Expired",Suppliers!L36="Terminate"),"",Suppliers!D36*-1*IF(Suppliers!E36="Monthly",IF(AND(ISNUMBER(Suppliers!G36),(YEAR(EDATE(DATE(YEAR(TODAY()),MONTH(TODAY()),1),19))*12+MONTH(EDATE(DATE(YEAR(TODAY()),MONTH(TODAY()),1),19)))&gt;(YEAR(Suppliers!G36)*12+MONTH(Suppliers!G36))),"",1),IF(Suppliers!E36="Quarterly",IF(MOD((YEAR(EDATE(DATE(YEAR(TODAY()),MONTH(TODAY()),1),19))-YEAR(IF(ISNUMBER(Suppliers!F36),Suppliers!F36,DATE(YEAR(TODAY()),MONTH(TODAY()),1))))*12+MONTH(EDATE(DATE(YEAR(TODAY()),MONTH(TODAY()),1),19))-MONTH(IF(ISNUMBER(Suppliers!F36),Suppliers!F36,DATE(YEAR(TODAY()),MONTH(TODAY()),1))),3)=0,1,0),IF(Suppliers!E36="Semi-annual",IF(MOD((YEAR(EDATE(DATE(YEAR(TODAY()),MONTH(TODAY()),1),19))-YEAR(IF(ISNUMBER(Suppliers!F36),Suppliers!F36,DATE(YEAR(TODAY()),MONTH(TODAY()),1))))*12+MONTH(EDATE(DATE(YEAR(TODAY()),MONTH(TODAY()),1),19))-MONTH(IF(ISNUMBER(Suppliers!F36),Suppliers!F36,DATE(YEAR(TODAY()),MONTH(TODAY()),1))),6)=0,1,0),IF(Suppliers!E36="Annual",IF(MOD((YEAR(EDATE(DATE(YEAR(TODAY()),MONTH(TODAY()),1),19))-YEAR(IF(ISNUMBER(Suppliers!F36),Suppliers!F36,DATE(YEAR(TODAY()),MONTH(TODAY()),1))))*12+MONTH(EDATE(DATE(YEAR(TODAY()),MONTH(TODAY()),1),19))-MONTH(IF(ISNUMBER(Suppliers!F36),Suppliers!F36,DATE(YEAR(TODAY()),MONTH(TODAY()),1))),12)=0,1,0),IF(Suppliers!E36="One-time",IF(19=0,1,0),1)))))),"")</f>
        <v/>
      </c>
      <c r="Z38" s="10" t="str">
        <f ca="1">IFERROR(IF(OR(20&gt;=$B$1,Suppliers!A36="",NOT(ISNUMBER(Suppliers!D36)),Suppliers!L36="Expired",Suppliers!L36="Terminate"),"",Suppliers!D36*-1*IF(Suppliers!E36="Monthly",IF(AND(ISNUMBER(Suppliers!G36),(YEAR(EDATE(DATE(YEAR(TODAY()),MONTH(TODAY()),1),20))*12+MONTH(EDATE(DATE(YEAR(TODAY()),MONTH(TODAY()),1),20)))&gt;(YEAR(Suppliers!G36)*12+MONTH(Suppliers!G36))),"",1),IF(Suppliers!E36="Quarterly",IF(MOD((YEAR(EDATE(DATE(YEAR(TODAY()),MONTH(TODAY()),1),20))-YEAR(IF(ISNUMBER(Suppliers!F36),Suppliers!F36,DATE(YEAR(TODAY()),MONTH(TODAY()),1))))*12+MONTH(EDATE(DATE(YEAR(TODAY()),MONTH(TODAY()),1),20))-MONTH(IF(ISNUMBER(Suppliers!F36),Suppliers!F36,DATE(YEAR(TODAY()),MONTH(TODAY()),1))),3)=0,1,0),IF(Suppliers!E36="Semi-annual",IF(MOD((YEAR(EDATE(DATE(YEAR(TODAY()),MONTH(TODAY()),1),20))-YEAR(IF(ISNUMBER(Suppliers!F36),Suppliers!F36,DATE(YEAR(TODAY()),MONTH(TODAY()),1))))*12+MONTH(EDATE(DATE(YEAR(TODAY()),MONTH(TODAY()),1),20))-MONTH(IF(ISNUMBER(Suppliers!F36),Suppliers!F36,DATE(YEAR(TODAY()),MONTH(TODAY()),1))),6)=0,1,0),IF(Suppliers!E36="Annual",IF(MOD((YEAR(EDATE(DATE(YEAR(TODAY()),MONTH(TODAY()),1),20))-YEAR(IF(ISNUMBER(Suppliers!F36),Suppliers!F36,DATE(YEAR(TODAY()),MONTH(TODAY()),1))))*12+MONTH(EDATE(DATE(YEAR(TODAY()),MONTH(TODAY()),1),20))-MONTH(IF(ISNUMBER(Suppliers!F36),Suppliers!F36,DATE(YEAR(TODAY()),MONTH(TODAY()),1))),12)=0,1,0),IF(Suppliers!E36="One-time",IF(20=0,1,0),1)))))),"")</f>
        <v/>
      </c>
      <c r="AA38" s="10" t="str">
        <f ca="1">IFERROR(IF(OR(21&gt;=$B$1,Suppliers!A36="",NOT(ISNUMBER(Suppliers!D36)),Suppliers!L36="Expired",Suppliers!L36="Terminate"),"",Suppliers!D36*-1*IF(Suppliers!E36="Monthly",IF(AND(ISNUMBER(Suppliers!G36),(YEAR(EDATE(DATE(YEAR(TODAY()),MONTH(TODAY()),1),21))*12+MONTH(EDATE(DATE(YEAR(TODAY()),MONTH(TODAY()),1),21)))&gt;(YEAR(Suppliers!G36)*12+MONTH(Suppliers!G36))),"",1),IF(Suppliers!E36="Quarterly",IF(MOD((YEAR(EDATE(DATE(YEAR(TODAY()),MONTH(TODAY()),1),21))-YEAR(IF(ISNUMBER(Suppliers!F36),Suppliers!F36,DATE(YEAR(TODAY()),MONTH(TODAY()),1))))*12+MONTH(EDATE(DATE(YEAR(TODAY()),MONTH(TODAY()),1),21))-MONTH(IF(ISNUMBER(Suppliers!F36),Suppliers!F36,DATE(YEAR(TODAY()),MONTH(TODAY()),1))),3)=0,1,0),IF(Suppliers!E36="Semi-annual",IF(MOD((YEAR(EDATE(DATE(YEAR(TODAY()),MONTH(TODAY()),1),21))-YEAR(IF(ISNUMBER(Suppliers!F36),Suppliers!F36,DATE(YEAR(TODAY()),MONTH(TODAY()),1))))*12+MONTH(EDATE(DATE(YEAR(TODAY()),MONTH(TODAY()),1),21))-MONTH(IF(ISNUMBER(Suppliers!F36),Suppliers!F36,DATE(YEAR(TODAY()),MONTH(TODAY()),1))),6)=0,1,0),IF(Suppliers!E36="Annual",IF(MOD((YEAR(EDATE(DATE(YEAR(TODAY()),MONTH(TODAY()),1),21))-YEAR(IF(ISNUMBER(Suppliers!F36),Suppliers!F36,DATE(YEAR(TODAY()),MONTH(TODAY()),1))))*12+MONTH(EDATE(DATE(YEAR(TODAY()),MONTH(TODAY()),1),21))-MONTH(IF(ISNUMBER(Suppliers!F36),Suppliers!F36,DATE(YEAR(TODAY()),MONTH(TODAY()),1))),12)=0,1,0),IF(Suppliers!E36="One-time",IF(21=0,1,0),1)))))),"")</f>
        <v/>
      </c>
      <c r="AB38" s="10" t="str">
        <f ca="1">IFERROR(IF(OR(22&gt;=$B$1,Suppliers!A36="",NOT(ISNUMBER(Suppliers!D36)),Suppliers!L36="Expired",Suppliers!L36="Terminate"),"",Suppliers!D36*-1*IF(Suppliers!E36="Monthly",IF(AND(ISNUMBER(Suppliers!G36),(YEAR(EDATE(DATE(YEAR(TODAY()),MONTH(TODAY()),1),22))*12+MONTH(EDATE(DATE(YEAR(TODAY()),MONTH(TODAY()),1),22)))&gt;(YEAR(Suppliers!G36)*12+MONTH(Suppliers!G36))),"",1),IF(Suppliers!E36="Quarterly",IF(MOD((YEAR(EDATE(DATE(YEAR(TODAY()),MONTH(TODAY()),1),22))-YEAR(IF(ISNUMBER(Suppliers!F36),Suppliers!F36,DATE(YEAR(TODAY()),MONTH(TODAY()),1))))*12+MONTH(EDATE(DATE(YEAR(TODAY()),MONTH(TODAY()),1),22))-MONTH(IF(ISNUMBER(Suppliers!F36),Suppliers!F36,DATE(YEAR(TODAY()),MONTH(TODAY()),1))),3)=0,1,0),IF(Suppliers!E36="Semi-annual",IF(MOD((YEAR(EDATE(DATE(YEAR(TODAY()),MONTH(TODAY()),1),22))-YEAR(IF(ISNUMBER(Suppliers!F36),Suppliers!F36,DATE(YEAR(TODAY()),MONTH(TODAY()),1))))*12+MONTH(EDATE(DATE(YEAR(TODAY()),MONTH(TODAY()),1),22))-MONTH(IF(ISNUMBER(Suppliers!F36),Suppliers!F36,DATE(YEAR(TODAY()),MONTH(TODAY()),1))),6)=0,1,0),IF(Suppliers!E36="Annual",IF(MOD((YEAR(EDATE(DATE(YEAR(TODAY()),MONTH(TODAY()),1),22))-YEAR(IF(ISNUMBER(Suppliers!F36),Suppliers!F36,DATE(YEAR(TODAY()),MONTH(TODAY()),1))))*12+MONTH(EDATE(DATE(YEAR(TODAY()),MONTH(TODAY()),1),22))-MONTH(IF(ISNUMBER(Suppliers!F36),Suppliers!F36,DATE(YEAR(TODAY()),MONTH(TODAY()),1))),12)=0,1,0),IF(Suppliers!E36="One-time",IF(22=0,1,0),1)))))),"")</f>
        <v/>
      </c>
      <c r="AC38" s="10" t="str">
        <f ca="1">IFERROR(IF(OR(23&gt;=$B$1,Suppliers!A36="",NOT(ISNUMBER(Suppliers!D36)),Suppliers!L36="Expired",Suppliers!L36="Terminate"),"",Suppliers!D36*-1*IF(Suppliers!E36="Monthly",IF(AND(ISNUMBER(Suppliers!G36),(YEAR(EDATE(DATE(YEAR(TODAY()),MONTH(TODAY()),1),23))*12+MONTH(EDATE(DATE(YEAR(TODAY()),MONTH(TODAY()),1),23)))&gt;(YEAR(Suppliers!G36)*12+MONTH(Suppliers!G36))),"",1),IF(Suppliers!E36="Quarterly",IF(MOD((YEAR(EDATE(DATE(YEAR(TODAY()),MONTH(TODAY()),1),23))-YEAR(IF(ISNUMBER(Suppliers!F36),Suppliers!F36,DATE(YEAR(TODAY()),MONTH(TODAY()),1))))*12+MONTH(EDATE(DATE(YEAR(TODAY()),MONTH(TODAY()),1),23))-MONTH(IF(ISNUMBER(Suppliers!F36),Suppliers!F36,DATE(YEAR(TODAY()),MONTH(TODAY()),1))),3)=0,1,0),IF(Suppliers!E36="Semi-annual",IF(MOD((YEAR(EDATE(DATE(YEAR(TODAY()),MONTH(TODAY()),1),23))-YEAR(IF(ISNUMBER(Suppliers!F36),Suppliers!F36,DATE(YEAR(TODAY()),MONTH(TODAY()),1))))*12+MONTH(EDATE(DATE(YEAR(TODAY()),MONTH(TODAY()),1),23))-MONTH(IF(ISNUMBER(Suppliers!F36),Suppliers!F36,DATE(YEAR(TODAY()),MONTH(TODAY()),1))),6)=0,1,0),IF(Suppliers!E36="Annual",IF(MOD((YEAR(EDATE(DATE(YEAR(TODAY()),MONTH(TODAY()),1),23))-YEAR(IF(ISNUMBER(Suppliers!F36),Suppliers!F36,DATE(YEAR(TODAY()),MONTH(TODAY()),1))))*12+MONTH(EDATE(DATE(YEAR(TODAY()),MONTH(TODAY()),1),23))-MONTH(IF(ISNUMBER(Suppliers!F36),Suppliers!F36,DATE(YEAR(TODAY()),MONTH(TODAY()),1))),12)=0,1,0),IF(Suppliers!E36="One-time",IF(23=0,1,0),1)))))),"")</f>
        <v/>
      </c>
    </row>
    <row r="39" spans="1:29" ht="15" customHeight="1" x14ac:dyDescent="0.35">
      <c r="A39" s="4" t="s">
        <v>80</v>
      </c>
      <c r="B39" s="4" t="str">
        <f>IF(Suppliers!A37="","",Suppliers!A37)</f>
        <v/>
      </c>
      <c r="C39" s="10" t="str">
        <f>IF(Suppliers!C37="","",Suppliers!C37)</f>
        <v/>
      </c>
      <c r="D39" s="10" t="str">
        <f>IF(Suppliers!D37="","",Suppliers!D37)</f>
        <v/>
      </c>
      <c r="E39" s="4" t="str">
        <f>IF(Suppliers!E37="","",Suppliers!E37)</f>
        <v/>
      </c>
      <c r="F39" s="10" t="str">
        <f ca="1">IFERROR(IF(OR(0&gt;=$B$1,Suppliers!A37="",NOT(ISNUMBER(Suppliers!D37)),Suppliers!L37="Expired",Suppliers!L37="Terminate"),"",Suppliers!D37*-1*IF(Suppliers!E37="Monthly",IF(AND(ISNUMBER(Suppliers!G37),(YEAR(EDATE(DATE(YEAR(TODAY()),MONTH(TODAY()),1),0))*12+MONTH(EDATE(DATE(YEAR(TODAY()),MONTH(TODAY()),1),0)))&gt;(YEAR(Suppliers!G37)*12+MONTH(Suppliers!G37))),"",1),IF(Suppliers!E37="Quarterly",IF(MOD((YEAR(EDATE(DATE(YEAR(TODAY()),MONTH(TODAY()),1),0))-YEAR(IF(ISNUMBER(Suppliers!F37),Suppliers!F37,DATE(YEAR(TODAY()),MONTH(TODAY()),1))))*12+MONTH(EDATE(DATE(YEAR(TODAY()),MONTH(TODAY()),1),0))-MONTH(IF(ISNUMBER(Suppliers!F37),Suppliers!F37,DATE(YEAR(TODAY()),MONTH(TODAY()),1))),3)=0,1,0),IF(Suppliers!E37="Semi-annual",IF(MOD((YEAR(EDATE(DATE(YEAR(TODAY()),MONTH(TODAY()),1),0))-YEAR(IF(ISNUMBER(Suppliers!F37),Suppliers!F37,DATE(YEAR(TODAY()),MONTH(TODAY()),1))))*12+MONTH(EDATE(DATE(YEAR(TODAY()),MONTH(TODAY()),1),0))-MONTH(IF(ISNUMBER(Suppliers!F37),Suppliers!F37,DATE(YEAR(TODAY()),MONTH(TODAY()),1))),6)=0,1,0),IF(Suppliers!E37="Annual",IF(MOD((YEAR(EDATE(DATE(YEAR(TODAY()),MONTH(TODAY()),1),0))-YEAR(IF(ISNUMBER(Suppliers!F37),Suppliers!F37,DATE(YEAR(TODAY()),MONTH(TODAY()),1))))*12+MONTH(EDATE(DATE(YEAR(TODAY()),MONTH(TODAY()),1),0))-MONTH(IF(ISNUMBER(Suppliers!F37),Suppliers!F37,DATE(YEAR(TODAY()),MONTH(TODAY()),1))),12)=0,1,0),IF(Suppliers!E37="One-time",IF(0=0,1,0),1)))))),"")</f>
        <v/>
      </c>
      <c r="G39" s="10" t="str">
        <f ca="1">IFERROR(IF(OR(1&gt;=$B$1,Suppliers!A37="",NOT(ISNUMBER(Suppliers!D37)),Suppliers!L37="Expired",Suppliers!L37="Terminate"),"",Suppliers!D37*-1*IF(Suppliers!E37="Monthly",IF(AND(ISNUMBER(Suppliers!G37),(YEAR(EDATE(DATE(YEAR(TODAY()),MONTH(TODAY()),1),1))*12+MONTH(EDATE(DATE(YEAR(TODAY()),MONTH(TODAY()),1),1)))&gt;(YEAR(Suppliers!G37)*12+MONTH(Suppliers!G37))),"",1),IF(Suppliers!E37="Quarterly",IF(MOD((YEAR(EDATE(DATE(YEAR(TODAY()),MONTH(TODAY()),1),1))-YEAR(IF(ISNUMBER(Suppliers!F37),Suppliers!F37,DATE(YEAR(TODAY()),MONTH(TODAY()),1))))*12+MONTH(EDATE(DATE(YEAR(TODAY()),MONTH(TODAY()),1),1))-MONTH(IF(ISNUMBER(Suppliers!F37),Suppliers!F37,DATE(YEAR(TODAY()),MONTH(TODAY()),1))),3)=0,1,0),IF(Suppliers!E37="Semi-annual",IF(MOD((YEAR(EDATE(DATE(YEAR(TODAY()),MONTH(TODAY()),1),1))-YEAR(IF(ISNUMBER(Suppliers!F37),Suppliers!F37,DATE(YEAR(TODAY()),MONTH(TODAY()),1))))*12+MONTH(EDATE(DATE(YEAR(TODAY()),MONTH(TODAY()),1),1))-MONTH(IF(ISNUMBER(Suppliers!F37),Suppliers!F37,DATE(YEAR(TODAY()),MONTH(TODAY()),1))),6)=0,1,0),IF(Suppliers!E37="Annual",IF(MOD((YEAR(EDATE(DATE(YEAR(TODAY()),MONTH(TODAY()),1),1))-YEAR(IF(ISNUMBER(Suppliers!F37),Suppliers!F37,DATE(YEAR(TODAY()),MONTH(TODAY()),1))))*12+MONTH(EDATE(DATE(YEAR(TODAY()),MONTH(TODAY()),1),1))-MONTH(IF(ISNUMBER(Suppliers!F37),Suppliers!F37,DATE(YEAR(TODAY()),MONTH(TODAY()),1))),12)=0,1,0),IF(Suppliers!E37="One-time",IF(1=0,1,0),1)))))),"")</f>
        <v/>
      </c>
      <c r="H39" s="10" t="str">
        <f ca="1">IFERROR(IF(OR(2&gt;=$B$1,Suppliers!A37="",NOT(ISNUMBER(Suppliers!D37)),Suppliers!L37="Expired",Suppliers!L37="Terminate"),"",Suppliers!D37*-1*IF(Suppliers!E37="Monthly",IF(AND(ISNUMBER(Suppliers!G37),(YEAR(EDATE(DATE(YEAR(TODAY()),MONTH(TODAY()),1),2))*12+MONTH(EDATE(DATE(YEAR(TODAY()),MONTH(TODAY()),1),2)))&gt;(YEAR(Suppliers!G37)*12+MONTH(Suppliers!G37))),"",1),IF(Suppliers!E37="Quarterly",IF(MOD((YEAR(EDATE(DATE(YEAR(TODAY()),MONTH(TODAY()),1),2))-YEAR(IF(ISNUMBER(Suppliers!F37),Suppliers!F37,DATE(YEAR(TODAY()),MONTH(TODAY()),1))))*12+MONTH(EDATE(DATE(YEAR(TODAY()),MONTH(TODAY()),1),2))-MONTH(IF(ISNUMBER(Suppliers!F37),Suppliers!F37,DATE(YEAR(TODAY()),MONTH(TODAY()),1))),3)=0,1,0),IF(Suppliers!E37="Semi-annual",IF(MOD((YEAR(EDATE(DATE(YEAR(TODAY()),MONTH(TODAY()),1),2))-YEAR(IF(ISNUMBER(Suppliers!F37),Suppliers!F37,DATE(YEAR(TODAY()),MONTH(TODAY()),1))))*12+MONTH(EDATE(DATE(YEAR(TODAY()),MONTH(TODAY()),1),2))-MONTH(IF(ISNUMBER(Suppliers!F37),Suppliers!F37,DATE(YEAR(TODAY()),MONTH(TODAY()),1))),6)=0,1,0),IF(Suppliers!E37="Annual",IF(MOD((YEAR(EDATE(DATE(YEAR(TODAY()),MONTH(TODAY()),1),2))-YEAR(IF(ISNUMBER(Suppliers!F37),Suppliers!F37,DATE(YEAR(TODAY()),MONTH(TODAY()),1))))*12+MONTH(EDATE(DATE(YEAR(TODAY()),MONTH(TODAY()),1),2))-MONTH(IF(ISNUMBER(Suppliers!F37),Suppliers!F37,DATE(YEAR(TODAY()),MONTH(TODAY()),1))),12)=0,1,0),IF(Suppliers!E37="One-time",IF(2=0,1,0),1)))))),"")</f>
        <v/>
      </c>
      <c r="I39" s="10" t="str">
        <f ca="1">IFERROR(IF(OR(3&gt;=$B$1,Suppliers!A37="",NOT(ISNUMBER(Suppliers!D37)),Suppliers!L37="Expired",Suppliers!L37="Terminate"),"",Suppliers!D37*-1*IF(Suppliers!E37="Monthly",IF(AND(ISNUMBER(Suppliers!G37),(YEAR(EDATE(DATE(YEAR(TODAY()),MONTH(TODAY()),1),3))*12+MONTH(EDATE(DATE(YEAR(TODAY()),MONTH(TODAY()),1),3)))&gt;(YEAR(Suppliers!G37)*12+MONTH(Suppliers!G37))),"",1),IF(Suppliers!E37="Quarterly",IF(MOD((YEAR(EDATE(DATE(YEAR(TODAY()),MONTH(TODAY()),1),3))-YEAR(IF(ISNUMBER(Suppliers!F37),Suppliers!F37,DATE(YEAR(TODAY()),MONTH(TODAY()),1))))*12+MONTH(EDATE(DATE(YEAR(TODAY()),MONTH(TODAY()),1),3))-MONTH(IF(ISNUMBER(Suppliers!F37),Suppliers!F37,DATE(YEAR(TODAY()),MONTH(TODAY()),1))),3)=0,1,0),IF(Suppliers!E37="Semi-annual",IF(MOD((YEAR(EDATE(DATE(YEAR(TODAY()),MONTH(TODAY()),1),3))-YEAR(IF(ISNUMBER(Suppliers!F37),Suppliers!F37,DATE(YEAR(TODAY()),MONTH(TODAY()),1))))*12+MONTH(EDATE(DATE(YEAR(TODAY()),MONTH(TODAY()),1),3))-MONTH(IF(ISNUMBER(Suppliers!F37),Suppliers!F37,DATE(YEAR(TODAY()),MONTH(TODAY()),1))),6)=0,1,0),IF(Suppliers!E37="Annual",IF(MOD((YEAR(EDATE(DATE(YEAR(TODAY()),MONTH(TODAY()),1),3))-YEAR(IF(ISNUMBER(Suppliers!F37),Suppliers!F37,DATE(YEAR(TODAY()),MONTH(TODAY()),1))))*12+MONTH(EDATE(DATE(YEAR(TODAY()),MONTH(TODAY()),1),3))-MONTH(IF(ISNUMBER(Suppliers!F37),Suppliers!F37,DATE(YEAR(TODAY()),MONTH(TODAY()),1))),12)=0,1,0),IF(Suppliers!E37="One-time",IF(3=0,1,0),1)))))),"")</f>
        <v/>
      </c>
      <c r="J39" s="10" t="str">
        <f ca="1">IFERROR(IF(OR(4&gt;=$B$1,Suppliers!A37="",NOT(ISNUMBER(Suppliers!D37)),Suppliers!L37="Expired",Suppliers!L37="Terminate"),"",Suppliers!D37*-1*IF(Suppliers!E37="Monthly",IF(AND(ISNUMBER(Suppliers!G37),(YEAR(EDATE(DATE(YEAR(TODAY()),MONTH(TODAY()),1),4))*12+MONTH(EDATE(DATE(YEAR(TODAY()),MONTH(TODAY()),1),4)))&gt;(YEAR(Suppliers!G37)*12+MONTH(Suppliers!G37))),"",1),IF(Suppliers!E37="Quarterly",IF(MOD((YEAR(EDATE(DATE(YEAR(TODAY()),MONTH(TODAY()),1),4))-YEAR(IF(ISNUMBER(Suppliers!F37),Suppliers!F37,DATE(YEAR(TODAY()),MONTH(TODAY()),1))))*12+MONTH(EDATE(DATE(YEAR(TODAY()),MONTH(TODAY()),1),4))-MONTH(IF(ISNUMBER(Suppliers!F37),Suppliers!F37,DATE(YEAR(TODAY()),MONTH(TODAY()),1))),3)=0,1,0),IF(Suppliers!E37="Semi-annual",IF(MOD((YEAR(EDATE(DATE(YEAR(TODAY()),MONTH(TODAY()),1),4))-YEAR(IF(ISNUMBER(Suppliers!F37),Suppliers!F37,DATE(YEAR(TODAY()),MONTH(TODAY()),1))))*12+MONTH(EDATE(DATE(YEAR(TODAY()),MONTH(TODAY()),1),4))-MONTH(IF(ISNUMBER(Suppliers!F37),Suppliers!F37,DATE(YEAR(TODAY()),MONTH(TODAY()),1))),6)=0,1,0),IF(Suppliers!E37="Annual",IF(MOD((YEAR(EDATE(DATE(YEAR(TODAY()),MONTH(TODAY()),1),4))-YEAR(IF(ISNUMBER(Suppliers!F37),Suppliers!F37,DATE(YEAR(TODAY()),MONTH(TODAY()),1))))*12+MONTH(EDATE(DATE(YEAR(TODAY()),MONTH(TODAY()),1),4))-MONTH(IF(ISNUMBER(Suppliers!F37),Suppliers!F37,DATE(YEAR(TODAY()),MONTH(TODAY()),1))),12)=0,1,0),IF(Suppliers!E37="One-time",IF(4=0,1,0),1)))))),"")</f>
        <v/>
      </c>
      <c r="K39" s="10" t="str">
        <f ca="1">IFERROR(IF(OR(5&gt;=$B$1,Suppliers!A37="",NOT(ISNUMBER(Suppliers!D37)),Suppliers!L37="Expired",Suppliers!L37="Terminate"),"",Suppliers!D37*-1*IF(Suppliers!E37="Monthly",IF(AND(ISNUMBER(Suppliers!G37),(YEAR(EDATE(DATE(YEAR(TODAY()),MONTH(TODAY()),1),5))*12+MONTH(EDATE(DATE(YEAR(TODAY()),MONTH(TODAY()),1),5)))&gt;(YEAR(Suppliers!G37)*12+MONTH(Suppliers!G37))),"",1),IF(Suppliers!E37="Quarterly",IF(MOD((YEAR(EDATE(DATE(YEAR(TODAY()),MONTH(TODAY()),1),5))-YEAR(IF(ISNUMBER(Suppliers!F37),Suppliers!F37,DATE(YEAR(TODAY()),MONTH(TODAY()),1))))*12+MONTH(EDATE(DATE(YEAR(TODAY()),MONTH(TODAY()),1),5))-MONTH(IF(ISNUMBER(Suppliers!F37),Suppliers!F37,DATE(YEAR(TODAY()),MONTH(TODAY()),1))),3)=0,1,0),IF(Suppliers!E37="Semi-annual",IF(MOD((YEAR(EDATE(DATE(YEAR(TODAY()),MONTH(TODAY()),1),5))-YEAR(IF(ISNUMBER(Suppliers!F37),Suppliers!F37,DATE(YEAR(TODAY()),MONTH(TODAY()),1))))*12+MONTH(EDATE(DATE(YEAR(TODAY()),MONTH(TODAY()),1),5))-MONTH(IF(ISNUMBER(Suppliers!F37),Suppliers!F37,DATE(YEAR(TODAY()),MONTH(TODAY()),1))),6)=0,1,0),IF(Suppliers!E37="Annual",IF(MOD((YEAR(EDATE(DATE(YEAR(TODAY()),MONTH(TODAY()),1),5))-YEAR(IF(ISNUMBER(Suppliers!F37),Suppliers!F37,DATE(YEAR(TODAY()),MONTH(TODAY()),1))))*12+MONTH(EDATE(DATE(YEAR(TODAY()),MONTH(TODAY()),1),5))-MONTH(IF(ISNUMBER(Suppliers!F37),Suppliers!F37,DATE(YEAR(TODAY()),MONTH(TODAY()),1))),12)=0,1,0),IF(Suppliers!E37="One-time",IF(5=0,1,0),1)))))),"")</f>
        <v/>
      </c>
      <c r="L39" s="10" t="str">
        <f ca="1">IFERROR(IF(OR(6&gt;=$B$1,Suppliers!A37="",NOT(ISNUMBER(Suppliers!D37)),Suppliers!L37="Expired",Suppliers!L37="Terminate"),"",Suppliers!D37*-1*IF(Suppliers!E37="Monthly",IF(AND(ISNUMBER(Suppliers!G37),(YEAR(EDATE(DATE(YEAR(TODAY()),MONTH(TODAY()),1),6))*12+MONTH(EDATE(DATE(YEAR(TODAY()),MONTH(TODAY()),1),6)))&gt;(YEAR(Suppliers!G37)*12+MONTH(Suppliers!G37))),"",1),IF(Suppliers!E37="Quarterly",IF(MOD((YEAR(EDATE(DATE(YEAR(TODAY()),MONTH(TODAY()),1),6))-YEAR(IF(ISNUMBER(Suppliers!F37),Suppliers!F37,DATE(YEAR(TODAY()),MONTH(TODAY()),1))))*12+MONTH(EDATE(DATE(YEAR(TODAY()),MONTH(TODAY()),1),6))-MONTH(IF(ISNUMBER(Suppliers!F37),Suppliers!F37,DATE(YEAR(TODAY()),MONTH(TODAY()),1))),3)=0,1,0),IF(Suppliers!E37="Semi-annual",IF(MOD((YEAR(EDATE(DATE(YEAR(TODAY()),MONTH(TODAY()),1),6))-YEAR(IF(ISNUMBER(Suppliers!F37),Suppliers!F37,DATE(YEAR(TODAY()),MONTH(TODAY()),1))))*12+MONTH(EDATE(DATE(YEAR(TODAY()),MONTH(TODAY()),1),6))-MONTH(IF(ISNUMBER(Suppliers!F37),Suppliers!F37,DATE(YEAR(TODAY()),MONTH(TODAY()),1))),6)=0,1,0),IF(Suppliers!E37="Annual",IF(MOD((YEAR(EDATE(DATE(YEAR(TODAY()),MONTH(TODAY()),1),6))-YEAR(IF(ISNUMBER(Suppliers!F37),Suppliers!F37,DATE(YEAR(TODAY()),MONTH(TODAY()),1))))*12+MONTH(EDATE(DATE(YEAR(TODAY()),MONTH(TODAY()),1),6))-MONTH(IF(ISNUMBER(Suppliers!F37),Suppliers!F37,DATE(YEAR(TODAY()),MONTH(TODAY()),1))),12)=0,1,0),IF(Suppliers!E37="One-time",IF(6=0,1,0),1)))))),"")</f>
        <v/>
      </c>
      <c r="M39" s="10" t="str">
        <f ca="1">IFERROR(IF(OR(7&gt;=$B$1,Suppliers!A37="",NOT(ISNUMBER(Suppliers!D37)),Suppliers!L37="Expired",Suppliers!L37="Terminate"),"",Suppliers!D37*-1*IF(Suppliers!E37="Monthly",IF(AND(ISNUMBER(Suppliers!G37),(YEAR(EDATE(DATE(YEAR(TODAY()),MONTH(TODAY()),1),7))*12+MONTH(EDATE(DATE(YEAR(TODAY()),MONTH(TODAY()),1),7)))&gt;(YEAR(Suppliers!G37)*12+MONTH(Suppliers!G37))),"",1),IF(Suppliers!E37="Quarterly",IF(MOD((YEAR(EDATE(DATE(YEAR(TODAY()),MONTH(TODAY()),1),7))-YEAR(IF(ISNUMBER(Suppliers!F37),Suppliers!F37,DATE(YEAR(TODAY()),MONTH(TODAY()),1))))*12+MONTH(EDATE(DATE(YEAR(TODAY()),MONTH(TODAY()),1),7))-MONTH(IF(ISNUMBER(Suppliers!F37),Suppliers!F37,DATE(YEAR(TODAY()),MONTH(TODAY()),1))),3)=0,1,0),IF(Suppliers!E37="Semi-annual",IF(MOD((YEAR(EDATE(DATE(YEAR(TODAY()),MONTH(TODAY()),1),7))-YEAR(IF(ISNUMBER(Suppliers!F37),Suppliers!F37,DATE(YEAR(TODAY()),MONTH(TODAY()),1))))*12+MONTH(EDATE(DATE(YEAR(TODAY()),MONTH(TODAY()),1),7))-MONTH(IF(ISNUMBER(Suppliers!F37),Suppliers!F37,DATE(YEAR(TODAY()),MONTH(TODAY()),1))),6)=0,1,0),IF(Suppliers!E37="Annual",IF(MOD((YEAR(EDATE(DATE(YEAR(TODAY()),MONTH(TODAY()),1),7))-YEAR(IF(ISNUMBER(Suppliers!F37),Suppliers!F37,DATE(YEAR(TODAY()),MONTH(TODAY()),1))))*12+MONTH(EDATE(DATE(YEAR(TODAY()),MONTH(TODAY()),1),7))-MONTH(IF(ISNUMBER(Suppliers!F37),Suppliers!F37,DATE(YEAR(TODAY()),MONTH(TODAY()),1))),12)=0,1,0),IF(Suppliers!E37="One-time",IF(7=0,1,0),1)))))),"")</f>
        <v/>
      </c>
      <c r="N39" s="10" t="str">
        <f ca="1">IFERROR(IF(OR(8&gt;=$B$1,Suppliers!A37="",NOT(ISNUMBER(Suppliers!D37)),Suppliers!L37="Expired",Suppliers!L37="Terminate"),"",Suppliers!D37*-1*IF(Suppliers!E37="Monthly",IF(AND(ISNUMBER(Suppliers!G37),(YEAR(EDATE(DATE(YEAR(TODAY()),MONTH(TODAY()),1),8))*12+MONTH(EDATE(DATE(YEAR(TODAY()),MONTH(TODAY()),1),8)))&gt;(YEAR(Suppliers!G37)*12+MONTH(Suppliers!G37))),"",1),IF(Suppliers!E37="Quarterly",IF(MOD((YEAR(EDATE(DATE(YEAR(TODAY()),MONTH(TODAY()),1),8))-YEAR(IF(ISNUMBER(Suppliers!F37),Suppliers!F37,DATE(YEAR(TODAY()),MONTH(TODAY()),1))))*12+MONTH(EDATE(DATE(YEAR(TODAY()),MONTH(TODAY()),1),8))-MONTH(IF(ISNUMBER(Suppliers!F37),Suppliers!F37,DATE(YEAR(TODAY()),MONTH(TODAY()),1))),3)=0,1,0),IF(Suppliers!E37="Semi-annual",IF(MOD((YEAR(EDATE(DATE(YEAR(TODAY()),MONTH(TODAY()),1),8))-YEAR(IF(ISNUMBER(Suppliers!F37),Suppliers!F37,DATE(YEAR(TODAY()),MONTH(TODAY()),1))))*12+MONTH(EDATE(DATE(YEAR(TODAY()),MONTH(TODAY()),1),8))-MONTH(IF(ISNUMBER(Suppliers!F37),Suppliers!F37,DATE(YEAR(TODAY()),MONTH(TODAY()),1))),6)=0,1,0),IF(Suppliers!E37="Annual",IF(MOD((YEAR(EDATE(DATE(YEAR(TODAY()),MONTH(TODAY()),1),8))-YEAR(IF(ISNUMBER(Suppliers!F37),Suppliers!F37,DATE(YEAR(TODAY()),MONTH(TODAY()),1))))*12+MONTH(EDATE(DATE(YEAR(TODAY()),MONTH(TODAY()),1),8))-MONTH(IF(ISNUMBER(Suppliers!F37),Suppliers!F37,DATE(YEAR(TODAY()),MONTH(TODAY()),1))),12)=0,1,0),IF(Suppliers!E37="One-time",IF(8=0,1,0),1)))))),"")</f>
        <v/>
      </c>
      <c r="O39" s="10" t="str">
        <f ca="1">IFERROR(IF(OR(9&gt;=$B$1,Suppliers!A37="",NOT(ISNUMBER(Suppliers!D37)),Suppliers!L37="Expired",Suppliers!L37="Terminate"),"",Suppliers!D37*-1*IF(Suppliers!E37="Monthly",IF(AND(ISNUMBER(Suppliers!G37),(YEAR(EDATE(DATE(YEAR(TODAY()),MONTH(TODAY()),1),9))*12+MONTH(EDATE(DATE(YEAR(TODAY()),MONTH(TODAY()),1),9)))&gt;(YEAR(Suppliers!G37)*12+MONTH(Suppliers!G37))),"",1),IF(Suppliers!E37="Quarterly",IF(MOD((YEAR(EDATE(DATE(YEAR(TODAY()),MONTH(TODAY()),1),9))-YEAR(IF(ISNUMBER(Suppliers!F37),Suppliers!F37,DATE(YEAR(TODAY()),MONTH(TODAY()),1))))*12+MONTH(EDATE(DATE(YEAR(TODAY()),MONTH(TODAY()),1),9))-MONTH(IF(ISNUMBER(Suppliers!F37),Suppliers!F37,DATE(YEAR(TODAY()),MONTH(TODAY()),1))),3)=0,1,0),IF(Suppliers!E37="Semi-annual",IF(MOD((YEAR(EDATE(DATE(YEAR(TODAY()),MONTH(TODAY()),1),9))-YEAR(IF(ISNUMBER(Suppliers!F37),Suppliers!F37,DATE(YEAR(TODAY()),MONTH(TODAY()),1))))*12+MONTH(EDATE(DATE(YEAR(TODAY()),MONTH(TODAY()),1),9))-MONTH(IF(ISNUMBER(Suppliers!F37),Suppliers!F37,DATE(YEAR(TODAY()),MONTH(TODAY()),1))),6)=0,1,0),IF(Suppliers!E37="Annual",IF(MOD((YEAR(EDATE(DATE(YEAR(TODAY()),MONTH(TODAY()),1),9))-YEAR(IF(ISNUMBER(Suppliers!F37),Suppliers!F37,DATE(YEAR(TODAY()),MONTH(TODAY()),1))))*12+MONTH(EDATE(DATE(YEAR(TODAY()),MONTH(TODAY()),1),9))-MONTH(IF(ISNUMBER(Suppliers!F37),Suppliers!F37,DATE(YEAR(TODAY()),MONTH(TODAY()),1))),12)=0,1,0),IF(Suppliers!E37="One-time",IF(9=0,1,0),1)))))),"")</f>
        <v/>
      </c>
      <c r="P39" s="10" t="str">
        <f ca="1">IFERROR(IF(OR(10&gt;=$B$1,Suppliers!A37="",NOT(ISNUMBER(Suppliers!D37)),Suppliers!L37="Expired",Suppliers!L37="Terminate"),"",Suppliers!D37*-1*IF(Suppliers!E37="Monthly",IF(AND(ISNUMBER(Suppliers!G37),(YEAR(EDATE(DATE(YEAR(TODAY()),MONTH(TODAY()),1),10))*12+MONTH(EDATE(DATE(YEAR(TODAY()),MONTH(TODAY()),1),10)))&gt;(YEAR(Suppliers!G37)*12+MONTH(Suppliers!G37))),"",1),IF(Suppliers!E37="Quarterly",IF(MOD((YEAR(EDATE(DATE(YEAR(TODAY()),MONTH(TODAY()),1),10))-YEAR(IF(ISNUMBER(Suppliers!F37),Suppliers!F37,DATE(YEAR(TODAY()),MONTH(TODAY()),1))))*12+MONTH(EDATE(DATE(YEAR(TODAY()),MONTH(TODAY()),1),10))-MONTH(IF(ISNUMBER(Suppliers!F37),Suppliers!F37,DATE(YEAR(TODAY()),MONTH(TODAY()),1))),3)=0,1,0),IF(Suppliers!E37="Semi-annual",IF(MOD((YEAR(EDATE(DATE(YEAR(TODAY()),MONTH(TODAY()),1),10))-YEAR(IF(ISNUMBER(Suppliers!F37),Suppliers!F37,DATE(YEAR(TODAY()),MONTH(TODAY()),1))))*12+MONTH(EDATE(DATE(YEAR(TODAY()),MONTH(TODAY()),1),10))-MONTH(IF(ISNUMBER(Suppliers!F37),Suppliers!F37,DATE(YEAR(TODAY()),MONTH(TODAY()),1))),6)=0,1,0),IF(Suppliers!E37="Annual",IF(MOD((YEAR(EDATE(DATE(YEAR(TODAY()),MONTH(TODAY()),1),10))-YEAR(IF(ISNUMBER(Suppliers!F37),Suppliers!F37,DATE(YEAR(TODAY()),MONTH(TODAY()),1))))*12+MONTH(EDATE(DATE(YEAR(TODAY()),MONTH(TODAY()),1),10))-MONTH(IF(ISNUMBER(Suppliers!F37),Suppliers!F37,DATE(YEAR(TODAY()),MONTH(TODAY()),1))),12)=0,1,0),IF(Suppliers!E37="One-time",IF(10=0,1,0),1)))))),"")</f>
        <v/>
      </c>
      <c r="Q39" s="10" t="str">
        <f ca="1">IFERROR(IF(OR(11&gt;=$B$1,Suppliers!A37="",NOT(ISNUMBER(Suppliers!D37)),Suppliers!L37="Expired",Suppliers!L37="Terminate"),"",Suppliers!D37*-1*IF(Suppliers!E37="Monthly",IF(AND(ISNUMBER(Suppliers!G37),(YEAR(EDATE(DATE(YEAR(TODAY()),MONTH(TODAY()),1),11))*12+MONTH(EDATE(DATE(YEAR(TODAY()),MONTH(TODAY()),1),11)))&gt;(YEAR(Suppliers!G37)*12+MONTH(Suppliers!G37))),"",1),IF(Suppliers!E37="Quarterly",IF(MOD((YEAR(EDATE(DATE(YEAR(TODAY()),MONTH(TODAY()),1),11))-YEAR(IF(ISNUMBER(Suppliers!F37),Suppliers!F37,DATE(YEAR(TODAY()),MONTH(TODAY()),1))))*12+MONTH(EDATE(DATE(YEAR(TODAY()),MONTH(TODAY()),1),11))-MONTH(IF(ISNUMBER(Suppliers!F37),Suppliers!F37,DATE(YEAR(TODAY()),MONTH(TODAY()),1))),3)=0,1,0),IF(Suppliers!E37="Semi-annual",IF(MOD((YEAR(EDATE(DATE(YEAR(TODAY()),MONTH(TODAY()),1),11))-YEAR(IF(ISNUMBER(Suppliers!F37),Suppliers!F37,DATE(YEAR(TODAY()),MONTH(TODAY()),1))))*12+MONTH(EDATE(DATE(YEAR(TODAY()),MONTH(TODAY()),1),11))-MONTH(IF(ISNUMBER(Suppliers!F37),Suppliers!F37,DATE(YEAR(TODAY()),MONTH(TODAY()),1))),6)=0,1,0),IF(Suppliers!E37="Annual",IF(MOD((YEAR(EDATE(DATE(YEAR(TODAY()),MONTH(TODAY()),1),11))-YEAR(IF(ISNUMBER(Suppliers!F37),Suppliers!F37,DATE(YEAR(TODAY()),MONTH(TODAY()),1))))*12+MONTH(EDATE(DATE(YEAR(TODAY()),MONTH(TODAY()),1),11))-MONTH(IF(ISNUMBER(Suppliers!F37),Suppliers!F37,DATE(YEAR(TODAY()),MONTH(TODAY()),1))),12)=0,1,0),IF(Suppliers!E37="One-time",IF(11=0,1,0),1)))))),"")</f>
        <v/>
      </c>
      <c r="R39" s="10" t="str">
        <f ca="1">IFERROR(IF(OR(12&gt;=$B$1,Suppliers!A37="",NOT(ISNUMBER(Suppliers!D37)),Suppliers!L37="Expired",Suppliers!L37="Terminate"),"",Suppliers!D37*-1*IF(Suppliers!E37="Monthly",IF(AND(ISNUMBER(Suppliers!G37),(YEAR(EDATE(DATE(YEAR(TODAY()),MONTH(TODAY()),1),12))*12+MONTH(EDATE(DATE(YEAR(TODAY()),MONTH(TODAY()),1),12)))&gt;(YEAR(Suppliers!G37)*12+MONTH(Suppliers!G37))),"",1),IF(Suppliers!E37="Quarterly",IF(MOD((YEAR(EDATE(DATE(YEAR(TODAY()),MONTH(TODAY()),1),12))-YEAR(IF(ISNUMBER(Suppliers!F37),Suppliers!F37,DATE(YEAR(TODAY()),MONTH(TODAY()),1))))*12+MONTH(EDATE(DATE(YEAR(TODAY()),MONTH(TODAY()),1),12))-MONTH(IF(ISNUMBER(Suppliers!F37),Suppliers!F37,DATE(YEAR(TODAY()),MONTH(TODAY()),1))),3)=0,1,0),IF(Suppliers!E37="Semi-annual",IF(MOD((YEAR(EDATE(DATE(YEAR(TODAY()),MONTH(TODAY()),1),12))-YEAR(IF(ISNUMBER(Suppliers!F37),Suppliers!F37,DATE(YEAR(TODAY()),MONTH(TODAY()),1))))*12+MONTH(EDATE(DATE(YEAR(TODAY()),MONTH(TODAY()),1),12))-MONTH(IF(ISNUMBER(Suppliers!F37),Suppliers!F37,DATE(YEAR(TODAY()),MONTH(TODAY()),1))),6)=0,1,0),IF(Suppliers!E37="Annual",IF(MOD((YEAR(EDATE(DATE(YEAR(TODAY()),MONTH(TODAY()),1),12))-YEAR(IF(ISNUMBER(Suppliers!F37),Suppliers!F37,DATE(YEAR(TODAY()),MONTH(TODAY()),1))))*12+MONTH(EDATE(DATE(YEAR(TODAY()),MONTH(TODAY()),1),12))-MONTH(IF(ISNUMBER(Suppliers!F37),Suppliers!F37,DATE(YEAR(TODAY()),MONTH(TODAY()),1))),12)=0,1,0),IF(Suppliers!E37="One-time",IF(12=0,1,0),1)))))),"")</f>
        <v/>
      </c>
      <c r="S39" s="10" t="str">
        <f ca="1">IFERROR(IF(OR(13&gt;=$B$1,Suppliers!A37="",NOT(ISNUMBER(Suppliers!D37)),Suppliers!L37="Expired",Suppliers!L37="Terminate"),"",Suppliers!D37*-1*IF(Suppliers!E37="Monthly",IF(AND(ISNUMBER(Suppliers!G37),(YEAR(EDATE(DATE(YEAR(TODAY()),MONTH(TODAY()),1),13))*12+MONTH(EDATE(DATE(YEAR(TODAY()),MONTH(TODAY()),1),13)))&gt;(YEAR(Suppliers!G37)*12+MONTH(Suppliers!G37))),"",1),IF(Suppliers!E37="Quarterly",IF(MOD((YEAR(EDATE(DATE(YEAR(TODAY()),MONTH(TODAY()),1),13))-YEAR(IF(ISNUMBER(Suppliers!F37),Suppliers!F37,DATE(YEAR(TODAY()),MONTH(TODAY()),1))))*12+MONTH(EDATE(DATE(YEAR(TODAY()),MONTH(TODAY()),1),13))-MONTH(IF(ISNUMBER(Suppliers!F37),Suppliers!F37,DATE(YEAR(TODAY()),MONTH(TODAY()),1))),3)=0,1,0),IF(Suppliers!E37="Semi-annual",IF(MOD((YEAR(EDATE(DATE(YEAR(TODAY()),MONTH(TODAY()),1),13))-YEAR(IF(ISNUMBER(Suppliers!F37),Suppliers!F37,DATE(YEAR(TODAY()),MONTH(TODAY()),1))))*12+MONTH(EDATE(DATE(YEAR(TODAY()),MONTH(TODAY()),1),13))-MONTH(IF(ISNUMBER(Suppliers!F37),Suppliers!F37,DATE(YEAR(TODAY()),MONTH(TODAY()),1))),6)=0,1,0),IF(Suppliers!E37="Annual",IF(MOD((YEAR(EDATE(DATE(YEAR(TODAY()),MONTH(TODAY()),1),13))-YEAR(IF(ISNUMBER(Suppliers!F37),Suppliers!F37,DATE(YEAR(TODAY()),MONTH(TODAY()),1))))*12+MONTH(EDATE(DATE(YEAR(TODAY()),MONTH(TODAY()),1),13))-MONTH(IF(ISNUMBER(Suppliers!F37),Suppliers!F37,DATE(YEAR(TODAY()),MONTH(TODAY()),1))),12)=0,1,0),IF(Suppliers!E37="One-time",IF(13=0,1,0),1)))))),"")</f>
        <v/>
      </c>
      <c r="T39" s="10" t="str">
        <f ca="1">IFERROR(IF(OR(14&gt;=$B$1,Suppliers!A37="",NOT(ISNUMBER(Suppliers!D37)),Suppliers!L37="Expired",Suppliers!L37="Terminate"),"",Suppliers!D37*-1*IF(Suppliers!E37="Monthly",IF(AND(ISNUMBER(Suppliers!G37),(YEAR(EDATE(DATE(YEAR(TODAY()),MONTH(TODAY()),1),14))*12+MONTH(EDATE(DATE(YEAR(TODAY()),MONTH(TODAY()),1),14)))&gt;(YEAR(Suppliers!G37)*12+MONTH(Suppliers!G37))),"",1),IF(Suppliers!E37="Quarterly",IF(MOD((YEAR(EDATE(DATE(YEAR(TODAY()),MONTH(TODAY()),1),14))-YEAR(IF(ISNUMBER(Suppliers!F37),Suppliers!F37,DATE(YEAR(TODAY()),MONTH(TODAY()),1))))*12+MONTH(EDATE(DATE(YEAR(TODAY()),MONTH(TODAY()),1),14))-MONTH(IF(ISNUMBER(Suppliers!F37),Suppliers!F37,DATE(YEAR(TODAY()),MONTH(TODAY()),1))),3)=0,1,0),IF(Suppliers!E37="Semi-annual",IF(MOD((YEAR(EDATE(DATE(YEAR(TODAY()),MONTH(TODAY()),1),14))-YEAR(IF(ISNUMBER(Suppliers!F37),Suppliers!F37,DATE(YEAR(TODAY()),MONTH(TODAY()),1))))*12+MONTH(EDATE(DATE(YEAR(TODAY()),MONTH(TODAY()),1),14))-MONTH(IF(ISNUMBER(Suppliers!F37),Suppliers!F37,DATE(YEAR(TODAY()),MONTH(TODAY()),1))),6)=0,1,0),IF(Suppliers!E37="Annual",IF(MOD((YEAR(EDATE(DATE(YEAR(TODAY()),MONTH(TODAY()),1),14))-YEAR(IF(ISNUMBER(Suppliers!F37),Suppliers!F37,DATE(YEAR(TODAY()),MONTH(TODAY()),1))))*12+MONTH(EDATE(DATE(YEAR(TODAY()),MONTH(TODAY()),1),14))-MONTH(IF(ISNUMBER(Suppliers!F37),Suppliers!F37,DATE(YEAR(TODAY()),MONTH(TODAY()),1))),12)=0,1,0),IF(Suppliers!E37="One-time",IF(14=0,1,0),1)))))),"")</f>
        <v/>
      </c>
      <c r="U39" s="10" t="str">
        <f ca="1">IFERROR(IF(OR(15&gt;=$B$1,Suppliers!A37="",NOT(ISNUMBER(Suppliers!D37)),Suppliers!L37="Expired",Suppliers!L37="Terminate"),"",Suppliers!D37*-1*IF(Suppliers!E37="Monthly",IF(AND(ISNUMBER(Suppliers!G37),(YEAR(EDATE(DATE(YEAR(TODAY()),MONTH(TODAY()),1),15))*12+MONTH(EDATE(DATE(YEAR(TODAY()),MONTH(TODAY()),1),15)))&gt;(YEAR(Suppliers!G37)*12+MONTH(Suppliers!G37))),"",1),IF(Suppliers!E37="Quarterly",IF(MOD((YEAR(EDATE(DATE(YEAR(TODAY()),MONTH(TODAY()),1),15))-YEAR(IF(ISNUMBER(Suppliers!F37),Suppliers!F37,DATE(YEAR(TODAY()),MONTH(TODAY()),1))))*12+MONTH(EDATE(DATE(YEAR(TODAY()),MONTH(TODAY()),1),15))-MONTH(IF(ISNUMBER(Suppliers!F37),Suppliers!F37,DATE(YEAR(TODAY()),MONTH(TODAY()),1))),3)=0,1,0),IF(Suppliers!E37="Semi-annual",IF(MOD((YEAR(EDATE(DATE(YEAR(TODAY()),MONTH(TODAY()),1),15))-YEAR(IF(ISNUMBER(Suppliers!F37),Suppliers!F37,DATE(YEAR(TODAY()),MONTH(TODAY()),1))))*12+MONTH(EDATE(DATE(YEAR(TODAY()),MONTH(TODAY()),1),15))-MONTH(IF(ISNUMBER(Suppliers!F37),Suppliers!F37,DATE(YEAR(TODAY()),MONTH(TODAY()),1))),6)=0,1,0),IF(Suppliers!E37="Annual",IF(MOD((YEAR(EDATE(DATE(YEAR(TODAY()),MONTH(TODAY()),1),15))-YEAR(IF(ISNUMBER(Suppliers!F37),Suppliers!F37,DATE(YEAR(TODAY()),MONTH(TODAY()),1))))*12+MONTH(EDATE(DATE(YEAR(TODAY()),MONTH(TODAY()),1),15))-MONTH(IF(ISNUMBER(Suppliers!F37),Suppliers!F37,DATE(YEAR(TODAY()),MONTH(TODAY()),1))),12)=0,1,0),IF(Suppliers!E37="One-time",IF(15=0,1,0),1)))))),"")</f>
        <v/>
      </c>
      <c r="V39" s="10" t="str">
        <f ca="1">IFERROR(IF(OR(16&gt;=$B$1,Suppliers!A37="",NOT(ISNUMBER(Suppliers!D37)),Suppliers!L37="Expired",Suppliers!L37="Terminate"),"",Suppliers!D37*-1*IF(Suppliers!E37="Monthly",IF(AND(ISNUMBER(Suppliers!G37),(YEAR(EDATE(DATE(YEAR(TODAY()),MONTH(TODAY()),1),16))*12+MONTH(EDATE(DATE(YEAR(TODAY()),MONTH(TODAY()),1),16)))&gt;(YEAR(Suppliers!G37)*12+MONTH(Suppliers!G37))),"",1),IF(Suppliers!E37="Quarterly",IF(MOD((YEAR(EDATE(DATE(YEAR(TODAY()),MONTH(TODAY()),1),16))-YEAR(IF(ISNUMBER(Suppliers!F37),Suppliers!F37,DATE(YEAR(TODAY()),MONTH(TODAY()),1))))*12+MONTH(EDATE(DATE(YEAR(TODAY()),MONTH(TODAY()),1),16))-MONTH(IF(ISNUMBER(Suppliers!F37),Suppliers!F37,DATE(YEAR(TODAY()),MONTH(TODAY()),1))),3)=0,1,0),IF(Suppliers!E37="Semi-annual",IF(MOD((YEAR(EDATE(DATE(YEAR(TODAY()),MONTH(TODAY()),1),16))-YEAR(IF(ISNUMBER(Suppliers!F37),Suppliers!F37,DATE(YEAR(TODAY()),MONTH(TODAY()),1))))*12+MONTH(EDATE(DATE(YEAR(TODAY()),MONTH(TODAY()),1),16))-MONTH(IF(ISNUMBER(Suppliers!F37),Suppliers!F37,DATE(YEAR(TODAY()),MONTH(TODAY()),1))),6)=0,1,0),IF(Suppliers!E37="Annual",IF(MOD((YEAR(EDATE(DATE(YEAR(TODAY()),MONTH(TODAY()),1),16))-YEAR(IF(ISNUMBER(Suppliers!F37),Suppliers!F37,DATE(YEAR(TODAY()),MONTH(TODAY()),1))))*12+MONTH(EDATE(DATE(YEAR(TODAY()),MONTH(TODAY()),1),16))-MONTH(IF(ISNUMBER(Suppliers!F37),Suppliers!F37,DATE(YEAR(TODAY()),MONTH(TODAY()),1))),12)=0,1,0),IF(Suppliers!E37="One-time",IF(16=0,1,0),1)))))),"")</f>
        <v/>
      </c>
      <c r="W39" s="10" t="str">
        <f ca="1">IFERROR(IF(OR(17&gt;=$B$1,Suppliers!A37="",NOT(ISNUMBER(Suppliers!D37)),Suppliers!L37="Expired",Suppliers!L37="Terminate"),"",Suppliers!D37*-1*IF(Suppliers!E37="Monthly",IF(AND(ISNUMBER(Suppliers!G37),(YEAR(EDATE(DATE(YEAR(TODAY()),MONTH(TODAY()),1),17))*12+MONTH(EDATE(DATE(YEAR(TODAY()),MONTH(TODAY()),1),17)))&gt;(YEAR(Suppliers!G37)*12+MONTH(Suppliers!G37))),"",1),IF(Suppliers!E37="Quarterly",IF(MOD((YEAR(EDATE(DATE(YEAR(TODAY()),MONTH(TODAY()),1),17))-YEAR(IF(ISNUMBER(Suppliers!F37),Suppliers!F37,DATE(YEAR(TODAY()),MONTH(TODAY()),1))))*12+MONTH(EDATE(DATE(YEAR(TODAY()),MONTH(TODAY()),1),17))-MONTH(IF(ISNUMBER(Suppliers!F37),Suppliers!F37,DATE(YEAR(TODAY()),MONTH(TODAY()),1))),3)=0,1,0),IF(Suppliers!E37="Semi-annual",IF(MOD((YEAR(EDATE(DATE(YEAR(TODAY()),MONTH(TODAY()),1),17))-YEAR(IF(ISNUMBER(Suppliers!F37),Suppliers!F37,DATE(YEAR(TODAY()),MONTH(TODAY()),1))))*12+MONTH(EDATE(DATE(YEAR(TODAY()),MONTH(TODAY()),1),17))-MONTH(IF(ISNUMBER(Suppliers!F37),Suppliers!F37,DATE(YEAR(TODAY()),MONTH(TODAY()),1))),6)=0,1,0),IF(Suppliers!E37="Annual",IF(MOD((YEAR(EDATE(DATE(YEAR(TODAY()),MONTH(TODAY()),1),17))-YEAR(IF(ISNUMBER(Suppliers!F37),Suppliers!F37,DATE(YEAR(TODAY()),MONTH(TODAY()),1))))*12+MONTH(EDATE(DATE(YEAR(TODAY()),MONTH(TODAY()),1),17))-MONTH(IF(ISNUMBER(Suppliers!F37),Suppliers!F37,DATE(YEAR(TODAY()),MONTH(TODAY()),1))),12)=0,1,0),IF(Suppliers!E37="One-time",IF(17=0,1,0),1)))))),"")</f>
        <v/>
      </c>
      <c r="X39" s="10" t="str">
        <f ca="1">IFERROR(IF(OR(18&gt;=$B$1,Suppliers!A37="",NOT(ISNUMBER(Suppliers!D37)),Suppliers!L37="Expired",Suppliers!L37="Terminate"),"",Suppliers!D37*-1*IF(Suppliers!E37="Monthly",IF(AND(ISNUMBER(Suppliers!G37),(YEAR(EDATE(DATE(YEAR(TODAY()),MONTH(TODAY()),1),18))*12+MONTH(EDATE(DATE(YEAR(TODAY()),MONTH(TODAY()),1),18)))&gt;(YEAR(Suppliers!G37)*12+MONTH(Suppliers!G37))),"",1),IF(Suppliers!E37="Quarterly",IF(MOD((YEAR(EDATE(DATE(YEAR(TODAY()),MONTH(TODAY()),1),18))-YEAR(IF(ISNUMBER(Suppliers!F37),Suppliers!F37,DATE(YEAR(TODAY()),MONTH(TODAY()),1))))*12+MONTH(EDATE(DATE(YEAR(TODAY()),MONTH(TODAY()),1),18))-MONTH(IF(ISNUMBER(Suppliers!F37),Suppliers!F37,DATE(YEAR(TODAY()),MONTH(TODAY()),1))),3)=0,1,0),IF(Suppliers!E37="Semi-annual",IF(MOD((YEAR(EDATE(DATE(YEAR(TODAY()),MONTH(TODAY()),1),18))-YEAR(IF(ISNUMBER(Suppliers!F37),Suppliers!F37,DATE(YEAR(TODAY()),MONTH(TODAY()),1))))*12+MONTH(EDATE(DATE(YEAR(TODAY()),MONTH(TODAY()),1),18))-MONTH(IF(ISNUMBER(Suppliers!F37),Suppliers!F37,DATE(YEAR(TODAY()),MONTH(TODAY()),1))),6)=0,1,0),IF(Suppliers!E37="Annual",IF(MOD((YEAR(EDATE(DATE(YEAR(TODAY()),MONTH(TODAY()),1),18))-YEAR(IF(ISNUMBER(Suppliers!F37),Suppliers!F37,DATE(YEAR(TODAY()),MONTH(TODAY()),1))))*12+MONTH(EDATE(DATE(YEAR(TODAY()),MONTH(TODAY()),1),18))-MONTH(IF(ISNUMBER(Suppliers!F37),Suppliers!F37,DATE(YEAR(TODAY()),MONTH(TODAY()),1))),12)=0,1,0),IF(Suppliers!E37="One-time",IF(18=0,1,0),1)))))),"")</f>
        <v/>
      </c>
      <c r="Y39" s="10" t="str">
        <f ca="1">IFERROR(IF(OR(19&gt;=$B$1,Suppliers!A37="",NOT(ISNUMBER(Suppliers!D37)),Suppliers!L37="Expired",Suppliers!L37="Terminate"),"",Suppliers!D37*-1*IF(Suppliers!E37="Monthly",IF(AND(ISNUMBER(Suppliers!G37),(YEAR(EDATE(DATE(YEAR(TODAY()),MONTH(TODAY()),1),19))*12+MONTH(EDATE(DATE(YEAR(TODAY()),MONTH(TODAY()),1),19)))&gt;(YEAR(Suppliers!G37)*12+MONTH(Suppliers!G37))),"",1),IF(Suppliers!E37="Quarterly",IF(MOD((YEAR(EDATE(DATE(YEAR(TODAY()),MONTH(TODAY()),1),19))-YEAR(IF(ISNUMBER(Suppliers!F37),Suppliers!F37,DATE(YEAR(TODAY()),MONTH(TODAY()),1))))*12+MONTH(EDATE(DATE(YEAR(TODAY()),MONTH(TODAY()),1),19))-MONTH(IF(ISNUMBER(Suppliers!F37),Suppliers!F37,DATE(YEAR(TODAY()),MONTH(TODAY()),1))),3)=0,1,0),IF(Suppliers!E37="Semi-annual",IF(MOD((YEAR(EDATE(DATE(YEAR(TODAY()),MONTH(TODAY()),1),19))-YEAR(IF(ISNUMBER(Suppliers!F37),Suppliers!F37,DATE(YEAR(TODAY()),MONTH(TODAY()),1))))*12+MONTH(EDATE(DATE(YEAR(TODAY()),MONTH(TODAY()),1),19))-MONTH(IF(ISNUMBER(Suppliers!F37),Suppliers!F37,DATE(YEAR(TODAY()),MONTH(TODAY()),1))),6)=0,1,0),IF(Suppliers!E37="Annual",IF(MOD((YEAR(EDATE(DATE(YEAR(TODAY()),MONTH(TODAY()),1),19))-YEAR(IF(ISNUMBER(Suppliers!F37),Suppliers!F37,DATE(YEAR(TODAY()),MONTH(TODAY()),1))))*12+MONTH(EDATE(DATE(YEAR(TODAY()),MONTH(TODAY()),1),19))-MONTH(IF(ISNUMBER(Suppliers!F37),Suppliers!F37,DATE(YEAR(TODAY()),MONTH(TODAY()),1))),12)=0,1,0),IF(Suppliers!E37="One-time",IF(19=0,1,0),1)))))),"")</f>
        <v/>
      </c>
      <c r="Z39" s="10" t="str">
        <f ca="1">IFERROR(IF(OR(20&gt;=$B$1,Suppliers!A37="",NOT(ISNUMBER(Suppliers!D37)),Suppliers!L37="Expired",Suppliers!L37="Terminate"),"",Suppliers!D37*-1*IF(Suppliers!E37="Monthly",IF(AND(ISNUMBER(Suppliers!G37),(YEAR(EDATE(DATE(YEAR(TODAY()),MONTH(TODAY()),1),20))*12+MONTH(EDATE(DATE(YEAR(TODAY()),MONTH(TODAY()),1),20)))&gt;(YEAR(Suppliers!G37)*12+MONTH(Suppliers!G37))),"",1),IF(Suppliers!E37="Quarterly",IF(MOD((YEAR(EDATE(DATE(YEAR(TODAY()),MONTH(TODAY()),1),20))-YEAR(IF(ISNUMBER(Suppliers!F37),Suppliers!F37,DATE(YEAR(TODAY()),MONTH(TODAY()),1))))*12+MONTH(EDATE(DATE(YEAR(TODAY()),MONTH(TODAY()),1),20))-MONTH(IF(ISNUMBER(Suppliers!F37),Suppliers!F37,DATE(YEAR(TODAY()),MONTH(TODAY()),1))),3)=0,1,0),IF(Suppliers!E37="Semi-annual",IF(MOD((YEAR(EDATE(DATE(YEAR(TODAY()),MONTH(TODAY()),1),20))-YEAR(IF(ISNUMBER(Suppliers!F37),Suppliers!F37,DATE(YEAR(TODAY()),MONTH(TODAY()),1))))*12+MONTH(EDATE(DATE(YEAR(TODAY()),MONTH(TODAY()),1),20))-MONTH(IF(ISNUMBER(Suppliers!F37),Suppliers!F37,DATE(YEAR(TODAY()),MONTH(TODAY()),1))),6)=0,1,0),IF(Suppliers!E37="Annual",IF(MOD((YEAR(EDATE(DATE(YEAR(TODAY()),MONTH(TODAY()),1),20))-YEAR(IF(ISNUMBER(Suppliers!F37),Suppliers!F37,DATE(YEAR(TODAY()),MONTH(TODAY()),1))))*12+MONTH(EDATE(DATE(YEAR(TODAY()),MONTH(TODAY()),1),20))-MONTH(IF(ISNUMBER(Suppliers!F37),Suppliers!F37,DATE(YEAR(TODAY()),MONTH(TODAY()),1))),12)=0,1,0),IF(Suppliers!E37="One-time",IF(20=0,1,0),1)))))),"")</f>
        <v/>
      </c>
      <c r="AA39" s="10" t="str">
        <f ca="1">IFERROR(IF(OR(21&gt;=$B$1,Suppliers!A37="",NOT(ISNUMBER(Suppliers!D37)),Suppliers!L37="Expired",Suppliers!L37="Terminate"),"",Suppliers!D37*-1*IF(Suppliers!E37="Monthly",IF(AND(ISNUMBER(Suppliers!G37),(YEAR(EDATE(DATE(YEAR(TODAY()),MONTH(TODAY()),1),21))*12+MONTH(EDATE(DATE(YEAR(TODAY()),MONTH(TODAY()),1),21)))&gt;(YEAR(Suppliers!G37)*12+MONTH(Suppliers!G37))),"",1),IF(Suppliers!E37="Quarterly",IF(MOD((YEAR(EDATE(DATE(YEAR(TODAY()),MONTH(TODAY()),1),21))-YEAR(IF(ISNUMBER(Suppliers!F37),Suppliers!F37,DATE(YEAR(TODAY()),MONTH(TODAY()),1))))*12+MONTH(EDATE(DATE(YEAR(TODAY()),MONTH(TODAY()),1),21))-MONTH(IF(ISNUMBER(Suppliers!F37),Suppliers!F37,DATE(YEAR(TODAY()),MONTH(TODAY()),1))),3)=0,1,0),IF(Suppliers!E37="Semi-annual",IF(MOD((YEAR(EDATE(DATE(YEAR(TODAY()),MONTH(TODAY()),1),21))-YEAR(IF(ISNUMBER(Suppliers!F37),Suppliers!F37,DATE(YEAR(TODAY()),MONTH(TODAY()),1))))*12+MONTH(EDATE(DATE(YEAR(TODAY()),MONTH(TODAY()),1),21))-MONTH(IF(ISNUMBER(Suppliers!F37),Suppliers!F37,DATE(YEAR(TODAY()),MONTH(TODAY()),1))),6)=0,1,0),IF(Suppliers!E37="Annual",IF(MOD((YEAR(EDATE(DATE(YEAR(TODAY()),MONTH(TODAY()),1),21))-YEAR(IF(ISNUMBER(Suppliers!F37),Suppliers!F37,DATE(YEAR(TODAY()),MONTH(TODAY()),1))))*12+MONTH(EDATE(DATE(YEAR(TODAY()),MONTH(TODAY()),1),21))-MONTH(IF(ISNUMBER(Suppliers!F37),Suppliers!F37,DATE(YEAR(TODAY()),MONTH(TODAY()),1))),12)=0,1,0),IF(Suppliers!E37="One-time",IF(21=0,1,0),1)))))),"")</f>
        <v/>
      </c>
      <c r="AB39" s="10" t="str">
        <f ca="1">IFERROR(IF(OR(22&gt;=$B$1,Suppliers!A37="",NOT(ISNUMBER(Suppliers!D37)),Suppliers!L37="Expired",Suppliers!L37="Terminate"),"",Suppliers!D37*-1*IF(Suppliers!E37="Monthly",IF(AND(ISNUMBER(Suppliers!G37),(YEAR(EDATE(DATE(YEAR(TODAY()),MONTH(TODAY()),1),22))*12+MONTH(EDATE(DATE(YEAR(TODAY()),MONTH(TODAY()),1),22)))&gt;(YEAR(Suppliers!G37)*12+MONTH(Suppliers!G37))),"",1),IF(Suppliers!E37="Quarterly",IF(MOD((YEAR(EDATE(DATE(YEAR(TODAY()),MONTH(TODAY()),1),22))-YEAR(IF(ISNUMBER(Suppliers!F37),Suppliers!F37,DATE(YEAR(TODAY()),MONTH(TODAY()),1))))*12+MONTH(EDATE(DATE(YEAR(TODAY()),MONTH(TODAY()),1),22))-MONTH(IF(ISNUMBER(Suppliers!F37),Suppliers!F37,DATE(YEAR(TODAY()),MONTH(TODAY()),1))),3)=0,1,0),IF(Suppliers!E37="Semi-annual",IF(MOD((YEAR(EDATE(DATE(YEAR(TODAY()),MONTH(TODAY()),1),22))-YEAR(IF(ISNUMBER(Suppliers!F37),Suppliers!F37,DATE(YEAR(TODAY()),MONTH(TODAY()),1))))*12+MONTH(EDATE(DATE(YEAR(TODAY()),MONTH(TODAY()),1),22))-MONTH(IF(ISNUMBER(Suppliers!F37),Suppliers!F37,DATE(YEAR(TODAY()),MONTH(TODAY()),1))),6)=0,1,0),IF(Suppliers!E37="Annual",IF(MOD((YEAR(EDATE(DATE(YEAR(TODAY()),MONTH(TODAY()),1),22))-YEAR(IF(ISNUMBER(Suppliers!F37),Suppliers!F37,DATE(YEAR(TODAY()),MONTH(TODAY()),1))))*12+MONTH(EDATE(DATE(YEAR(TODAY()),MONTH(TODAY()),1),22))-MONTH(IF(ISNUMBER(Suppliers!F37),Suppliers!F37,DATE(YEAR(TODAY()),MONTH(TODAY()),1))),12)=0,1,0),IF(Suppliers!E37="One-time",IF(22=0,1,0),1)))))),"")</f>
        <v/>
      </c>
      <c r="AC39" s="10" t="str">
        <f ca="1">IFERROR(IF(OR(23&gt;=$B$1,Suppliers!A37="",NOT(ISNUMBER(Suppliers!D37)),Suppliers!L37="Expired",Suppliers!L37="Terminate"),"",Suppliers!D37*-1*IF(Suppliers!E37="Monthly",IF(AND(ISNUMBER(Suppliers!G37),(YEAR(EDATE(DATE(YEAR(TODAY()),MONTH(TODAY()),1),23))*12+MONTH(EDATE(DATE(YEAR(TODAY()),MONTH(TODAY()),1),23)))&gt;(YEAR(Suppliers!G37)*12+MONTH(Suppliers!G37))),"",1),IF(Suppliers!E37="Quarterly",IF(MOD((YEAR(EDATE(DATE(YEAR(TODAY()),MONTH(TODAY()),1),23))-YEAR(IF(ISNUMBER(Suppliers!F37),Suppliers!F37,DATE(YEAR(TODAY()),MONTH(TODAY()),1))))*12+MONTH(EDATE(DATE(YEAR(TODAY()),MONTH(TODAY()),1),23))-MONTH(IF(ISNUMBER(Suppliers!F37),Suppliers!F37,DATE(YEAR(TODAY()),MONTH(TODAY()),1))),3)=0,1,0),IF(Suppliers!E37="Semi-annual",IF(MOD((YEAR(EDATE(DATE(YEAR(TODAY()),MONTH(TODAY()),1),23))-YEAR(IF(ISNUMBER(Suppliers!F37),Suppliers!F37,DATE(YEAR(TODAY()),MONTH(TODAY()),1))))*12+MONTH(EDATE(DATE(YEAR(TODAY()),MONTH(TODAY()),1),23))-MONTH(IF(ISNUMBER(Suppliers!F37),Suppliers!F37,DATE(YEAR(TODAY()),MONTH(TODAY()),1))),6)=0,1,0),IF(Suppliers!E37="Annual",IF(MOD((YEAR(EDATE(DATE(YEAR(TODAY()),MONTH(TODAY()),1),23))-YEAR(IF(ISNUMBER(Suppliers!F37),Suppliers!F37,DATE(YEAR(TODAY()),MONTH(TODAY()),1))))*12+MONTH(EDATE(DATE(YEAR(TODAY()),MONTH(TODAY()),1),23))-MONTH(IF(ISNUMBER(Suppliers!F37),Suppliers!F37,DATE(YEAR(TODAY()),MONTH(TODAY()),1))),12)=0,1,0),IF(Suppliers!E37="One-time",IF(23=0,1,0),1)))))),"")</f>
        <v/>
      </c>
    </row>
    <row r="40" spans="1:29" ht="15" customHeight="1" x14ac:dyDescent="0.35">
      <c r="A40" s="4" t="s">
        <v>80</v>
      </c>
      <c r="B40" s="4" t="str">
        <f>IF(Suppliers!A38="","",Suppliers!A38)</f>
        <v/>
      </c>
      <c r="C40" s="10" t="str">
        <f>IF(Suppliers!C38="","",Suppliers!C38)</f>
        <v/>
      </c>
      <c r="D40" s="10" t="str">
        <f>IF(Suppliers!D38="","",Suppliers!D38)</f>
        <v/>
      </c>
      <c r="E40" s="4" t="str">
        <f>IF(Suppliers!E38="","",Suppliers!E38)</f>
        <v/>
      </c>
      <c r="F40" s="10" t="str">
        <f ca="1">IFERROR(IF(OR(0&gt;=$B$1,Suppliers!A38="",NOT(ISNUMBER(Suppliers!D38)),Suppliers!L38="Expired",Suppliers!L38="Terminate"),"",Suppliers!D38*-1*IF(Suppliers!E38="Monthly",IF(AND(ISNUMBER(Suppliers!G38),(YEAR(EDATE(DATE(YEAR(TODAY()),MONTH(TODAY()),1),0))*12+MONTH(EDATE(DATE(YEAR(TODAY()),MONTH(TODAY()),1),0)))&gt;(YEAR(Suppliers!G38)*12+MONTH(Suppliers!G38))),"",1),IF(Suppliers!E38="Quarterly",IF(MOD((YEAR(EDATE(DATE(YEAR(TODAY()),MONTH(TODAY()),1),0))-YEAR(IF(ISNUMBER(Suppliers!F38),Suppliers!F38,DATE(YEAR(TODAY()),MONTH(TODAY()),1))))*12+MONTH(EDATE(DATE(YEAR(TODAY()),MONTH(TODAY()),1),0))-MONTH(IF(ISNUMBER(Suppliers!F38),Suppliers!F38,DATE(YEAR(TODAY()),MONTH(TODAY()),1))),3)=0,1,0),IF(Suppliers!E38="Semi-annual",IF(MOD((YEAR(EDATE(DATE(YEAR(TODAY()),MONTH(TODAY()),1),0))-YEAR(IF(ISNUMBER(Suppliers!F38),Suppliers!F38,DATE(YEAR(TODAY()),MONTH(TODAY()),1))))*12+MONTH(EDATE(DATE(YEAR(TODAY()),MONTH(TODAY()),1),0))-MONTH(IF(ISNUMBER(Suppliers!F38),Suppliers!F38,DATE(YEAR(TODAY()),MONTH(TODAY()),1))),6)=0,1,0),IF(Suppliers!E38="Annual",IF(MOD((YEAR(EDATE(DATE(YEAR(TODAY()),MONTH(TODAY()),1),0))-YEAR(IF(ISNUMBER(Suppliers!F38),Suppliers!F38,DATE(YEAR(TODAY()),MONTH(TODAY()),1))))*12+MONTH(EDATE(DATE(YEAR(TODAY()),MONTH(TODAY()),1),0))-MONTH(IF(ISNUMBER(Suppliers!F38),Suppliers!F38,DATE(YEAR(TODAY()),MONTH(TODAY()),1))),12)=0,1,0),IF(Suppliers!E38="One-time",IF(0=0,1,0),1)))))),"")</f>
        <v/>
      </c>
      <c r="G40" s="10" t="str">
        <f ca="1">IFERROR(IF(OR(1&gt;=$B$1,Suppliers!A38="",NOT(ISNUMBER(Suppliers!D38)),Suppliers!L38="Expired",Suppliers!L38="Terminate"),"",Suppliers!D38*-1*IF(Suppliers!E38="Monthly",IF(AND(ISNUMBER(Suppliers!G38),(YEAR(EDATE(DATE(YEAR(TODAY()),MONTH(TODAY()),1),1))*12+MONTH(EDATE(DATE(YEAR(TODAY()),MONTH(TODAY()),1),1)))&gt;(YEAR(Suppliers!G38)*12+MONTH(Suppliers!G38))),"",1),IF(Suppliers!E38="Quarterly",IF(MOD((YEAR(EDATE(DATE(YEAR(TODAY()),MONTH(TODAY()),1),1))-YEAR(IF(ISNUMBER(Suppliers!F38),Suppliers!F38,DATE(YEAR(TODAY()),MONTH(TODAY()),1))))*12+MONTH(EDATE(DATE(YEAR(TODAY()),MONTH(TODAY()),1),1))-MONTH(IF(ISNUMBER(Suppliers!F38),Suppliers!F38,DATE(YEAR(TODAY()),MONTH(TODAY()),1))),3)=0,1,0),IF(Suppliers!E38="Semi-annual",IF(MOD((YEAR(EDATE(DATE(YEAR(TODAY()),MONTH(TODAY()),1),1))-YEAR(IF(ISNUMBER(Suppliers!F38),Suppliers!F38,DATE(YEAR(TODAY()),MONTH(TODAY()),1))))*12+MONTH(EDATE(DATE(YEAR(TODAY()),MONTH(TODAY()),1),1))-MONTH(IF(ISNUMBER(Suppliers!F38),Suppliers!F38,DATE(YEAR(TODAY()),MONTH(TODAY()),1))),6)=0,1,0),IF(Suppliers!E38="Annual",IF(MOD((YEAR(EDATE(DATE(YEAR(TODAY()),MONTH(TODAY()),1),1))-YEAR(IF(ISNUMBER(Suppliers!F38),Suppliers!F38,DATE(YEAR(TODAY()),MONTH(TODAY()),1))))*12+MONTH(EDATE(DATE(YEAR(TODAY()),MONTH(TODAY()),1),1))-MONTH(IF(ISNUMBER(Suppliers!F38),Suppliers!F38,DATE(YEAR(TODAY()),MONTH(TODAY()),1))),12)=0,1,0),IF(Suppliers!E38="One-time",IF(1=0,1,0),1)))))),"")</f>
        <v/>
      </c>
      <c r="H40" s="10" t="str">
        <f ca="1">IFERROR(IF(OR(2&gt;=$B$1,Suppliers!A38="",NOT(ISNUMBER(Suppliers!D38)),Suppliers!L38="Expired",Suppliers!L38="Terminate"),"",Suppliers!D38*-1*IF(Suppliers!E38="Monthly",IF(AND(ISNUMBER(Suppliers!G38),(YEAR(EDATE(DATE(YEAR(TODAY()),MONTH(TODAY()),1),2))*12+MONTH(EDATE(DATE(YEAR(TODAY()),MONTH(TODAY()),1),2)))&gt;(YEAR(Suppliers!G38)*12+MONTH(Suppliers!G38))),"",1),IF(Suppliers!E38="Quarterly",IF(MOD((YEAR(EDATE(DATE(YEAR(TODAY()),MONTH(TODAY()),1),2))-YEAR(IF(ISNUMBER(Suppliers!F38),Suppliers!F38,DATE(YEAR(TODAY()),MONTH(TODAY()),1))))*12+MONTH(EDATE(DATE(YEAR(TODAY()),MONTH(TODAY()),1),2))-MONTH(IF(ISNUMBER(Suppliers!F38),Suppliers!F38,DATE(YEAR(TODAY()),MONTH(TODAY()),1))),3)=0,1,0),IF(Suppliers!E38="Semi-annual",IF(MOD((YEAR(EDATE(DATE(YEAR(TODAY()),MONTH(TODAY()),1),2))-YEAR(IF(ISNUMBER(Suppliers!F38),Suppliers!F38,DATE(YEAR(TODAY()),MONTH(TODAY()),1))))*12+MONTH(EDATE(DATE(YEAR(TODAY()),MONTH(TODAY()),1),2))-MONTH(IF(ISNUMBER(Suppliers!F38),Suppliers!F38,DATE(YEAR(TODAY()),MONTH(TODAY()),1))),6)=0,1,0),IF(Suppliers!E38="Annual",IF(MOD((YEAR(EDATE(DATE(YEAR(TODAY()),MONTH(TODAY()),1),2))-YEAR(IF(ISNUMBER(Suppliers!F38),Suppliers!F38,DATE(YEAR(TODAY()),MONTH(TODAY()),1))))*12+MONTH(EDATE(DATE(YEAR(TODAY()),MONTH(TODAY()),1),2))-MONTH(IF(ISNUMBER(Suppliers!F38),Suppliers!F38,DATE(YEAR(TODAY()),MONTH(TODAY()),1))),12)=0,1,0),IF(Suppliers!E38="One-time",IF(2=0,1,0),1)))))),"")</f>
        <v/>
      </c>
      <c r="I40" s="10" t="str">
        <f ca="1">IFERROR(IF(OR(3&gt;=$B$1,Suppliers!A38="",NOT(ISNUMBER(Suppliers!D38)),Suppliers!L38="Expired",Suppliers!L38="Terminate"),"",Suppliers!D38*-1*IF(Suppliers!E38="Monthly",IF(AND(ISNUMBER(Suppliers!G38),(YEAR(EDATE(DATE(YEAR(TODAY()),MONTH(TODAY()),1),3))*12+MONTH(EDATE(DATE(YEAR(TODAY()),MONTH(TODAY()),1),3)))&gt;(YEAR(Suppliers!G38)*12+MONTH(Suppliers!G38))),"",1),IF(Suppliers!E38="Quarterly",IF(MOD((YEAR(EDATE(DATE(YEAR(TODAY()),MONTH(TODAY()),1),3))-YEAR(IF(ISNUMBER(Suppliers!F38),Suppliers!F38,DATE(YEAR(TODAY()),MONTH(TODAY()),1))))*12+MONTH(EDATE(DATE(YEAR(TODAY()),MONTH(TODAY()),1),3))-MONTH(IF(ISNUMBER(Suppliers!F38),Suppliers!F38,DATE(YEAR(TODAY()),MONTH(TODAY()),1))),3)=0,1,0),IF(Suppliers!E38="Semi-annual",IF(MOD((YEAR(EDATE(DATE(YEAR(TODAY()),MONTH(TODAY()),1),3))-YEAR(IF(ISNUMBER(Suppliers!F38),Suppliers!F38,DATE(YEAR(TODAY()),MONTH(TODAY()),1))))*12+MONTH(EDATE(DATE(YEAR(TODAY()),MONTH(TODAY()),1),3))-MONTH(IF(ISNUMBER(Suppliers!F38),Suppliers!F38,DATE(YEAR(TODAY()),MONTH(TODAY()),1))),6)=0,1,0),IF(Suppliers!E38="Annual",IF(MOD((YEAR(EDATE(DATE(YEAR(TODAY()),MONTH(TODAY()),1),3))-YEAR(IF(ISNUMBER(Suppliers!F38),Suppliers!F38,DATE(YEAR(TODAY()),MONTH(TODAY()),1))))*12+MONTH(EDATE(DATE(YEAR(TODAY()),MONTH(TODAY()),1),3))-MONTH(IF(ISNUMBER(Suppliers!F38),Suppliers!F38,DATE(YEAR(TODAY()),MONTH(TODAY()),1))),12)=0,1,0),IF(Suppliers!E38="One-time",IF(3=0,1,0),1)))))),"")</f>
        <v/>
      </c>
      <c r="J40" s="10" t="str">
        <f ca="1">IFERROR(IF(OR(4&gt;=$B$1,Suppliers!A38="",NOT(ISNUMBER(Suppliers!D38)),Suppliers!L38="Expired",Suppliers!L38="Terminate"),"",Suppliers!D38*-1*IF(Suppliers!E38="Monthly",IF(AND(ISNUMBER(Suppliers!G38),(YEAR(EDATE(DATE(YEAR(TODAY()),MONTH(TODAY()),1),4))*12+MONTH(EDATE(DATE(YEAR(TODAY()),MONTH(TODAY()),1),4)))&gt;(YEAR(Suppliers!G38)*12+MONTH(Suppliers!G38))),"",1),IF(Suppliers!E38="Quarterly",IF(MOD((YEAR(EDATE(DATE(YEAR(TODAY()),MONTH(TODAY()),1),4))-YEAR(IF(ISNUMBER(Suppliers!F38),Suppliers!F38,DATE(YEAR(TODAY()),MONTH(TODAY()),1))))*12+MONTH(EDATE(DATE(YEAR(TODAY()),MONTH(TODAY()),1),4))-MONTH(IF(ISNUMBER(Suppliers!F38),Suppliers!F38,DATE(YEAR(TODAY()),MONTH(TODAY()),1))),3)=0,1,0),IF(Suppliers!E38="Semi-annual",IF(MOD((YEAR(EDATE(DATE(YEAR(TODAY()),MONTH(TODAY()),1),4))-YEAR(IF(ISNUMBER(Suppliers!F38),Suppliers!F38,DATE(YEAR(TODAY()),MONTH(TODAY()),1))))*12+MONTH(EDATE(DATE(YEAR(TODAY()),MONTH(TODAY()),1),4))-MONTH(IF(ISNUMBER(Suppliers!F38),Suppliers!F38,DATE(YEAR(TODAY()),MONTH(TODAY()),1))),6)=0,1,0),IF(Suppliers!E38="Annual",IF(MOD((YEAR(EDATE(DATE(YEAR(TODAY()),MONTH(TODAY()),1),4))-YEAR(IF(ISNUMBER(Suppliers!F38),Suppliers!F38,DATE(YEAR(TODAY()),MONTH(TODAY()),1))))*12+MONTH(EDATE(DATE(YEAR(TODAY()),MONTH(TODAY()),1),4))-MONTH(IF(ISNUMBER(Suppliers!F38),Suppliers!F38,DATE(YEAR(TODAY()),MONTH(TODAY()),1))),12)=0,1,0),IF(Suppliers!E38="One-time",IF(4=0,1,0),1)))))),"")</f>
        <v/>
      </c>
      <c r="K40" s="10" t="str">
        <f ca="1">IFERROR(IF(OR(5&gt;=$B$1,Suppliers!A38="",NOT(ISNUMBER(Suppliers!D38)),Suppliers!L38="Expired",Suppliers!L38="Terminate"),"",Suppliers!D38*-1*IF(Suppliers!E38="Monthly",IF(AND(ISNUMBER(Suppliers!G38),(YEAR(EDATE(DATE(YEAR(TODAY()),MONTH(TODAY()),1),5))*12+MONTH(EDATE(DATE(YEAR(TODAY()),MONTH(TODAY()),1),5)))&gt;(YEAR(Suppliers!G38)*12+MONTH(Suppliers!G38))),"",1),IF(Suppliers!E38="Quarterly",IF(MOD((YEAR(EDATE(DATE(YEAR(TODAY()),MONTH(TODAY()),1),5))-YEAR(IF(ISNUMBER(Suppliers!F38),Suppliers!F38,DATE(YEAR(TODAY()),MONTH(TODAY()),1))))*12+MONTH(EDATE(DATE(YEAR(TODAY()),MONTH(TODAY()),1),5))-MONTH(IF(ISNUMBER(Suppliers!F38),Suppliers!F38,DATE(YEAR(TODAY()),MONTH(TODAY()),1))),3)=0,1,0),IF(Suppliers!E38="Semi-annual",IF(MOD((YEAR(EDATE(DATE(YEAR(TODAY()),MONTH(TODAY()),1),5))-YEAR(IF(ISNUMBER(Suppliers!F38),Suppliers!F38,DATE(YEAR(TODAY()),MONTH(TODAY()),1))))*12+MONTH(EDATE(DATE(YEAR(TODAY()),MONTH(TODAY()),1),5))-MONTH(IF(ISNUMBER(Suppliers!F38),Suppliers!F38,DATE(YEAR(TODAY()),MONTH(TODAY()),1))),6)=0,1,0),IF(Suppliers!E38="Annual",IF(MOD((YEAR(EDATE(DATE(YEAR(TODAY()),MONTH(TODAY()),1),5))-YEAR(IF(ISNUMBER(Suppliers!F38),Suppliers!F38,DATE(YEAR(TODAY()),MONTH(TODAY()),1))))*12+MONTH(EDATE(DATE(YEAR(TODAY()),MONTH(TODAY()),1),5))-MONTH(IF(ISNUMBER(Suppliers!F38),Suppliers!F38,DATE(YEAR(TODAY()),MONTH(TODAY()),1))),12)=0,1,0),IF(Suppliers!E38="One-time",IF(5=0,1,0),1)))))),"")</f>
        <v/>
      </c>
      <c r="L40" s="10" t="str">
        <f ca="1">IFERROR(IF(OR(6&gt;=$B$1,Suppliers!A38="",NOT(ISNUMBER(Suppliers!D38)),Suppliers!L38="Expired",Suppliers!L38="Terminate"),"",Suppliers!D38*-1*IF(Suppliers!E38="Monthly",IF(AND(ISNUMBER(Suppliers!G38),(YEAR(EDATE(DATE(YEAR(TODAY()),MONTH(TODAY()),1),6))*12+MONTH(EDATE(DATE(YEAR(TODAY()),MONTH(TODAY()),1),6)))&gt;(YEAR(Suppliers!G38)*12+MONTH(Suppliers!G38))),"",1),IF(Suppliers!E38="Quarterly",IF(MOD((YEAR(EDATE(DATE(YEAR(TODAY()),MONTH(TODAY()),1),6))-YEAR(IF(ISNUMBER(Suppliers!F38),Suppliers!F38,DATE(YEAR(TODAY()),MONTH(TODAY()),1))))*12+MONTH(EDATE(DATE(YEAR(TODAY()),MONTH(TODAY()),1),6))-MONTH(IF(ISNUMBER(Suppliers!F38),Suppliers!F38,DATE(YEAR(TODAY()),MONTH(TODAY()),1))),3)=0,1,0),IF(Suppliers!E38="Semi-annual",IF(MOD((YEAR(EDATE(DATE(YEAR(TODAY()),MONTH(TODAY()),1),6))-YEAR(IF(ISNUMBER(Suppliers!F38),Suppliers!F38,DATE(YEAR(TODAY()),MONTH(TODAY()),1))))*12+MONTH(EDATE(DATE(YEAR(TODAY()),MONTH(TODAY()),1),6))-MONTH(IF(ISNUMBER(Suppliers!F38),Suppliers!F38,DATE(YEAR(TODAY()),MONTH(TODAY()),1))),6)=0,1,0),IF(Suppliers!E38="Annual",IF(MOD((YEAR(EDATE(DATE(YEAR(TODAY()),MONTH(TODAY()),1),6))-YEAR(IF(ISNUMBER(Suppliers!F38),Suppliers!F38,DATE(YEAR(TODAY()),MONTH(TODAY()),1))))*12+MONTH(EDATE(DATE(YEAR(TODAY()),MONTH(TODAY()),1),6))-MONTH(IF(ISNUMBER(Suppliers!F38),Suppliers!F38,DATE(YEAR(TODAY()),MONTH(TODAY()),1))),12)=0,1,0),IF(Suppliers!E38="One-time",IF(6=0,1,0),1)))))),"")</f>
        <v/>
      </c>
      <c r="M40" s="10" t="str">
        <f ca="1">IFERROR(IF(OR(7&gt;=$B$1,Suppliers!A38="",NOT(ISNUMBER(Suppliers!D38)),Suppliers!L38="Expired",Suppliers!L38="Terminate"),"",Suppliers!D38*-1*IF(Suppliers!E38="Monthly",IF(AND(ISNUMBER(Suppliers!G38),(YEAR(EDATE(DATE(YEAR(TODAY()),MONTH(TODAY()),1),7))*12+MONTH(EDATE(DATE(YEAR(TODAY()),MONTH(TODAY()),1),7)))&gt;(YEAR(Suppliers!G38)*12+MONTH(Suppliers!G38))),"",1),IF(Suppliers!E38="Quarterly",IF(MOD((YEAR(EDATE(DATE(YEAR(TODAY()),MONTH(TODAY()),1),7))-YEAR(IF(ISNUMBER(Suppliers!F38),Suppliers!F38,DATE(YEAR(TODAY()),MONTH(TODAY()),1))))*12+MONTH(EDATE(DATE(YEAR(TODAY()),MONTH(TODAY()),1),7))-MONTH(IF(ISNUMBER(Suppliers!F38),Suppliers!F38,DATE(YEAR(TODAY()),MONTH(TODAY()),1))),3)=0,1,0),IF(Suppliers!E38="Semi-annual",IF(MOD((YEAR(EDATE(DATE(YEAR(TODAY()),MONTH(TODAY()),1),7))-YEAR(IF(ISNUMBER(Suppliers!F38),Suppliers!F38,DATE(YEAR(TODAY()),MONTH(TODAY()),1))))*12+MONTH(EDATE(DATE(YEAR(TODAY()),MONTH(TODAY()),1),7))-MONTH(IF(ISNUMBER(Suppliers!F38),Suppliers!F38,DATE(YEAR(TODAY()),MONTH(TODAY()),1))),6)=0,1,0),IF(Suppliers!E38="Annual",IF(MOD((YEAR(EDATE(DATE(YEAR(TODAY()),MONTH(TODAY()),1),7))-YEAR(IF(ISNUMBER(Suppliers!F38),Suppliers!F38,DATE(YEAR(TODAY()),MONTH(TODAY()),1))))*12+MONTH(EDATE(DATE(YEAR(TODAY()),MONTH(TODAY()),1),7))-MONTH(IF(ISNUMBER(Suppliers!F38),Suppliers!F38,DATE(YEAR(TODAY()),MONTH(TODAY()),1))),12)=0,1,0),IF(Suppliers!E38="One-time",IF(7=0,1,0),1)))))),"")</f>
        <v/>
      </c>
      <c r="N40" s="10" t="str">
        <f ca="1">IFERROR(IF(OR(8&gt;=$B$1,Suppliers!A38="",NOT(ISNUMBER(Suppliers!D38)),Suppliers!L38="Expired",Suppliers!L38="Terminate"),"",Suppliers!D38*-1*IF(Suppliers!E38="Monthly",IF(AND(ISNUMBER(Suppliers!G38),(YEAR(EDATE(DATE(YEAR(TODAY()),MONTH(TODAY()),1),8))*12+MONTH(EDATE(DATE(YEAR(TODAY()),MONTH(TODAY()),1),8)))&gt;(YEAR(Suppliers!G38)*12+MONTH(Suppliers!G38))),"",1),IF(Suppliers!E38="Quarterly",IF(MOD((YEAR(EDATE(DATE(YEAR(TODAY()),MONTH(TODAY()),1),8))-YEAR(IF(ISNUMBER(Suppliers!F38),Suppliers!F38,DATE(YEAR(TODAY()),MONTH(TODAY()),1))))*12+MONTH(EDATE(DATE(YEAR(TODAY()),MONTH(TODAY()),1),8))-MONTH(IF(ISNUMBER(Suppliers!F38),Suppliers!F38,DATE(YEAR(TODAY()),MONTH(TODAY()),1))),3)=0,1,0),IF(Suppliers!E38="Semi-annual",IF(MOD((YEAR(EDATE(DATE(YEAR(TODAY()),MONTH(TODAY()),1),8))-YEAR(IF(ISNUMBER(Suppliers!F38),Suppliers!F38,DATE(YEAR(TODAY()),MONTH(TODAY()),1))))*12+MONTH(EDATE(DATE(YEAR(TODAY()),MONTH(TODAY()),1),8))-MONTH(IF(ISNUMBER(Suppliers!F38),Suppliers!F38,DATE(YEAR(TODAY()),MONTH(TODAY()),1))),6)=0,1,0),IF(Suppliers!E38="Annual",IF(MOD((YEAR(EDATE(DATE(YEAR(TODAY()),MONTH(TODAY()),1),8))-YEAR(IF(ISNUMBER(Suppliers!F38),Suppliers!F38,DATE(YEAR(TODAY()),MONTH(TODAY()),1))))*12+MONTH(EDATE(DATE(YEAR(TODAY()),MONTH(TODAY()),1),8))-MONTH(IF(ISNUMBER(Suppliers!F38),Suppliers!F38,DATE(YEAR(TODAY()),MONTH(TODAY()),1))),12)=0,1,0),IF(Suppliers!E38="One-time",IF(8=0,1,0),1)))))),"")</f>
        <v/>
      </c>
      <c r="O40" s="10" t="str">
        <f ca="1">IFERROR(IF(OR(9&gt;=$B$1,Suppliers!A38="",NOT(ISNUMBER(Suppliers!D38)),Suppliers!L38="Expired",Suppliers!L38="Terminate"),"",Suppliers!D38*-1*IF(Suppliers!E38="Monthly",IF(AND(ISNUMBER(Suppliers!G38),(YEAR(EDATE(DATE(YEAR(TODAY()),MONTH(TODAY()),1),9))*12+MONTH(EDATE(DATE(YEAR(TODAY()),MONTH(TODAY()),1),9)))&gt;(YEAR(Suppliers!G38)*12+MONTH(Suppliers!G38))),"",1),IF(Suppliers!E38="Quarterly",IF(MOD((YEAR(EDATE(DATE(YEAR(TODAY()),MONTH(TODAY()),1),9))-YEAR(IF(ISNUMBER(Suppliers!F38),Suppliers!F38,DATE(YEAR(TODAY()),MONTH(TODAY()),1))))*12+MONTH(EDATE(DATE(YEAR(TODAY()),MONTH(TODAY()),1),9))-MONTH(IF(ISNUMBER(Suppliers!F38),Suppliers!F38,DATE(YEAR(TODAY()),MONTH(TODAY()),1))),3)=0,1,0),IF(Suppliers!E38="Semi-annual",IF(MOD((YEAR(EDATE(DATE(YEAR(TODAY()),MONTH(TODAY()),1),9))-YEAR(IF(ISNUMBER(Suppliers!F38),Suppliers!F38,DATE(YEAR(TODAY()),MONTH(TODAY()),1))))*12+MONTH(EDATE(DATE(YEAR(TODAY()),MONTH(TODAY()),1),9))-MONTH(IF(ISNUMBER(Suppliers!F38),Suppliers!F38,DATE(YEAR(TODAY()),MONTH(TODAY()),1))),6)=0,1,0),IF(Suppliers!E38="Annual",IF(MOD((YEAR(EDATE(DATE(YEAR(TODAY()),MONTH(TODAY()),1),9))-YEAR(IF(ISNUMBER(Suppliers!F38),Suppliers!F38,DATE(YEAR(TODAY()),MONTH(TODAY()),1))))*12+MONTH(EDATE(DATE(YEAR(TODAY()),MONTH(TODAY()),1),9))-MONTH(IF(ISNUMBER(Suppliers!F38),Suppliers!F38,DATE(YEAR(TODAY()),MONTH(TODAY()),1))),12)=0,1,0),IF(Suppliers!E38="One-time",IF(9=0,1,0),1)))))),"")</f>
        <v/>
      </c>
      <c r="P40" s="10" t="str">
        <f ca="1">IFERROR(IF(OR(10&gt;=$B$1,Suppliers!A38="",NOT(ISNUMBER(Suppliers!D38)),Suppliers!L38="Expired",Suppliers!L38="Terminate"),"",Suppliers!D38*-1*IF(Suppliers!E38="Monthly",IF(AND(ISNUMBER(Suppliers!G38),(YEAR(EDATE(DATE(YEAR(TODAY()),MONTH(TODAY()),1),10))*12+MONTH(EDATE(DATE(YEAR(TODAY()),MONTH(TODAY()),1),10)))&gt;(YEAR(Suppliers!G38)*12+MONTH(Suppliers!G38))),"",1),IF(Suppliers!E38="Quarterly",IF(MOD((YEAR(EDATE(DATE(YEAR(TODAY()),MONTH(TODAY()),1),10))-YEAR(IF(ISNUMBER(Suppliers!F38),Suppliers!F38,DATE(YEAR(TODAY()),MONTH(TODAY()),1))))*12+MONTH(EDATE(DATE(YEAR(TODAY()),MONTH(TODAY()),1),10))-MONTH(IF(ISNUMBER(Suppliers!F38),Suppliers!F38,DATE(YEAR(TODAY()),MONTH(TODAY()),1))),3)=0,1,0),IF(Suppliers!E38="Semi-annual",IF(MOD((YEAR(EDATE(DATE(YEAR(TODAY()),MONTH(TODAY()),1),10))-YEAR(IF(ISNUMBER(Suppliers!F38),Suppliers!F38,DATE(YEAR(TODAY()),MONTH(TODAY()),1))))*12+MONTH(EDATE(DATE(YEAR(TODAY()),MONTH(TODAY()),1),10))-MONTH(IF(ISNUMBER(Suppliers!F38),Suppliers!F38,DATE(YEAR(TODAY()),MONTH(TODAY()),1))),6)=0,1,0),IF(Suppliers!E38="Annual",IF(MOD((YEAR(EDATE(DATE(YEAR(TODAY()),MONTH(TODAY()),1),10))-YEAR(IF(ISNUMBER(Suppliers!F38),Suppliers!F38,DATE(YEAR(TODAY()),MONTH(TODAY()),1))))*12+MONTH(EDATE(DATE(YEAR(TODAY()),MONTH(TODAY()),1),10))-MONTH(IF(ISNUMBER(Suppliers!F38),Suppliers!F38,DATE(YEAR(TODAY()),MONTH(TODAY()),1))),12)=0,1,0),IF(Suppliers!E38="One-time",IF(10=0,1,0),1)))))),"")</f>
        <v/>
      </c>
      <c r="Q40" s="10" t="str">
        <f ca="1">IFERROR(IF(OR(11&gt;=$B$1,Suppliers!A38="",NOT(ISNUMBER(Suppliers!D38)),Suppliers!L38="Expired",Suppliers!L38="Terminate"),"",Suppliers!D38*-1*IF(Suppliers!E38="Monthly",IF(AND(ISNUMBER(Suppliers!G38),(YEAR(EDATE(DATE(YEAR(TODAY()),MONTH(TODAY()),1),11))*12+MONTH(EDATE(DATE(YEAR(TODAY()),MONTH(TODAY()),1),11)))&gt;(YEAR(Suppliers!G38)*12+MONTH(Suppliers!G38))),"",1),IF(Suppliers!E38="Quarterly",IF(MOD((YEAR(EDATE(DATE(YEAR(TODAY()),MONTH(TODAY()),1),11))-YEAR(IF(ISNUMBER(Suppliers!F38),Suppliers!F38,DATE(YEAR(TODAY()),MONTH(TODAY()),1))))*12+MONTH(EDATE(DATE(YEAR(TODAY()),MONTH(TODAY()),1),11))-MONTH(IF(ISNUMBER(Suppliers!F38),Suppliers!F38,DATE(YEAR(TODAY()),MONTH(TODAY()),1))),3)=0,1,0),IF(Suppliers!E38="Semi-annual",IF(MOD((YEAR(EDATE(DATE(YEAR(TODAY()),MONTH(TODAY()),1),11))-YEAR(IF(ISNUMBER(Suppliers!F38),Suppliers!F38,DATE(YEAR(TODAY()),MONTH(TODAY()),1))))*12+MONTH(EDATE(DATE(YEAR(TODAY()),MONTH(TODAY()),1),11))-MONTH(IF(ISNUMBER(Suppliers!F38),Suppliers!F38,DATE(YEAR(TODAY()),MONTH(TODAY()),1))),6)=0,1,0),IF(Suppliers!E38="Annual",IF(MOD((YEAR(EDATE(DATE(YEAR(TODAY()),MONTH(TODAY()),1),11))-YEAR(IF(ISNUMBER(Suppliers!F38),Suppliers!F38,DATE(YEAR(TODAY()),MONTH(TODAY()),1))))*12+MONTH(EDATE(DATE(YEAR(TODAY()),MONTH(TODAY()),1),11))-MONTH(IF(ISNUMBER(Suppliers!F38),Suppliers!F38,DATE(YEAR(TODAY()),MONTH(TODAY()),1))),12)=0,1,0),IF(Suppliers!E38="One-time",IF(11=0,1,0),1)))))),"")</f>
        <v/>
      </c>
      <c r="R40" s="10" t="str">
        <f ca="1">IFERROR(IF(OR(12&gt;=$B$1,Suppliers!A38="",NOT(ISNUMBER(Suppliers!D38)),Suppliers!L38="Expired",Suppliers!L38="Terminate"),"",Suppliers!D38*-1*IF(Suppliers!E38="Monthly",IF(AND(ISNUMBER(Suppliers!G38),(YEAR(EDATE(DATE(YEAR(TODAY()),MONTH(TODAY()),1),12))*12+MONTH(EDATE(DATE(YEAR(TODAY()),MONTH(TODAY()),1),12)))&gt;(YEAR(Suppliers!G38)*12+MONTH(Suppliers!G38))),"",1),IF(Suppliers!E38="Quarterly",IF(MOD((YEAR(EDATE(DATE(YEAR(TODAY()),MONTH(TODAY()),1),12))-YEAR(IF(ISNUMBER(Suppliers!F38),Suppliers!F38,DATE(YEAR(TODAY()),MONTH(TODAY()),1))))*12+MONTH(EDATE(DATE(YEAR(TODAY()),MONTH(TODAY()),1),12))-MONTH(IF(ISNUMBER(Suppliers!F38),Suppliers!F38,DATE(YEAR(TODAY()),MONTH(TODAY()),1))),3)=0,1,0),IF(Suppliers!E38="Semi-annual",IF(MOD((YEAR(EDATE(DATE(YEAR(TODAY()),MONTH(TODAY()),1),12))-YEAR(IF(ISNUMBER(Suppliers!F38),Suppliers!F38,DATE(YEAR(TODAY()),MONTH(TODAY()),1))))*12+MONTH(EDATE(DATE(YEAR(TODAY()),MONTH(TODAY()),1),12))-MONTH(IF(ISNUMBER(Suppliers!F38),Suppliers!F38,DATE(YEAR(TODAY()),MONTH(TODAY()),1))),6)=0,1,0),IF(Suppliers!E38="Annual",IF(MOD((YEAR(EDATE(DATE(YEAR(TODAY()),MONTH(TODAY()),1),12))-YEAR(IF(ISNUMBER(Suppliers!F38),Suppliers!F38,DATE(YEAR(TODAY()),MONTH(TODAY()),1))))*12+MONTH(EDATE(DATE(YEAR(TODAY()),MONTH(TODAY()),1),12))-MONTH(IF(ISNUMBER(Suppliers!F38),Suppliers!F38,DATE(YEAR(TODAY()),MONTH(TODAY()),1))),12)=0,1,0),IF(Suppliers!E38="One-time",IF(12=0,1,0),1)))))),"")</f>
        <v/>
      </c>
      <c r="S40" s="10" t="str">
        <f ca="1">IFERROR(IF(OR(13&gt;=$B$1,Suppliers!A38="",NOT(ISNUMBER(Suppliers!D38)),Suppliers!L38="Expired",Suppliers!L38="Terminate"),"",Suppliers!D38*-1*IF(Suppliers!E38="Monthly",IF(AND(ISNUMBER(Suppliers!G38),(YEAR(EDATE(DATE(YEAR(TODAY()),MONTH(TODAY()),1),13))*12+MONTH(EDATE(DATE(YEAR(TODAY()),MONTH(TODAY()),1),13)))&gt;(YEAR(Suppliers!G38)*12+MONTH(Suppliers!G38))),"",1),IF(Suppliers!E38="Quarterly",IF(MOD((YEAR(EDATE(DATE(YEAR(TODAY()),MONTH(TODAY()),1),13))-YEAR(IF(ISNUMBER(Suppliers!F38),Suppliers!F38,DATE(YEAR(TODAY()),MONTH(TODAY()),1))))*12+MONTH(EDATE(DATE(YEAR(TODAY()),MONTH(TODAY()),1),13))-MONTH(IF(ISNUMBER(Suppliers!F38),Suppliers!F38,DATE(YEAR(TODAY()),MONTH(TODAY()),1))),3)=0,1,0),IF(Suppliers!E38="Semi-annual",IF(MOD((YEAR(EDATE(DATE(YEAR(TODAY()),MONTH(TODAY()),1),13))-YEAR(IF(ISNUMBER(Suppliers!F38),Suppliers!F38,DATE(YEAR(TODAY()),MONTH(TODAY()),1))))*12+MONTH(EDATE(DATE(YEAR(TODAY()),MONTH(TODAY()),1),13))-MONTH(IF(ISNUMBER(Suppliers!F38),Suppliers!F38,DATE(YEAR(TODAY()),MONTH(TODAY()),1))),6)=0,1,0),IF(Suppliers!E38="Annual",IF(MOD((YEAR(EDATE(DATE(YEAR(TODAY()),MONTH(TODAY()),1),13))-YEAR(IF(ISNUMBER(Suppliers!F38),Suppliers!F38,DATE(YEAR(TODAY()),MONTH(TODAY()),1))))*12+MONTH(EDATE(DATE(YEAR(TODAY()),MONTH(TODAY()),1),13))-MONTH(IF(ISNUMBER(Suppliers!F38),Suppliers!F38,DATE(YEAR(TODAY()),MONTH(TODAY()),1))),12)=0,1,0),IF(Suppliers!E38="One-time",IF(13=0,1,0),1)))))),"")</f>
        <v/>
      </c>
      <c r="T40" s="10" t="str">
        <f ca="1">IFERROR(IF(OR(14&gt;=$B$1,Suppliers!A38="",NOT(ISNUMBER(Suppliers!D38)),Suppliers!L38="Expired",Suppliers!L38="Terminate"),"",Suppliers!D38*-1*IF(Suppliers!E38="Monthly",IF(AND(ISNUMBER(Suppliers!G38),(YEAR(EDATE(DATE(YEAR(TODAY()),MONTH(TODAY()),1),14))*12+MONTH(EDATE(DATE(YEAR(TODAY()),MONTH(TODAY()),1),14)))&gt;(YEAR(Suppliers!G38)*12+MONTH(Suppliers!G38))),"",1),IF(Suppliers!E38="Quarterly",IF(MOD((YEAR(EDATE(DATE(YEAR(TODAY()),MONTH(TODAY()),1),14))-YEAR(IF(ISNUMBER(Suppliers!F38),Suppliers!F38,DATE(YEAR(TODAY()),MONTH(TODAY()),1))))*12+MONTH(EDATE(DATE(YEAR(TODAY()),MONTH(TODAY()),1),14))-MONTH(IF(ISNUMBER(Suppliers!F38),Suppliers!F38,DATE(YEAR(TODAY()),MONTH(TODAY()),1))),3)=0,1,0),IF(Suppliers!E38="Semi-annual",IF(MOD((YEAR(EDATE(DATE(YEAR(TODAY()),MONTH(TODAY()),1),14))-YEAR(IF(ISNUMBER(Suppliers!F38),Suppliers!F38,DATE(YEAR(TODAY()),MONTH(TODAY()),1))))*12+MONTH(EDATE(DATE(YEAR(TODAY()),MONTH(TODAY()),1),14))-MONTH(IF(ISNUMBER(Suppliers!F38),Suppliers!F38,DATE(YEAR(TODAY()),MONTH(TODAY()),1))),6)=0,1,0),IF(Suppliers!E38="Annual",IF(MOD((YEAR(EDATE(DATE(YEAR(TODAY()),MONTH(TODAY()),1),14))-YEAR(IF(ISNUMBER(Suppliers!F38),Suppliers!F38,DATE(YEAR(TODAY()),MONTH(TODAY()),1))))*12+MONTH(EDATE(DATE(YEAR(TODAY()),MONTH(TODAY()),1),14))-MONTH(IF(ISNUMBER(Suppliers!F38),Suppliers!F38,DATE(YEAR(TODAY()),MONTH(TODAY()),1))),12)=0,1,0),IF(Suppliers!E38="One-time",IF(14=0,1,0),1)))))),"")</f>
        <v/>
      </c>
      <c r="U40" s="10" t="str">
        <f ca="1">IFERROR(IF(OR(15&gt;=$B$1,Suppliers!A38="",NOT(ISNUMBER(Suppliers!D38)),Suppliers!L38="Expired",Suppliers!L38="Terminate"),"",Suppliers!D38*-1*IF(Suppliers!E38="Monthly",IF(AND(ISNUMBER(Suppliers!G38),(YEAR(EDATE(DATE(YEAR(TODAY()),MONTH(TODAY()),1),15))*12+MONTH(EDATE(DATE(YEAR(TODAY()),MONTH(TODAY()),1),15)))&gt;(YEAR(Suppliers!G38)*12+MONTH(Suppliers!G38))),"",1),IF(Suppliers!E38="Quarterly",IF(MOD((YEAR(EDATE(DATE(YEAR(TODAY()),MONTH(TODAY()),1),15))-YEAR(IF(ISNUMBER(Suppliers!F38),Suppliers!F38,DATE(YEAR(TODAY()),MONTH(TODAY()),1))))*12+MONTH(EDATE(DATE(YEAR(TODAY()),MONTH(TODAY()),1),15))-MONTH(IF(ISNUMBER(Suppliers!F38),Suppliers!F38,DATE(YEAR(TODAY()),MONTH(TODAY()),1))),3)=0,1,0),IF(Suppliers!E38="Semi-annual",IF(MOD((YEAR(EDATE(DATE(YEAR(TODAY()),MONTH(TODAY()),1),15))-YEAR(IF(ISNUMBER(Suppliers!F38),Suppliers!F38,DATE(YEAR(TODAY()),MONTH(TODAY()),1))))*12+MONTH(EDATE(DATE(YEAR(TODAY()),MONTH(TODAY()),1),15))-MONTH(IF(ISNUMBER(Suppliers!F38),Suppliers!F38,DATE(YEAR(TODAY()),MONTH(TODAY()),1))),6)=0,1,0),IF(Suppliers!E38="Annual",IF(MOD((YEAR(EDATE(DATE(YEAR(TODAY()),MONTH(TODAY()),1),15))-YEAR(IF(ISNUMBER(Suppliers!F38),Suppliers!F38,DATE(YEAR(TODAY()),MONTH(TODAY()),1))))*12+MONTH(EDATE(DATE(YEAR(TODAY()),MONTH(TODAY()),1),15))-MONTH(IF(ISNUMBER(Suppliers!F38),Suppliers!F38,DATE(YEAR(TODAY()),MONTH(TODAY()),1))),12)=0,1,0),IF(Suppliers!E38="One-time",IF(15=0,1,0),1)))))),"")</f>
        <v/>
      </c>
      <c r="V40" s="10" t="str">
        <f ca="1">IFERROR(IF(OR(16&gt;=$B$1,Suppliers!A38="",NOT(ISNUMBER(Suppliers!D38)),Suppliers!L38="Expired",Suppliers!L38="Terminate"),"",Suppliers!D38*-1*IF(Suppliers!E38="Monthly",IF(AND(ISNUMBER(Suppliers!G38),(YEAR(EDATE(DATE(YEAR(TODAY()),MONTH(TODAY()),1),16))*12+MONTH(EDATE(DATE(YEAR(TODAY()),MONTH(TODAY()),1),16)))&gt;(YEAR(Suppliers!G38)*12+MONTH(Suppliers!G38))),"",1),IF(Suppliers!E38="Quarterly",IF(MOD((YEAR(EDATE(DATE(YEAR(TODAY()),MONTH(TODAY()),1),16))-YEAR(IF(ISNUMBER(Suppliers!F38),Suppliers!F38,DATE(YEAR(TODAY()),MONTH(TODAY()),1))))*12+MONTH(EDATE(DATE(YEAR(TODAY()),MONTH(TODAY()),1),16))-MONTH(IF(ISNUMBER(Suppliers!F38),Suppliers!F38,DATE(YEAR(TODAY()),MONTH(TODAY()),1))),3)=0,1,0),IF(Suppliers!E38="Semi-annual",IF(MOD((YEAR(EDATE(DATE(YEAR(TODAY()),MONTH(TODAY()),1),16))-YEAR(IF(ISNUMBER(Suppliers!F38),Suppliers!F38,DATE(YEAR(TODAY()),MONTH(TODAY()),1))))*12+MONTH(EDATE(DATE(YEAR(TODAY()),MONTH(TODAY()),1),16))-MONTH(IF(ISNUMBER(Suppliers!F38),Suppliers!F38,DATE(YEAR(TODAY()),MONTH(TODAY()),1))),6)=0,1,0),IF(Suppliers!E38="Annual",IF(MOD((YEAR(EDATE(DATE(YEAR(TODAY()),MONTH(TODAY()),1),16))-YEAR(IF(ISNUMBER(Suppliers!F38),Suppliers!F38,DATE(YEAR(TODAY()),MONTH(TODAY()),1))))*12+MONTH(EDATE(DATE(YEAR(TODAY()),MONTH(TODAY()),1),16))-MONTH(IF(ISNUMBER(Suppliers!F38),Suppliers!F38,DATE(YEAR(TODAY()),MONTH(TODAY()),1))),12)=0,1,0),IF(Suppliers!E38="One-time",IF(16=0,1,0),1)))))),"")</f>
        <v/>
      </c>
      <c r="W40" s="10" t="str">
        <f ca="1">IFERROR(IF(OR(17&gt;=$B$1,Suppliers!A38="",NOT(ISNUMBER(Suppliers!D38)),Suppliers!L38="Expired",Suppliers!L38="Terminate"),"",Suppliers!D38*-1*IF(Suppliers!E38="Monthly",IF(AND(ISNUMBER(Suppliers!G38),(YEAR(EDATE(DATE(YEAR(TODAY()),MONTH(TODAY()),1),17))*12+MONTH(EDATE(DATE(YEAR(TODAY()),MONTH(TODAY()),1),17)))&gt;(YEAR(Suppliers!G38)*12+MONTH(Suppliers!G38))),"",1),IF(Suppliers!E38="Quarterly",IF(MOD((YEAR(EDATE(DATE(YEAR(TODAY()),MONTH(TODAY()),1),17))-YEAR(IF(ISNUMBER(Suppliers!F38),Suppliers!F38,DATE(YEAR(TODAY()),MONTH(TODAY()),1))))*12+MONTH(EDATE(DATE(YEAR(TODAY()),MONTH(TODAY()),1),17))-MONTH(IF(ISNUMBER(Suppliers!F38),Suppliers!F38,DATE(YEAR(TODAY()),MONTH(TODAY()),1))),3)=0,1,0),IF(Suppliers!E38="Semi-annual",IF(MOD((YEAR(EDATE(DATE(YEAR(TODAY()),MONTH(TODAY()),1),17))-YEAR(IF(ISNUMBER(Suppliers!F38),Suppliers!F38,DATE(YEAR(TODAY()),MONTH(TODAY()),1))))*12+MONTH(EDATE(DATE(YEAR(TODAY()),MONTH(TODAY()),1),17))-MONTH(IF(ISNUMBER(Suppliers!F38),Suppliers!F38,DATE(YEAR(TODAY()),MONTH(TODAY()),1))),6)=0,1,0),IF(Suppliers!E38="Annual",IF(MOD((YEAR(EDATE(DATE(YEAR(TODAY()),MONTH(TODAY()),1),17))-YEAR(IF(ISNUMBER(Suppliers!F38),Suppliers!F38,DATE(YEAR(TODAY()),MONTH(TODAY()),1))))*12+MONTH(EDATE(DATE(YEAR(TODAY()),MONTH(TODAY()),1),17))-MONTH(IF(ISNUMBER(Suppliers!F38),Suppliers!F38,DATE(YEAR(TODAY()),MONTH(TODAY()),1))),12)=0,1,0),IF(Suppliers!E38="One-time",IF(17=0,1,0),1)))))),"")</f>
        <v/>
      </c>
      <c r="X40" s="10" t="str">
        <f ca="1">IFERROR(IF(OR(18&gt;=$B$1,Suppliers!A38="",NOT(ISNUMBER(Suppliers!D38)),Suppliers!L38="Expired",Suppliers!L38="Terminate"),"",Suppliers!D38*-1*IF(Suppliers!E38="Monthly",IF(AND(ISNUMBER(Suppliers!G38),(YEAR(EDATE(DATE(YEAR(TODAY()),MONTH(TODAY()),1),18))*12+MONTH(EDATE(DATE(YEAR(TODAY()),MONTH(TODAY()),1),18)))&gt;(YEAR(Suppliers!G38)*12+MONTH(Suppliers!G38))),"",1),IF(Suppliers!E38="Quarterly",IF(MOD((YEAR(EDATE(DATE(YEAR(TODAY()),MONTH(TODAY()),1),18))-YEAR(IF(ISNUMBER(Suppliers!F38),Suppliers!F38,DATE(YEAR(TODAY()),MONTH(TODAY()),1))))*12+MONTH(EDATE(DATE(YEAR(TODAY()),MONTH(TODAY()),1),18))-MONTH(IF(ISNUMBER(Suppliers!F38),Suppliers!F38,DATE(YEAR(TODAY()),MONTH(TODAY()),1))),3)=0,1,0),IF(Suppliers!E38="Semi-annual",IF(MOD((YEAR(EDATE(DATE(YEAR(TODAY()),MONTH(TODAY()),1),18))-YEAR(IF(ISNUMBER(Suppliers!F38),Suppliers!F38,DATE(YEAR(TODAY()),MONTH(TODAY()),1))))*12+MONTH(EDATE(DATE(YEAR(TODAY()),MONTH(TODAY()),1),18))-MONTH(IF(ISNUMBER(Suppliers!F38),Suppliers!F38,DATE(YEAR(TODAY()),MONTH(TODAY()),1))),6)=0,1,0),IF(Suppliers!E38="Annual",IF(MOD((YEAR(EDATE(DATE(YEAR(TODAY()),MONTH(TODAY()),1),18))-YEAR(IF(ISNUMBER(Suppliers!F38),Suppliers!F38,DATE(YEAR(TODAY()),MONTH(TODAY()),1))))*12+MONTH(EDATE(DATE(YEAR(TODAY()),MONTH(TODAY()),1),18))-MONTH(IF(ISNUMBER(Suppliers!F38),Suppliers!F38,DATE(YEAR(TODAY()),MONTH(TODAY()),1))),12)=0,1,0),IF(Suppliers!E38="One-time",IF(18=0,1,0),1)))))),"")</f>
        <v/>
      </c>
      <c r="Y40" s="10" t="str">
        <f ca="1">IFERROR(IF(OR(19&gt;=$B$1,Suppliers!A38="",NOT(ISNUMBER(Suppliers!D38)),Suppliers!L38="Expired",Suppliers!L38="Terminate"),"",Suppliers!D38*-1*IF(Suppliers!E38="Monthly",IF(AND(ISNUMBER(Suppliers!G38),(YEAR(EDATE(DATE(YEAR(TODAY()),MONTH(TODAY()),1),19))*12+MONTH(EDATE(DATE(YEAR(TODAY()),MONTH(TODAY()),1),19)))&gt;(YEAR(Suppliers!G38)*12+MONTH(Suppliers!G38))),"",1),IF(Suppliers!E38="Quarterly",IF(MOD((YEAR(EDATE(DATE(YEAR(TODAY()),MONTH(TODAY()),1),19))-YEAR(IF(ISNUMBER(Suppliers!F38),Suppliers!F38,DATE(YEAR(TODAY()),MONTH(TODAY()),1))))*12+MONTH(EDATE(DATE(YEAR(TODAY()),MONTH(TODAY()),1),19))-MONTH(IF(ISNUMBER(Suppliers!F38),Suppliers!F38,DATE(YEAR(TODAY()),MONTH(TODAY()),1))),3)=0,1,0),IF(Suppliers!E38="Semi-annual",IF(MOD((YEAR(EDATE(DATE(YEAR(TODAY()),MONTH(TODAY()),1),19))-YEAR(IF(ISNUMBER(Suppliers!F38),Suppliers!F38,DATE(YEAR(TODAY()),MONTH(TODAY()),1))))*12+MONTH(EDATE(DATE(YEAR(TODAY()),MONTH(TODAY()),1),19))-MONTH(IF(ISNUMBER(Suppliers!F38),Suppliers!F38,DATE(YEAR(TODAY()),MONTH(TODAY()),1))),6)=0,1,0),IF(Suppliers!E38="Annual",IF(MOD((YEAR(EDATE(DATE(YEAR(TODAY()),MONTH(TODAY()),1),19))-YEAR(IF(ISNUMBER(Suppliers!F38),Suppliers!F38,DATE(YEAR(TODAY()),MONTH(TODAY()),1))))*12+MONTH(EDATE(DATE(YEAR(TODAY()),MONTH(TODAY()),1),19))-MONTH(IF(ISNUMBER(Suppliers!F38),Suppliers!F38,DATE(YEAR(TODAY()),MONTH(TODAY()),1))),12)=0,1,0),IF(Suppliers!E38="One-time",IF(19=0,1,0),1)))))),"")</f>
        <v/>
      </c>
      <c r="Z40" s="10" t="str">
        <f ca="1">IFERROR(IF(OR(20&gt;=$B$1,Suppliers!A38="",NOT(ISNUMBER(Suppliers!D38)),Suppliers!L38="Expired",Suppliers!L38="Terminate"),"",Suppliers!D38*-1*IF(Suppliers!E38="Monthly",IF(AND(ISNUMBER(Suppliers!G38),(YEAR(EDATE(DATE(YEAR(TODAY()),MONTH(TODAY()),1),20))*12+MONTH(EDATE(DATE(YEAR(TODAY()),MONTH(TODAY()),1),20)))&gt;(YEAR(Suppliers!G38)*12+MONTH(Suppliers!G38))),"",1),IF(Suppliers!E38="Quarterly",IF(MOD((YEAR(EDATE(DATE(YEAR(TODAY()),MONTH(TODAY()),1),20))-YEAR(IF(ISNUMBER(Suppliers!F38),Suppliers!F38,DATE(YEAR(TODAY()),MONTH(TODAY()),1))))*12+MONTH(EDATE(DATE(YEAR(TODAY()),MONTH(TODAY()),1),20))-MONTH(IF(ISNUMBER(Suppliers!F38),Suppliers!F38,DATE(YEAR(TODAY()),MONTH(TODAY()),1))),3)=0,1,0),IF(Suppliers!E38="Semi-annual",IF(MOD((YEAR(EDATE(DATE(YEAR(TODAY()),MONTH(TODAY()),1),20))-YEAR(IF(ISNUMBER(Suppliers!F38),Suppliers!F38,DATE(YEAR(TODAY()),MONTH(TODAY()),1))))*12+MONTH(EDATE(DATE(YEAR(TODAY()),MONTH(TODAY()),1),20))-MONTH(IF(ISNUMBER(Suppliers!F38),Suppliers!F38,DATE(YEAR(TODAY()),MONTH(TODAY()),1))),6)=0,1,0),IF(Suppliers!E38="Annual",IF(MOD((YEAR(EDATE(DATE(YEAR(TODAY()),MONTH(TODAY()),1),20))-YEAR(IF(ISNUMBER(Suppliers!F38),Suppliers!F38,DATE(YEAR(TODAY()),MONTH(TODAY()),1))))*12+MONTH(EDATE(DATE(YEAR(TODAY()),MONTH(TODAY()),1),20))-MONTH(IF(ISNUMBER(Suppliers!F38),Suppliers!F38,DATE(YEAR(TODAY()),MONTH(TODAY()),1))),12)=0,1,0),IF(Suppliers!E38="One-time",IF(20=0,1,0),1)))))),"")</f>
        <v/>
      </c>
      <c r="AA40" s="10" t="str">
        <f ca="1">IFERROR(IF(OR(21&gt;=$B$1,Suppliers!A38="",NOT(ISNUMBER(Suppliers!D38)),Suppliers!L38="Expired",Suppliers!L38="Terminate"),"",Suppliers!D38*-1*IF(Suppliers!E38="Monthly",IF(AND(ISNUMBER(Suppliers!G38),(YEAR(EDATE(DATE(YEAR(TODAY()),MONTH(TODAY()),1),21))*12+MONTH(EDATE(DATE(YEAR(TODAY()),MONTH(TODAY()),1),21)))&gt;(YEAR(Suppliers!G38)*12+MONTH(Suppliers!G38))),"",1),IF(Suppliers!E38="Quarterly",IF(MOD((YEAR(EDATE(DATE(YEAR(TODAY()),MONTH(TODAY()),1),21))-YEAR(IF(ISNUMBER(Suppliers!F38),Suppliers!F38,DATE(YEAR(TODAY()),MONTH(TODAY()),1))))*12+MONTH(EDATE(DATE(YEAR(TODAY()),MONTH(TODAY()),1),21))-MONTH(IF(ISNUMBER(Suppliers!F38),Suppliers!F38,DATE(YEAR(TODAY()),MONTH(TODAY()),1))),3)=0,1,0),IF(Suppliers!E38="Semi-annual",IF(MOD((YEAR(EDATE(DATE(YEAR(TODAY()),MONTH(TODAY()),1),21))-YEAR(IF(ISNUMBER(Suppliers!F38),Suppliers!F38,DATE(YEAR(TODAY()),MONTH(TODAY()),1))))*12+MONTH(EDATE(DATE(YEAR(TODAY()),MONTH(TODAY()),1),21))-MONTH(IF(ISNUMBER(Suppliers!F38),Suppliers!F38,DATE(YEAR(TODAY()),MONTH(TODAY()),1))),6)=0,1,0),IF(Suppliers!E38="Annual",IF(MOD((YEAR(EDATE(DATE(YEAR(TODAY()),MONTH(TODAY()),1),21))-YEAR(IF(ISNUMBER(Suppliers!F38),Suppliers!F38,DATE(YEAR(TODAY()),MONTH(TODAY()),1))))*12+MONTH(EDATE(DATE(YEAR(TODAY()),MONTH(TODAY()),1),21))-MONTH(IF(ISNUMBER(Suppliers!F38),Suppliers!F38,DATE(YEAR(TODAY()),MONTH(TODAY()),1))),12)=0,1,0),IF(Suppliers!E38="One-time",IF(21=0,1,0),1)))))),"")</f>
        <v/>
      </c>
      <c r="AB40" s="10" t="str">
        <f ca="1">IFERROR(IF(OR(22&gt;=$B$1,Suppliers!A38="",NOT(ISNUMBER(Suppliers!D38)),Suppliers!L38="Expired",Suppliers!L38="Terminate"),"",Suppliers!D38*-1*IF(Suppliers!E38="Monthly",IF(AND(ISNUMBER(Suppliers!G38),(YEAR(EDATE(DATE(YEAR(TODAY()),MONTH(TODAY()),1),22))*12+MONTH(EDATE(DATE(YEAR(TODAY()),MONTH(TODAY()),1),22)))&gt;(YEAR(Suppliers!G38)*12+MONTH(Suppliers!G38))),"",1),IF(Suppliers!E38="Quarterly",IF(MOD((YEAR(EDATE(DATE(YEAR(TODAY()),MONTH(TODAY()),1),22))-YEAR(IF(ISNUMBER(Suppliers!F38),Suppliers!F38,DATE(YEAR(TODAY()),MONTH(TODAY()),1))))*12+MONTH(EDATE(DATE(YEAR(TODAY()),MONTH(TODAY()),1),22))-MONTH(IF(ISNUMBER(Suppliers!F38),Suppliers!F38,DATE(YEAR(TODAY()),MONTH(TODAY()),1))),3)=0,1,0),IF(Suppliers!E38="Semi-annual",IF(MOD((YEAR(EDATE(DATE(YEAR(TODAY()),MONTH(TODAY()),1),22))-YEAR(IF(ISNUMBER(Suppliers!F38),Suppliers!F38,DATE(YEAR(TODAY()),MONTH(TODAY()),1))))*12+MONTH(EDATE(DATE(YEAR(TODAY()),MONTH(TODAY()),1),22))-MONTH(IF(ISNUMBER(Suppliers!F38),Suppliers!F38,DATE(YEAR(TODAY()),MONTH(TODAY()),1))),6)=0,1,0),IF(Suppliers!E38="Annual",IF(MOD((YEAR(EDATE(DATE(YEAR(TODAY()),MONTH(TODAY()),1),22))-YEAR(IF(ISNUMBER(Suppliers!F38),Suppliers!F38,DATE(YEAR(TODAY()),MONTH(TODAY()),1))))*12+MONTH(EDATE(DATE(YEAR(TODAY()),MONTH(TODAY()),1),22))-MONTH(IF(ISNUMBER(Suppliers!F38),Suppliers!F38,DATE(YEAR(TODAY()),MONTH(TODAY()),1))),12)=0,1,0),IF(Suppliers!E38="One-time",IF(22=0,1,0),1)))))),"")</f>
        <v/>
      </c>
      <c r="AC40" s="10" t="str">
        <f ca="1">IFERROR(IF(OR(23&gt;=$B$1,Suppliers!A38="",NOT(ISNUMBER(Suppliers!D38)),Suppliers!L38="Expired",Suppliers!L38="Terminate"),"",Suppliers!D38*-1*IF(Suppliers!E38="Monthly",IF(AND(ISNUMBER(Suppliers!G38),(YEAR(EDATE(DATE(YEAR(TODAY()),MONTH(TODAY()),1),23))*12+MONTH(EDATE(DATE(YEAR(TODAY()),MONTH(TODAY()),1),23)))&gt;(YEAR(Suppliers!G38)*12+MONTH(Suppliers!G38))),"",1),IF(Suppliers!E38="Quarterly",IF(MOD((YEAR(EDATE(DATE(YEAR(TODAY()),MONTH(TODAY()),1),23))-YEAR(IF(ISNUMBER(Suppliers!F38),Suppliers!F38,DATE(YEAR(TODAY()),MONTH(TODAY()),1))))*12+MONTH(EDATE(DATE(YEAR(TODAY()),MONTH(TODAY()),1),23))-MONTH(IF(ISNUMBER(Suppliers!F38),Suppliers!F38,DATE(YEAR(TODAY()),MONTH(TODAY()),1))),3)=0,1,0),IF(Suppliers!E38="Semi-annual",IF(MOD((YEAR(EDATE(DATE(YEAR(TODAY()),MONTH(TODAY()),1),23))-YEAR(IF(ISNUMBER(Suppliers!F38),Suppliers!F38,DATE(YEAR(TODAY()),MONTH(TODAY()),1))))*12+MONTH(EDATE(DATE(YEAR(TODAY()),MONTH(TODAY()),1),23))-MONTH(IF(ISNUMBER(Suppliers!F38),Suppliers!F38,DATE(YEAR(TODAY()),MONTH(TODAY()),1))),6)=0,1,0),IF(Suppliers!E38="Annual",IF(MOD((YEAR(EDATE(DATE(YEAR(TODAY()),MONTH(TODAY()),1),23))-YEAR(IF(ISNUMBER(Suppliers!F38),Suppliers!F38,DATE(YEAR(TODAY()),MONTH(TODAY()),1))))*12+MONTH(EDATE(DATE(YEAR(TODAY()),MONTH(TODAY()),1),23))-MONTH(IF(ISNUMBER(Suppliers!F38),Suppliers!F38,DATE(YEAR(TODAY()),MONTH(TODAY()),1))),12)=0,1,0),IF(Suppliers!E38="One-time",IF(23=0,1,0),1)))))),"")</f>
        <v/>
      </c>
    </row>
    <row r="41" spans="1:29" ht="15" customHeight="1" x14ac:dyDescent="0.35">
      <c r="A41" s="4" t="s">
        <v>80</v>
      </c>
      <c r="B41" s="4" t="str">
        <f>IF(Suppliers!A39="","",Suppliers!A39)</f>
        <v/>
      </c>
      <c r="C41" s="10" t="str">
        <f>IF(Suppliers!C39="","",Suppliers!C39)</f>
        <v/>
      </c>
      <c r="D41" s="10" t="str">
        <f>IF(Suppliers!D39="","",Suppliers!D39)</f>
        <v/>
      </c>
      <c r="E41" s="4" t="str">
        <f>IF(Suppliers!E39="","",Suppliers!E39)</f>
        <v/>
      </c>
      <c r="F41" s="10" t="str">
        <f ca="1">IFERROR(IF(OR(0&gt;=$B$1,Suppliers!A39="",NOT(ISNUMBER(Suppliers!D39)),Suppliers!L39="Expired",Suppliers!L39="Terminate"),"",Suppliers!D39*-1*IF(Suppliers!E39="Monthly",IF(AND(ISNUMBER(Suppliers!G39),(YEAR(EDATE(DATE(YEAR(TODAY()),MONTH(TODAY()),1),0))*12+MONTH(EDATE(DATE(YEAR(TODAY()),MONTH(TODAY()),1),0)))&gt;(YEAR(Suppliers!G39)*12+MONTH(Suppliers!G39))),"",1),IF(Suppliers!E39="Quarterly",IF(MOD((YEAR(EDATE(DATE(YEAR(TODAY()),MONTH(TODAY()),1),0))-YEAR(IF(ISNUMBER(Suppliers!F39),Suppliers!F39,DATE(YEAR(TODAY()),MONTH(TODAY()),1))))*12+MONTH(EDATE(DATE(YEAR(TODAY()),MONTH(TODAY()),1),0))-MONTH(IF(ISNUMBER(Suppliers!F39),Suppliers!F39,DATE(YEAR(TODAY()),MONTH(TODAY()),1))),3)=0,1,0),IF(Suppliers!E39="Semi-annual",IF(MOD((YEAR(EDATE(DATE(YEAR(TODAY()),MONTH(TODAY()),1),0))-YEAR(IF(ISNUMBER(Suppliers!F39),Suppliers!F39,DATE(YEAR(TODAY()),MONTH(TODAY()),1))))*12+MONTH(EDATE(DATE(YEAR(TODAY()),MONTH(TODAY()),1),0))-MONTH(IF(ISNUMBER(Suppliers!F39),Suppliers!F39,DATE(YEAR(TODAY()),MONTH(TODAY()),1))),6)=0,1,0),IF(Suppliers!E39="Annual",IF(MOD((YEAR(EDATE(DATE(YEAR(TODAY()),MONTH(TODAY()),1),0))-YEAR(IF(ISNUMBER(Suppliers!F39),Suppliers!F39,DATE(YEAR(TODAY()),MONTH(TODAY()),1))))*12+MONTH(EDATE(DATE(YEAR(TODAY()),MONTH(TODAY()),1),0))-MONTH(IF(ISNUMBER(Suppliers!F39),Suppliers!F39,DATE(YEAR(TODAY()),MONTH(TODAY()),1))),12)=0,1,0),IF(Suppliers!E39="One-time",IF(0=0,1,0),1)))))),"")</f>
        <v/>
      </c>
      <c r="G41" s="10" t="str">
        <f ca="1">IFERROR(IF(OR(1&gt;=$B$1,Suppliers!A39="",NOT(ISNUMBER(Suppliers!D39)),Suppliers!L39="Expired",Suppliers!L39="Terminate"),"",Suppliers!D39*-1*IF(Suppliers!E39="Monthly",IF(AND(ISNUMBER(Suppliers!G39),(YEAR(EDATE(DATE(YEAR(TODAY()),MONTH(TODAY()),1),1))*12+MONTH(EDATE(DATE(YEAR(TODAY()),MONTH(TODAY()),1),1)))&gt;(YEAR(Suppliers!G39)*12+MONTH(Suppliers!G39))),"",1),IF(Suppliers!E39="Quarterly",IF(MOD((YEAR(EDATE(DATE(YEAR(TODAY()),MONTH(TODAY()),1),1))-YEAR(IF(ISNUMBER(Suppliers!F39),Suppliers!F39,DATE(YEAR(TODAY()),MONTH(TODAY()),1))))*12+MONTH(EDATE(DATE(YEAR(TODAY()),MONTH(TODAY()),1),1))-MONTH(IF(ISNUMBER(Suppliers!F39),Suppliers!F39,DATE(YEAR(TODAY()),MONTH(TODAY()),1))),3)=0,1,0),IF(Suppliers!E39="Semi-annual",IF(MOD((YEAR(EDATE(DATE(YEAR(TODAY()),MONTH(TODAY()),1),1))-YEAR(IF(ISNUMBER(Suppliers!F39),Suppliers!F39,DATE(YEAR(TODAY()),MONTH(TODAY()),1))))*12+MONTH(EDATE(DATE(YEAR(TODAY()),MONTH(TODAY()),1),1))-MONTH(IF(ISNUMBER(Suppliers!F39),Suppliers!F39,DATE(YEAR(TODAY()),MONTH(TODAY()),1))),6)=0,1,0),IF(Suppliers!E39="Annual",IF(MOD((YEAR(EDATE(DATE(YEAR(TODAY()),MONTH(TODAY()),1),1))-YEAR(IF(ISNUMBER(Suppliers!F39),Suppliers!F39,DATE(YEAR(TODAY()),MONTH(TODAY()),1))))*12+MONTH(EDATE(DATE(YEAR(TODAY()),MONTH(TODAY()),1),1))-MONTH(IF(ISNUMBER(Suppliers!F39),Suppliers!F39,DATE(YEAR(TODAY()),MONTH(TODAY()),1))),12)=0,1,0),IF(Suppliers!E39="One-time",IF(1=0,1,0),1)))))),"")</f>
        <v/>
      </c>
      <c r="H41" s="10" t="str">
        <f ca="1">IFERROR(IF(OR(2&gt;=$B$1,Suppliers!A39="",NOT(ISNUMBER(Suppliers!D39)),Suppliers!L39="Expired",Suppliers!L39="Terminate"),"",Suppliers!D39*-1*IF(Suppliers!E39="Monthly",IF(AND(ISNUMBER(Suppliers!G39),(YEAR(EDATE(DATE(YEAR(TODAY()),MONTH(TODAY()),1),2))*12+MONTH(EDATE(DATE(YEAR(TODAY()),MONTH(TODAY()),1),2)))&gt;(YEAR(Suppliers!G39)*12+MONTH(Suppliers!G39))),"",1),IF(Suppliers!E39="Quarterly",IF(MOD((YEAR(EDATE(DATE(YEAR(TODAY()),MONTH(TODAY()),1),2))-YEAR(IF(ISNUMBER(Suppliers!F39),Suppliers!F39,DATE(YEAR(TODAY()),MONTH(TODAY()),1))))*12+MONTH(EDATE(DATE(YEAR(TODAY()),MONTH(TODAY()),1),2))-MONTH(IF(ISNUMBER(Suppliers!F39),Suppliers!F39,DATE(YEAR(TODAY()),MONTH(TODAY()),1))),3)=0,1,0),IF(Suppliers!E39="Semi-annual",IF(MOD((YEAR(EDATE(DATE(YEAR(TODAY()),MONTH(TODAY()),1),2))-YEAR(IF(ISNUMBER(Suppliers!F39),Suppliers!F39,DATE(YEAR(TODAY()),MONTH(TODAY()),1))))*12+MONTH(EDATE(DATE(YEAR(TODAY()),MONTH(TODAY()),1),2))-MONTH(IF(ISNUMBER(Suppliers!F39),Suppliers!F39,DATE(YEAR(TODAY()),MONTH(TODAY()),1))),6)=0,1,0),IF(Suppliers!E39="Annual",IF(MOD((YEAR(EDATE(DATE(YEAR(TODAY()),MONTH(TODAY()),1),2))-YEAR(IF(ISNUMBER(Suppliers!F39),Suppliers!F39,DATE(YEAR(TODAY()),MONTH(TODAY()),1))))*12+MONTH(EDATE(DATE(YEAR(TODAY()),MONTH(TODAY()),1),2))-MONTH(IF(ISNUMBER(Suppliers!F39),Suppliers!F39,DATE(YEAR(TODAY()),MONTH(TODAY()),1))),12)=0,1,0),IF(Suppliers!E39="One-time",IF(2=0,1,0),1)))))),"")</f>
        <v/>
      </c>
      <c r="I41" s="10" t="str">
        <f ca="1">IFERROR(IF(OR(3&gt;=$B$1,Suppliers!A39="",NOT(ISNUMBER(Suppliers!D39)),Suppliers!L39="Expired",Suppliers!L39="Terminate"),"",Suppliers!D39*-1*IF(Suppliers!E39="Monthly",IF(AND(ISNUMBER(Suppliers!G39),(YEAR(EDATE(DATE(YEAR(TODAY()),MONTH(TODAY()),1),3))*12+MONTH(EDATE(DATE(YEAR(TODAY()),MONTH(TODAY()),1),3)))&gt;(YEAR(Suppliers!G39)*12+MONTH(Suppliers!G39))),"",1),IF(Suppliers!E39="Quarterly",IF(MOD((YEAR(EDATE(DATE(YEAR(TODAY()),MONTH(TODAY()),1),3))-YEAR(IF(ISNUMBER(Suppliers!F39),Suppliers!F39,DATE(YEAR(TODAY()),MONTH(TODAY()),1))))*12+MONTH(EDATE(DATE(YEAR(TODAY()),MONTH(TODAY()),1),3))-MONTH(IF(ISNUMBER(Suppliers!F39),Suppliers!F39,DATE(YEAR(TODAY()),MONTH(TODAY()),1))),3)=0,1,0),IF(Suppliers!E39="Semi-annual",IF(MOD((YEAR(EDATE(DATE(YEAR(TODAY()),MONTH(TODAY()),1),3))-YEAR(IF(ISNUMBER(Suppliers!F39),Suppliers!F39,DATE(YEAR(TODAY()),MONTH(TODAY()),1))))*12+MONTH(EDATE(DATE(YEAR(TODAY()),MONTH(TODAY()),1),3))-MONTH(IF(ISNUMBER(Suppliers!F39),Suppliers!F39,DATE(YEAR(TODAY()),MONTH(TODAY()),1))),6)=0,1,0),IF(Suppliers!E39="Annual",IF(MOD((YEAR(EDATE(DATE(YEAR(TODAY()),MONTH(TODAY()),1),3))-YEAR(IF(ISNUMBER(Suppliers!F39),Suppliers!F39,DATE(YEAR(TODAY()),MONTH(TODAY()),1))))*12+MONTH(EDATE(DATE(YEAR(TODAY()),MONTH(TODAY()),1),3))-MONTH(IF(ISNUMBER(Suppliers!F39),Suppliers!F39,DATE(YEAR(TODAY()),MONTH(TODAY()),1))),12)=0,1,0),IF(Suppliers!E39="One-time",IF(3=0,1,0),1)))))),"")</f>
        <v/>
      </c>
      <c r="J41" s="10" t="str">
        <f ca="1">IFERROR(IF(OR(4&gt;=$B$1,Suppliers!A39="",NOT(ISNUMBER(Suppliers!D39)),Suppliers!L39="Expired",Suppliers!L39="Terminate"),"",Suppliers!D39*-1*IF(Suppliers!E39="Monthly",IF(AND(ISNUMBER(Suppliers!G39),(YEAR(EDATE(DATE(YEAR(TODAY()),MONTH(TODAY()),1),4))*12+MONTH(EDATE(DATE(YEAR(TODAY()),MONTH(TODAY()),1),4)))&gt;(YEAR(Suppliers!G39)*12+MONTH(Suppliers!G39))),"",1),IF(Suppliers!E39="Quarterly",IF(MOD((YEAR(EDATE(DATE(YEAR(TODAY()),MONTH(TODAY()),1),4))-YEAR(IF(ISNUMBER(Suppliers!F39),Suppliers!F39,DATE(YEAR(TODAY()),MONTH(TODAY()),1))))*12+MONTH(EDATE(DATE(YEAR(TODAY()),MONTH(TODAY()),1),4))-MONTH(IF(ISNUMBER(Suppliers!F39),Suppliers!F39,DATE(YEAR(TODAY()),MONTH(TODAY()),1))),3)=0,1,0),IF(Suppliers!E39="Semi-annual",IF(MOD((YEAR(EDATE(DATE(YEAR(TODAY()),MONTH(TODAY()),1),4))-YEAR(IF(ISNUMBER(Suppliers!F39),Suppliers!F39,DATE(YEAR(TODAY()),MONTH(TODAY()),1))))*12+MONTH(EDATE(DATE(YEAR(TODAY()),MONTH(TODAY()),1),4))-MONTH(IF(ISNUMBER(Suppliers!F39),Suppliers!F39,DATE(YEAR(TODAY()),MONTH(TODAY()),1))),6)=0,1,0),IF(Suppliers!E39="Annual",IF(MOD((YEAR(EDATE(DATE(YEAR(TODAY()),MONTH(TODAY()),1),4))-YEAR(IF(ISNUMBER(Suppliers!F39),Suppliers!F39,DATE(YEAR(TODAY()),MONTH(TODAY()),1))))*12+MONTH(EDATE(DATE(YEAR(TODAY()),MONTH(TODAY()),1),4))-MONTH(IF(ISNUMBER(Suppliers!F39),Suppliers!F39,DATE(YEAR(TODAY()),MONTH(TODAY()),1))),12)=0,1,0),IF(Suppliers!E39="One-time",IF(4=0,1,0),1)))))),"")</f>
        <v/>
      </c>
      <c r="K41" s="10" t="str">
        <f ca="1">IFERROR(IF(OR(5&gt;=$B$1,Suppliers!A39="",NOT(ISNUMBER(Suppliers!D39)),Suppliers!L39="Expired",Suppliers!L39="Terminate"),"",Suppliers!D39*-1*IF(Suppliers!E39="Monthly",IF(AND(ISNUMBER(Suppliers!G39),(YEAR(EDATE(DATE(YEAR(TODAY()),MONTH(TODAY()),1),5))*12+MONTH(EDATE(DATE(YEAR(TODAY()),MONTH(TODAY()),1),5)))&gt;(YEAR(Suppliers!G39)*12+MONTH(Suppliers!G39))),"",1),IF(Suppliers!E39="Quarterly",IF(MOD((YEAR(EDATE(DATE(YEAR(TODAY()),MONTH(TODAY()),1),5))-YEAR(IF(ISNUMBER(Suppliers!F39),Suppliers!F39,DATE(YEAR(TODAY()),MONTH(TODAY()),1))))*12+MONTH(EDATE(DATE(YEAR(TODAY()),MONTH(TODAY()),1),5))-MONTH(IF(ISNUMBER(Suppliers!F39),Suppliers!F39,DATE(YEAR(TODAY()),MONTH(TODAY()),1))),3)=0,1,0),IF(Suppliers!E39="Semi-annual",IF(MOD((YEAR(EDATE(DATE(YEAR(TODAY()),MONTH(TODAY()),1),5))-YEAR(IF(ISNUMBER(Suppliers!F39),Suppliers!F39,DATE(YEAR(TODAY()),MONTH(TODAY()),1))))*12+MONTH(EDATE(DATE(YEAR(TODAY()),MONTH(TODAY()),1),5))-MONTH(IF(ISNUMBER(Suppliers!F39),Suppliers!F39,DATE(YEAR(TODAY()),MONTH(TODAY()),1))),6)=0,1,0),IF(Suppliers!E39="Annual",IF(MOD((YEAR(EDATE(DATE(YEAR(TODAY()),MONTH(TODAY()),1),5))-YEAR(IF(ISNUMBER(Suppliers!F39),Suppliers!F39,DATE(YEAR(TODAY()),MONTH(TODAY()),1))))*12+MONTH(EDATE(DATE(YEAR(TODAY()),MONTH(TODAY()),1),5))-MONTH(IF(ISNUMBER(Suppliers!F39),Suppliers!F39,DATE(YEAR(TODAY()),MONTH(TODAY()),1))),12)=0,1,0),IF(Suppliers!E39="One-time",IF(5=0,1,0),1)))))),"")</f>
        <v/>
      </c>
      <c r="L41" s="10" t="str">
        <f ca="1">IFERROR(IF(OR(6&gt;=$B$1,Suppliers!A39="",NOT(ISNUMBER(Suppliers!D39)),Suppliers!L39="Expired",Suppliers!L39="Terminate"),"",Suppliers!D39*-1*IF(Suppliers!E39="Monthly",IF(AND(ISNUMBER(Suppliers!G39),(YEAR(EDATE(DATE(YEAR(TODAY()),MONTH(TODAY()),1),6))*12+MONTH(EDATE(DATE(YEAR(TODAY()),MONTH(TODAY()),1),6)))&gt;(YEAR(Suppliers!G39)*12+MONTH(Suppliers!G39))),"",1),IF(Suppliers!E39="Quarterly",IF(MOD((YEAR(EDATE(DATE(YEAR(TODAY()),MONTH(TODAY()),1),6))-YEAR(IF(ISNUMBER(Suppliers!F39),Suppliers!F39,DATE(YEAR(TODAY()),MONTH(TODAY()),1))))*12+MONTH(EDATE(DATE(YEAR(TODAY()),MONTH(TODAY()),1),6))-MONTH(IF(ISNUMBER(Suppliers!F39),Suppliers!F39,DATE(YEAR(TODAY()),MONTH(TODAY()),1))),3)=0,1,0),IF(Suppliers!E39="Semi-annual",IF(MOD((YEAR(EDATE(DATE(YEAR(TODAY()),MONTH(TODAY()),1),6))-YEAR(IF(ISNUMBER(Suppliers!F39),Suppliers!F39,DATE(YEAR(TODAY()),MONTH(TODAY()),1))))*12+MONTH(EDATE(DATE(YEAR(TODAY()),MONTH(TODAY()),1),6))-MONTH(IF(ISNUMBER(Suppliers!F39),Suppliers!F39,DATE(YEAR(TODAY()),MONTH(TODAY()),1))),6)=0,1,0),IF(Suppliers!E39="Annual",IF(MOD((YEAR(EDATE(DATE(YEAR(TODAY()),MONTH(TODAY()),1),6))-YEAR(IF(ISNUMBER(Suppliers!F39),Suppliers!F39,DATE(YEAR(TODAY()),MONTH(TODAY()),1))))*12+MONTH(EDATE(DATE(YEAR(TODAY()),MONTH(TODAY()),1),6))-MONTH(IF(ISNUMBER(Suppliers!F39),Suppliers!F39,DATE(YEAR(TODAY()),MONTH(TODAY()),1))),12)=0,1,0),IF(Suppliers!E39="One-time",IF(6=0,1,0),1)))))),"")</f>
        <v/>
      </c>
      <c r="M41" s="10" t="str">
        <f ca="1">IFERROR(IF(OR(7&gt;=$B$1,Suppliers!A39="",NOT(ISNUMBER(Suppliers!D39)),Suppliers!L39="Expired",Suppliers!L39="Terminate"),"",Suppliers!D39*-1*IF(Suppliers!E39="Monthly",IF(AND(ISNUMBER(Suppliers!G39),(YEAR(EDATE(DATE(YEAR(TODAY()),MONTH(TODAY()),1),7))*12+MONTH(EDATE(DATE(YEAR(TODAY()),MONTH(TODAY()),1),7)))&gt;(YEAR(Suppliers!G39)*12+MONTH(Suppliers!G39))),"",1),IF(Suppliers!E39="Quarterly",IF(MOD((YEAR(EDATE(DATE(YEAR(TODAY()),MONTH(TODAY()),1),7))-YEAR(IF(ISNUMBER(Suppliers!F39),Suppliers!F39,DATE(YEAR(TODAY()),MONTH(TODAY()),1))))*12+MONTH(EDATE(DATE(YEAR(TODAY()),MONTH(TODAY()),1),7))-MONTH(IF(ISNUMBER(Suppliers!F39),Suppliers!F39,DATE(YEAR(TODAY()),MONTH(TODAY()),1))),3)=0,1,0),IF(Suppliers!E39="Semi-annual",IF(MOD((YEAR(EDATE(DATE(YEAR(TODAY()),MONTH(TODAY()),1),7))-YEAR(IF(ISNUMBER(Suppliers!F39),Suppliers!F39,DATE(YEAR(TODAY()),MONTH(TODAY()),1))))*12+MONTH(EDATE(DATE(YEAR(TODAY()),MONTH(TODAY()),1),7))-MONTH(IF(ISNUMBER(Suppliers!F39),Suppliers!F39,DATE(YEAR(TODAY()),MONTH(TODAY()),1))),6)=0,1,0),IF(Suppliers!E39="Annual",IF(MOD((YEAR(EDATE(DATE(YEAR(TODAY()),MONTH(TODAY()),1),7))-YEAR(IF(ISNUMBER(Suppliers!F39),Suppliers!F39,DATE(YEAR(TODAY()),MONTH(TODAY()),1))))*12+MONTH(EDATE(DATE(YEAR(TODAY()),MONTH(TODAY()),1),7))-MONTH(IF(ISNUMBER(Suppliers!F39),Suppliers!F39,DATE(YEAR(TODAY()),MONTH(TODAY()),1))),12)=0,1,0),IF(Suppliers!E39="One-time",IF(7=0,1,0),1)))))),"")</f>
        <v/>
      </c>
      <c r="N41" s="10" t="str">
        <f ca="1">IFERROR(IF(OR(8&gt;=$B$1,Suppliers!A39="",NOT(ISNUMBER(Suppliers!D39)),Suppliers!L39="Expired",Suppliers!L39="Terminate"),"",Suppliers!D39*-1*IF(Suppliers!E39="Monthly",IF(AND(ISNUMBER(Suppliers!G39),(YEAR(EDATE(DATE(YEAR(TODAY()),MONTH(TODAY()),1),8))*12+MONTH(EDATE(DATE(YEAR(TODAY()),MONTH(TODAY()),1),8)))&gt;(YEAR(Suppliers!G39)*12+MONTH(Suppliers!G39))),"",1),IF(Suppliers!E39="Quarterly",IF(MOD((YEAR(EDATE(DATE(YEAR(TODAY()),MONTH(TODAY()),1),8))-YEAR(IF(ISNUMBER(Suppliers!F39),Suppliers!F39,DATE(YEAR(TODAY()),MONTH(TODAY()),1))))*12+MONTH(EDATE(DATE(YEAR(TODAY()),MONTH(TODAY()),1),8))-MONTH(IF(ISNUMBER(Suppliers!F39),Suppliers!F39,DATE(YEAR(TODAY()),MONTH(TODAY()),1))),3)=0,1,0),IF(Suppliers!E39="Semi-annual",IF(MOD((YEAR(EDATE(DATE(YEAR(TODAY()),MONTH(TODAY()),1),8))-YEAR(IF(ISNUMBER(Suppliers!F39),Suppliers!F39,DATE(YEAR(TODAY()),MONTH(TODAY()),1))))*12+MONTH(EDATE(DATE(YEAR(TODAY()),MONTH(TODAY()),1),8))-MONTH(IF(ISNUMBER(Suppliers!F39),Suppliers!F39,DATE(YEAR(TODAY()),MONTH(TODAY()),1))),6)=0,1,0),IF(Suppliers!E39="Annual",IF(MOD((YEAR(EDATE(DATE(YEAR(TODAY()),MONTH(TODAY()),1),8))-YEAR(IF(ISNUMBER(Suppliers!F39),Suppliers!F39,DATE(YEAR(TODAY()),MONTH(TODAY()),1))))*12+MONTH(EDATE(DATE(YEAR(TODAY()),MONTH(TODAY()),1),8))-MONTH(IF(ISNUMBER(Suppliers!F39),Suppliers!F39,DATE(YEAR(TODAY()),MONTH(TODAY()),1))),12)=0,1,0),IF(Suppliers!E39="One-time",IF(8=0,1,0),1)))))),"")</f>
        <v/>
      </c>
      <c r="O41" s="10" t="str">
        <f ca="1">IFERROR(IF(OR(9&gt;=$B$1,Suppliers!A39="",NOT(ISNUMBER(Suppliers!D39)),Suppliers!L39="Expired",Suppliers!L39="Terminate"),"",Suppliers!D39*-1*IF(Suppliers!E39="Monthly",IF(AND(ISNUMBER(Suppliers!G39),(YEAR(EDATE(DATE(YEAR(TODAY()),MONTH(TODAY()),1),9))*12+MONTH(EDATE(DATE(YEAR(TODAY()),MONTH(TODAY()),1),9)))&gt;(YEAR(Suppliers!G39)*12+MONTH(Suppliers!G39))),"",1),IF(Suppliers!E39="Quarterly",IF(MOD((YEAR(EDATE(DATE(YEAR(TODAY()),MONTH(TODAY()),1),9))-YEAR(IF(ISNUMBER(Suppliers!F39),Suppliers!F39,DATE(YEAR(TODAY()),MONTH(TODAY()),1))))*12+MONTH(EDATE(DATE(YEAR(TODAY()),MONTH(TODAY()),1),9))-MONTH(IF(ISNUMBER(Suppliers!F39),Suppliers!F39,DATE(YEAR(TODAY()),MONTH(TODAY()),1))),3)=0,1,0),IF(Suppliers!E39="Semi-annual",IF(MOD((YEAR(EDATE(DATE(YEAR(TODAY()),MONTH(TODAY()),1),9))-YEAR(IF(ISNUMBER(Suppliers!F39),Suppliers!F39,DATE(YEAR(TODAY()),MONTH(TODAY()),1))))*12+MONTH(EDATE(DATE(YEAR(TODAY()),MONTH(TODAY()),1),9))-MONTH(IF(ISNUMBER(Suppliers!F39),Suppliers!F39,DATE(YEAR(TODAY()),MONTH(TODAY()),1))),6)=0,1,0),IF(Suppliers!E39="Annual",IF(MOD((YEAR(EDATE(DATE(YEAR(TODAY()),MONTH(TODAY()),1),9))-YEAR(IF(ISNUMBER(Suppliers!F39),Suppliers!F39,DATE(YEAR(TODAY()),MONTH(TODAY()),1))))*12+MONTH(EDATE(DATE(YEAR(TODAY()),MONTH(TODAY()),1),9))-MONTH(IF(ISNUMBER(Suppliers!F39),Suppliers!F39,DATE(YEAR(TODAY()),MONTH(TODAY()),1))),12)=0,1,0),IF(Suppliers!E39="One-time",IF(9=0,1,0),1)))))),"")</f>
        <v/>
      </c>
      <c r="P41" s="10" t="str">
        <f ca="1">IFERROR(IF(OR(10&gt;=$B$1,Suppliers!A39="",NOT(ISNUMBER(Suppliers!D39)),Suppliers!L39="Expired",Suppliers!L39="Terminate"),"",Suppliers!D39*-1*IF(Suppliers!E39="Monthly",IF(AND(ISNUMBER(Suppliers!G39),(YEAR(EDATE(DATE(YEAR(TODAY()),MONTH(TODAY()),1),10))*12+MONTH(EDATE(DATE(YEAR(TODAY()),MONTH(TODAY()),1),10)))&gt;(YEAR(Suppliers!G39)*12+MONTH(Suppliers!G39))),"",1),IF(Suppliers!E39="Quarterly",IF(MOD((YEAR(EDATE(DATE(YEAR(TODAY()),MONTH(TODAY()),1),10))-YEAR(IF(ISNUMBER(Suppliers!F39),Suppliers!F39,DATE(YEAR(TODAY()),MONTH(TODAY()),1))))*12+MONTH(EDATE(DATE(YEAR(TODAY()),MONTH(TODAY()),1),10))-MONTH(IF(ISNUMBER(Suppliers!F39),Suppliers!F39,DATE(YEAR(TODAY()),MONTH(TODAY()),1))),3)=0,1,0),IF(Suppliers!E39="Semi-annual",IF(MOD((YEAR(EDATE(DATE(YEAR(TODAY()),MONTH(TODAY()),1),10))-YEAR(IF(ISNUMBER(Suppliers!F39),Suppliers!F39,DATE(YEAR(TODAY()),MONTH(TODAY()),1))))*12+MONTH(EDATE(DATE(YEAR(TODAY()),MONTH(TODAY()),1),10))-MONTH(IF(ISNUMBER(Suppliers!F39),Suppliers!F39,DATE(YEAR(TODAY()),MONTH(TODAY()),1))),6)=0,1,0),IF(Suppliers!E39="Annual",IF(MOD((YEAR(EDATE(DATE(YEAR(TODAY()),MONTH(TODAY()),1),10))-YEAR(IF(ISNUMBER(Suppliers!F39),Suppliers!F39,DATE(YEAR(TODAY()),MONTH(TODAY()),1))))*12+MONTH(EDATE(DATE(YEAR(TODAY()),MONTH(TODAY()),1),10))-MONTH(IF(ISNUMBER(Suppliers!F39),Suppliers!F39,DATE(YEAR(TODAY()),MONTH(TODAY()),1))),12)=0,1,0),IF(Suppliers!E39="One-time",IF(10=0,1,0),1)))))),"")</f>
        <v/>
      </c>
      <c r="Q41" s="10" t="str">
        <f ca="1">IFERROR(IF(OR(11&gt;=$B$1,Suppliers!A39="",NOT(ISNUMBER(Suppliers!D39)),Suppliers!L39="Expired",Suppliers!L39="Terminate"),"",Suppliers!D39*-1*IF(Suppliers!E39="Monthly",IF(AND(ISNUMBER(Suppliers!G39),(YEAR(EDATE(DATE(YEAR(TODAY()),MONTH(TODAY()),1),11))*12+MONTH(EDATE(DATE(YEAR(TODAY()),MONTH(TODAY()),1),11)))&gt;(YEAR(Suppliers!G39)*12+MONTH(Suppliers!G39))),"",1),IF(Suppliers!E39="Quarterly",IF(MOD((YEAR(EDATE(DATE(YEAR(TODAY()),MONTH(TODAY()),1),11))-YEAR(IF(ISNUMBER(Suppliers!F39),Suppliers!F39,DATE(YEAR(TODAY()),MONTH(TODAY()),1))))*12+MONTH(EDATE(DATE(YEAR(TODAY()),MONTH(TODAY()),1),11))-MONTH(IF(ISNUMBER(Suppliers!F39),Suppliers!F39,DATE(YEAR(TODAY()),MONTH(TODAY()),1))),3)=0,1,0),IF(Suppliers!E39="Semi-annual",IF(MOD((YEAR(EDATE(DATE(YEAR(TODAY()),MONTH(TODAY()),1),11))-YEAR(IF(ISNUMBER(Suppliers!F39),Suppliers!F39,DATE(YEAR(TODAY()),MONTH(TODAY()),1))))*12+MONTH(EDATE(DATE(YEAR(TODAY()),MONTH(TODAY()),1),11))-MONTH(IF(ISNUMBER(Suppliers!F39),Suppliers!F39,DATE(YEAR(TODAY()),MONTH(TODAY()),1))),6)=0,1,0),IF(Suppliers!E39="Annual",IF(MOD((YEAR(EDATE(DATE(YEAR(TODAY()),MONTH(TODAY()),1),11))-YEAR(IF(ISNUMBER(Suppliers!F39),Suppliers!F39,DATE(YEAR(TODAY()),MONTH(TODAY()),1))))*12+MONTH(EDATE(DATE(YEAR(TODAY()),MONTH(TODAY()),1),11))-MONTH(IF(ISNUMBER(Suppliers!F39),Suppliers!F39,DATE(YEAR(TODAY()),MONTH(TODAY()),1))),12)=0,1,0),IF(Suppliers!E39="One-time",IF(11=0,1,0),1)))))),"")</f>
        <v/>
      </c>
      <c r="R41" s="10" t="str">
        <f ca="1">IFERROR(IF(OR(12&gt;=$B$1,Suppliers!A39="",NOT(ISNUMBER(Suppliers!D39)),Suppliers!L39="Expired",Suppliers!L39="Terminate"),"",Suppliers!D39*-1*IF(Suppliers!E39="Monthly",IF(AND(ISNUMBER(Suppliers!G39),(YEAR(EDATE(DATE(YEAR(TODAY()),MONTH(TODAY()),1),12))*12+MONTH(EDATE(DATE(YEAR(TODAY()),MONTH(TODAY()),1),12)))&gt;(YEAR(Suppliers!G39)*12+MONTH(Suppliers!G39))),"",1),IF(Suppliers!E39="Quarterly",IF(MOD((YEAR(EDATE(DATE(YEAR(TODAY()),MONTH(TODAY()),1),12))-YEAR(IF(ISNUMBER(Suppliers!F39),Suppliers!F39,DATE(YEAR(TODAY()),MONTH(TODAY()),1))))*12+MONTH(EDATE(DATE(YEAR(TODAY()),MONTH(TODAY()),1),12))-MONTH(IF(ISNUMBER(Suppliers!F39),Suppliers!F39,DATE(YEAR(TODAY()),MONTH(TODAY()),1))),3)=0,1,0),IF(Suppliers!E39="Semi-annual",IF(MOD((YEAR(EDATE(DATE(YEAR(TODAY()),MONTH(TODAY()),1),12))-YEAR(IF(ISNUMBER(Suppliers!F39),Suppliers!F39,DATE(YEAR(TODAY()),MONTH(TODAY()),1))))*12+MONTH(EDATE(DATE(YEAR(TODAY()),MONTH(TODAY()),1),12))-MONTH(IF(ISNUMBER(Suppliers!F39),Suppliers!F39,DATE(YEAR(TODAY()),MONTH(TODAY()),1))),6)=0,1,0),IF(Suppliers!E39="Annual",IF(MOD((YEAR(EDATE(DATE(YEAR(TODAY()),MONTH(TODAY()),1),12))-YEAR(IF(ISNUMBER(Suppliers!F39),Suppliers!F39,DATE(YEAR(TODAY()),MONTH(TODAY()),1))))*12+MONTH(EDATE(DATE(YEAR(TODAY()),MONTH(TODAY()),1),12))-MONTH(IF(ISNUMBER(Suppliers!F39),Suppliers!F39,DATE(YEAR(TODAY()),MONTH(TODAY()),1))),12)=0,1,0),IF(Suppliers!E39="One-time",IF(12=0,1,0),1)))))),"")</f>
        <v/>
      </c>
      <c r="S41" s="10" t="str">
        <f ca="1">IFERROR(IF(OR(13&gt;=$B$1,Suppliers!A39="",NOT(ISNUMBER(Suppliers!D39)),Suppliers!L39="Expired",Suppliers!L39="Terminate"),"",Suppliers!D39*-1*IF(Suppliers!E39="Monthly",IF(AND(ISNUMBER(Suppliers!G39),(YEAR(EDATE(DATE(YEAR(TODAY()),MONTH(TODAY()),1),13))*12+MONTH(EDATE(DATE(YEAR(TODAY()),MONTH(TODAY()),1),13)))&gt;(YEAR(Suppliers!G39)*12+MONTH(Suppliers!G39))),"",1),IF(Suppliers!E39="Quarterly",IF(MOD((YEAR(EDATE(DATE(YEAR(TODAY()),MONTH(TODAY()),1),13))-YEAR(IF(ISNUMBER(Suppliers!F39),Suppliers!F39,DATE(YEAR(TODAY()),MONTH(TODAY()),1))))*12+MONTH(EDATE(DATE(YEAR(TODAY()),MONTH(TODAY()),1),13))-MONTH(IF(ISNUMBER(Suppliers!F39),Suppliers!F39,DATE(YEAR(TODAY()),MONTH(TODAY()),1))),3)=0,1,0),IF(Suppliers!E39="Semi-annual",IF(MOD((YEAR(EDATE(DATE(YEAR(TODAY()),MONTH(TODAY()),1),13))-YEAR(IF(ISNUMBER(Suppliers!F39),Suppliers!F39,DATE(YEAR(TODAY()),MONTH(TODAY()),1))))*12+MONTH(EDATE(DATE(YEAR(TODAY()),MONTH(TODAY()),1),13))-MONTH(IF(ISNUMBER(Suppliers!F39),Suppliers!F39,DATE(YEAR(TODAY()),MONTH(TODAY()),1))),6)=0,1,0),IF(Suppliers!E39="Annual",IF(MOD((YEAR(EDATE(DATE(YEAR(TODAY()),MONTH(TODAY()),1),13))-YEAR(IF(ISNUMBER(Suppliers!F39),Suppliers!F39,DATE(YEAR(TODAY()),MONTH(TODAY()),1))))*12+MONTH(EDATE(DATE(YEAR(TODAY()),MONTH(TODAY()),1),13))-MONTH(IF(ISNUMBER(Suppliers!F39),Suppliers!F39,DATE(YEAR(TODAY()),MONTH(TODAY()),1))),12)=0,1,0),IF(Suppliers!E39="One-time",IF(13=0,1,0),1)))))),"")</f>
        <v/>
      </c>
      <c r="T41" s="10" t="str">
        <f ca="1">IFERROR(IF(OR(14&gt;=$B$1,Suppliers!A39="",NOT(ISNUMBER(Suppliers!D39)),Suppliers!L39="Expired",Suppliers!L39="Terminate"),"",Suppliers!D39*-1*IF(Suppliers!E39="Monthly",IF(AND(ISNUMBER(Suppliers!G39),(YEAR(EDATE(DATE(YEAR(TODAY()),MONTH(TODAY()),1),14))*12+MONTH(EDATE(DATE(YEAR(TODAY()),MONTH(TODAY()),1),14)))&gt;(YEAR(Suppliers!G39)*12+MONTH(Suppliers!G39))),"",1),IF(Suppliers!E39="Quarterly",IF(MOD((YEAR(EDATE(DATE(YEAR(TODAY()),MONTH(TODAY()),1),14))-YEAR(IF(ISNUMBER(Suppliers!F39),Suppliers!F39,DATE(YEAR(TODAY()),MONTH(TODAY()),1))))*12+MONTH(EDATE(DATE(YEAR(TODAY()),MONTH(TODAY()),1),14))-MONTH(IF(ISNUMBER(Suppliers!F39),Suppliers!F39,DATE(YEAR(TODAY()),MONTH(TODAY()),1))),3)=0,1,0),IF(Suppliers!E39="Semi-annual",IF(MOD((YEAR(EDATE(DATE(YEAR(TODAY()),MONTH(TODAY()),1),14))-YEAR(IF(ISNUMBER(Suppliers!F39),Suppliers!F39,DATE(YEAR(TODAY()),MONTH(TODAY()),1))))*12+MONTH(EDATE(DATE(YEAR(TODAY()),MONTH(TODAY()),1),14))-MONTH(IF(ISNUMBER(Suppliers!F39),Suppliers!F39,DATE(YEAR(TODAY()),MONTH(TODAY()),1))),6)=0,1,0),IF(Suppliers!E39="Annual",IF(MOD((YEAR(EDATE(DATE(YEAR(TODAY()),MONTH(TODAY()),1),14))-YEAR(IF(ISNUMBER(Suppliers!F39),Suppliers!F39,DATE(YEAR(TODAY()),MONTH(TODAY()),1))))*12+MONTH(EDATE(DATE(YEAR(TODAY()),MONTH(TODAY()),1),14))-MONTH(IF(ISNUMBER(Suppliers!F39),Suppliers!F39,DATE(YEAR(TODAY()),MONTH(TODAY()),1))),12)=0,1,0),IF(Suppliers!E39="One-time",IF(14=0,1,0),1)))))),"")</f>
        <v/>
      </c>
      <c r="U41" s="10" t="str">
        <f ca="1">IFERROR(IF(OR(15&gt;=$B$1,Suppliers!A39="",NOT(ISNUMBER(Suppliers!D39)),Suppliers!L39="Expired",Suppliers!L39="Terminate"),"",Suppliers!D39*-1*IF(Suppliers!E39="Monthly",IF(AND(ISNUMBER(Suppliers!G39),(YEAR(EDATE(DATE(YEAR(TODAY()),MONTH(TODAY()),1),15))*12+MONTH(EDATE(DATE(YEAR(TODAY()),MONTH(TODAY()),1),15)))&gt;(YEAR(Suppliers!G39)*12+MONTH(Suppliers!G39))),"",1),IF(Suppliers!E39="Quarterly",IF(MOD((YEAR(EDATE(DATE(YEAR(TODAY()),MONTH(TODAY()),1),15))-YEAR(IF(ISNUMBER(Suppliers!F39),Suppliers!F39,DATE(YEAR(TODAY()),MONTH(TODAY()),1))))*12+MONTH(EDATE(DATE(YEAR(TODAY()),MONTH(TODAY()),1),15))-MONTH(IF(ISNUMBER(Suppliers!F39),Suppliers!F39,DATE(YEAR(TODAY()),MONTH(TODAY()),1))),3)=0,1,0),IF(Suppliers!E39="Semi-annual",IF(MOD((YEAR(EDATE(DATE(YEAR(TODAY()),MONTH(TODAY()),1),15))-YEAR(IF(ISNUMBER(Suppliers!F39),Suppliers!F39,DATE(YEAR(TODAY()),MONTH(TODAY()),1))))*12+MONTH(EDATE(DATE(YEAR(TODAY()),MONTH(TODAY()),1),15))-MONTH(IF(ISNUMBER(Suppliers!F39),Suppliers!F39,DATE(YEAR(TODAY()),MONTH(TODAY()),1))),6)=0,1,0),IF(Suppliers!E39="Annual",IF(MOD((YEAR(EDATE(DATE(YEAR(TODAY()),MONTH(TODAY()),1),15))-YEAR(IF(ISNUMBER(Suppliers!F39),Suppliers!F39,DATE(YEAR(TODAY()),MONTH(TODAY()),1))))*12+MONTH(EDATE(DATE(YEAR(TODAY()),MONTH(TODAY()),1),15))-MONTH(IF(ISNUMBER(Suppliers!F39),Suppliers!F39,DATE(YEAR(TODAY()),MONTH(TODAY()),1))),12)=0,1,0),IF(Suppliers!E39="One-time",IF(15=0,1,0),1)))))),"")</f>
        <v/>
      </c>
      <c r="V41" s="10" t="str">
        <f ca="1">IFERROR(IF(OR(16&gt;=$B$1,Suppliers!A39="",NOT(ISNUMBER(Suppliers!D39)),Suppliers!L39="Expired",Suppliers!L39="Terminate"),"",Suppliers!D39*-1*IF(Suppliers!E39="Monthly",IF(AND(ISNUMBER(Suppliers!G39),(YEAR(EDATE(DATE(YEAR(TODAY()),MONTH(TODAY()),1),16))*12+MONTH(EDATE(DATE(YEAR(TODAY()),MONTH(TODAY()),1),16)))&gt;(YEAR(Suppliers!G39)*12+MONTH(Suppliers!G39))),"",1),IF(Suppliers!E39="Quarterly",IF(MOD((YEAR(EDATE(DATE(YEAR(TODAY()),MONTH(TODAY()),1),16))-YEAR(IF(ISNUMBER(Suppliers!F39),Suppliers!F39,DATE(YEAR(TODAY()),MONTH(TODAY()),1))))*12+MONTH(EDATE(DATE(YEAR(TODAY()),MONTH(TODAY()),1),16))-MONTH(IF(ISNUMBER(Suppliers!F39),Suppliers!F39,DATE(YEAR(TODAY()),MONTH(TODAY()),1))),3)=0,1,0),IF(Suppliers!E39="Semi-annual",IF(MOD((YEAR(EDATE(DATE(YEAR(TODAY()),MONTH(TODAY()),1),16))-YEAR(IF(ISNUMBER(Suppliers!F39),Suppliers!F39,DATE(YEAR(TODAY()),MONTH(TODAY()),1))))*12+MONTH(EDATE(DATE(YEAR(TODAY()),MONTH(TODAY()),1),16))-MONTH(IF(ISNUMBER(Suppliers!F39),Suppliers!F39,DATE(YEAR(TODAY()),MONTH(TODAY()),1))),6)=0,1,0),IF(Suppliers!E39="Annual",IF(MOD((YEAR(EDATE(DATE(YEAR(TODAY()),MONTH(TODAY()),1),16))-YEAR(IF(ISNUMBER(Suppliers!F39),Suppliers!F39,DATE(YEAR(TODAY()),MONTH(TODAY()),1))))*12+MONTH(EDATE(DATE(YEAR(TODAY()),MONTH(TODAY()),1),16))-MONTH(IF(ISNUMBER(Suppliers!F39),Suppliers!F39,DATE(YEAR(TODAY()),MONTH(TODAY()),1))),12)=0,1,0),IF(Suppliers!E39="One-time",IF(16=0,1,0),1)))))),"")</f>
        <v/>
      </c>
      <c r="W41" s="10" t="str">
        <f ca="1">IFERROR(IF(OR(17&gt;=$B$1,Suppliers!A39="",NOT(ISNUMBER(Suppliers!D39)),Suppliers!L39="Expired",Suppliers!L39="Terminate"),"",Suppliers!D39*-1*IF(Suppliers!E39="Monthly",IF(AND(ISNUMBER(Suppliers!G39),(YEAR(EDATE(DATE(YEAR(TODAY()),MONTH(TODAY()),1),17))*12+MONTH(EDATE(DATE(YEAR(TODAY()),MONTH(TODAY()),1),17)))&gt;(YEAR(Suppliers!G39)*12+MONTH(Suppliers!G39))),"",1),IF(Suppliers!E39="Quarterly",IF(MOD((YEAR(EDATE(DATE(YEAR(TODAY()),MONTH(TODAY()),1),17))-YEAR(IF(ISNUMBER(Suppliers!F39),Suppliers!F39,DATE(YEAR(TODAY()),MONTH(TODAY()),1))))*12+MONTH(EDATE(DATE(YEAR(TODAY()),MONTH(TODAY()),1),17))-MONTH(IF(ISNUMBER(Suppliers!F39),Suppliers!F39,DATE(YEAR(TODAY()),MONTH(TODAY()),1))),3)=0,1,0),IF(Suppliers!E39="Semi-annual",IF(MOD((YEAR(EDATE(DATE(YEAR(TODAY()),MONTH(TODAY()),1),17))-YEAR(IF(ISNUMBER(Suppliers!F39),Suppliers!F39,DATE(YEAR(TODAY()),MONTH(TODAY()),1))))*12+MONTH(EDATE(DATE(YEAR(TODAY()),MONTH(TODAY()),1),17))-MONTH(IF(ISNUMBER(Suppliers!F39),Suppliers!F39,DATE(YEAR(TODAY()),MONTH(TODAY()),1))),6)=0,1,0),IF(Suppliers!E39="Annual",IF(MOD((YEAR(EDATE(DATE(YEAR(TODAY()),MONTH(TODAY()),1),17))-YEAR(IF(ISNUMBER(Suppliers!F39),Suppliers!F39,DATE(YEAR(TODAY()),MONTH(TODAY()),1))))*12+MONTH(EDATE(DATE(YEAR(TODAY()),MONTH(TODAY()),1),17))-MONTH(IF(ISNUMBER(Suppliers!F39),Suppliers!F39,DATE(YEAR(TODAY()),MONTH(TODAY()),1))),12)=0,1,0),IF(Suppliers!E39="One-time",IF(17=0,1,0),1)))))),"")</f>
        <v/>
      </c>
      <c r="X41" s="10" t="str">
        <f ca="1">IFERROR(IF(OR(18&gt;=$B$1,Suppliers!A39="",NOT(ISNUMBER(Suppliers!D39)),Suppliers!L39="Expired",Suppliers!L39="Terminate"),"",Suppliers!D39*-1*IF(Suppliers!E39="Monthly",IF(AND(ISNUMBER(Suppliers!G39),(YEAR(EDATE(DATE(YEAR(TODAY()),MONTH(TODAY()),1),18))*12+MONTH(EDATE(DATE(YEAR(TODAY()),MONTH(TODAY()),1),18)))&gt;(YEAR(Suppliers!G39)*12+MONTH(Suppliers!G39))),"",1),IF(Suppliers!E39="Quarterly",IF(MOD((YEAR(EDATE(DATE(YEAR(TODAY()),MONTH(TODAY()),1),18))-YEAR(IF(ISNUMBER(Suppliers!F39),Suppliers!F39,DATE(YEAR(TODAY()),MONTH(TODAY()),1))))*12+MONTH(EDATE(DATE(YEAR(TODAY()),MONTH(TODAY()),1),18))-MONTH(IF(ISNUMBER(Suppliers!F39),Suppliers!F39,DATE(YEAR(TODAY()),MONTH(TODAY()),1))),3)=0,1,0),IF(Suppliers!E39="Semi-annual",IF(MOD((YEAR(EDATE(DATE(YEAR(TODAY()),MONTH(TODAY()),1),18))-YEAR(IF(ISNUMBER(Suppliers!F39),Suppliers!F39,DATE(YEAR(TODAY()),MONTH(TODAY()),1))))*12+MONTH(EDATE(DATE(YEAR(TODAY()),MONTH(TODAY()),1),18))-MONTH(IF(ISNUMBER(Suppliers!F39),Suppliers!F39,DATE(YEAR(TODAY()),MONTH(TODAY()),1))),6)=0,1,0),IF(Suppliers!E39="Annual",IF(MOD((YEAR(EDATE(DATE(YEAR(TODAY()),MONTH(TODAY()),1),18))-YEAR(IF(ISNUMBER(Suppliers!F39),Suppliers!F39,DATE(YEAR(TODAY()),MONTH(TODAY()),1))))*12+MONTH(EDATE(DATE(YEAR(TODAY()),MONTH(TODAY()),1),18))-MONTH(IF(ISNUMBER(Suppliers!F39),Suppliers!F39,DATE(YEAR(TODAY()),MONTH(TODAY()),1))),12)=0,1,0),IF(Suppliers!E39="One-time",IF(18=0,1,0),1)))))),"")</f>
        <v/>
      </c>
      <c r="Y41" s="10" t="str">
        <f ca="1">IFERROR(IF(OR(19&gt;=$B$1,Suppliers!A39="",NOT(ISNUMBER(Suppliers!D39)),Suppliers!L39="Expired",Suppliers!L39="Terminate"),"",Suppliers!D39*-1*IF(Suppliers!E39="Monthly",IF(AND(ISNUMBER(Suppliers!G39),(YEAR(EDATE(DATE(YEAR(TODAY()),MONTH(TODAY()),1),19))*12+MONTH(EDATE(DATE(YEAR(TODAY()),MONTH(TODAY()),1),19)))&gt;(YEAR(Suppliers!G39)*12+MONTH(Suppliers!G39))),"",1),IF(Suppliers!E39="Quarterly",IF(MOD((YEAR(EDATE(DATE(YEAR(TODAY()),MONTH(TODAY()),1),19))-YEAR(IF(ISNUMBER(Suppliers!F39),Suppliers!F39,DATE(YEAR(TODAY()),MONTH(TODAY()),1))))*12+MONTH(EDATE(DATE(YEAR(TODAY()),MONTH(TODAY()),1),19))-MONTH(IF(ISNUMBER(Suppliers!F39),Suppliers!F39,DATE(YEAR(TODAY()),MONTH(TODAY()),1))),3)=0,1,0),IF(Suppliers!E39="Semi-annual",IF(MOD((YEAR(EDATE(DATE(YEAR(TODAY()),MONTH(TODAY()),1),19))-YEAR(IF(ISNUMBER(Suppliers!F39),Suppliers!F39,DATE(YEAR(TODAY()),MONTH(TODAY()),1))))*12+MONTH(EDATE(DATE(YEAR(TODAY()),MONTH(TODAY()),1),19))-MONTH(IF(ISNUMBER(Suppliers!F39),Suppliers!F39,DATE(YEAR(TODAY()),MONTH(TODAY()),1))),6)=0,1,0),IF(Suppliers!E39="Annual",IF(MOD((YEAR(EDATE(DATE(YEAR(TODAY()),MONTH(TODAY()),1),19))-YEAR(IF(ISNUMBER(Suppliers!F39),Suppliers!F39,DATE(YEAR(TODAY()),MONTH(TODAY()),1))))*12+MONTH(EDATE(DATE(YEAR(TODAY()),MONTH(TODAY()),1),19))-MONTH(IF(ISNUMBER(Suppliers!F39),Suppliers!F39,DATE(YEAR(TODAY()),MONTH(TODAY()),1))),12)=0,1,0),IF(Suppliers!E39="One-time",IF(19=0,1,0),1)))))),"")</f>
        <v/>
      </c>
      <c r="Z41" s="10" t="str">
        <f ca="1">IFERROR(IF(OR(20&gt;=$B$1,Suppliers!A39="",NOT(ISNUMBER(Suppliers!D39)),Suppliers!L39="Expired",Suppliers!L39="Terminate"),"",Suppliers!D39*-1*IF(Suppliers!E39="Monthly",IF(AND(ISNUMBER(Suppliers!G39),(YEAR(EDATE(DATE(YEAR(TODAY()),MONTH(TODAY()),1),20))*12+MONTH(EDATE(DATE(YEAR(TODAY()),MONTH(TODAY()),1),20)))&gt;(YEAR(Suppliers!G39)*12+MONTH(Suppliers!G39))),"",1),IF(Suppliers!E39="Quarterly",IF(MOD((YEAR(EDATE(DATE(YEAR(TODAY()),MONTH(TODAY()),1),20))-YEAR(IF(ISNUMBER(Suppliers!F39),Suppliers!F39,DATE(YEAR(TODAY()),MONTH(TODAY()),1))))*12+MONTH(EDATE(DATE(YEAR(TODAY()),MONTH(TODAY()),1),20))-MONTH(IF(ISNUMBER(Suppliers!F39),Suppliers!F39,DATE(YEAR(TODAY()),MONTH(TODAY()),1))),3)=0,1,0),IF(Suppliers!E39="Semi-annual",IF(MOD((YEAR(EDATE(DATE(YEAR(TODAY()),MONTH(TODAY()),1),20))-YEAR(IF(ISNUMBER(Suppliers!F39),Suppliers!F39,DATE(YEAR(TODAY()),MONTH(TODAY()),1))))*12+MONTH(EDATE(DATE(YEAR(TODAY()),MONTH(TODAY()),1),20))-MONTH(IF(ISNUMBER(Suppliers!F39),Suppliers!F39,DATE(YEAR(TODAY()),MONTH(TODAY()),1))),6)=0,1,0),IF(Suppliers!E39="Annual",IF(MOD((YEAR(EDATE(DATE(YEAR(TODAY()),MONTH(TODAY()),1),20))-YEAR(IF(ISNUMBER(Suppliers!F39),Suppliers!F39,DATE(YEAR(TODAY()),MONTH(TODAY()),1))))*12+MONTH(EDATE(DATE(YEAR(TODAY()),MONTH(TODAY()),1),20))-MONTH(IF(ISNUMBER(Suppliers!F39),Suppliers!F39,DATE(YEAR(TODAY()),MONTH(TODAY()),1))),12)=0,1,0),IF(Suppliers!E39="One-time",IF(20=0,1,0),1)))))),"")</f>
        <v/>
      </c>
      <c r="AA41" s="10" t="str">
        <f ca="1">IFERROR(IF(OR(21&gt;=$B$1,Suppliers!A39="",NOT(ISNUMBER(Suppliers!D39)),Suppliers!L39="Expired",Suppliers!L39="Terminate"),"",Suppliers!D39*-1*IF(Suppliers!E39="Monthly",IF(AND(ISNUMBER(Suppliers!G39),(YEAR(EDATE(DATE(YEAR(TODAY()),MONTH(TODAY()),1),21))*12+MONTH(EDATE(DATE(YEAR(TODAY()),MONTH(TODAY()),1),21)))&gt;(YEAR(Suppliers!G39)*12+MONTH(Suppliers!G39))),"",1),IF(Suppliers!E39="Quarterly",IF(MOD((YEAR(EDATE(DATE(YEAR(TODAY()),MONTH(TODAY()),1),21))-YEAR(IF(ISNUMBER(Suppliers!F39),Suppliers!F39,DATE(YEAR(TODAY()),MONTH(TODAY()),1))))*12+MONTH(EDATE(DATE(YEAR(TODAY()),MONTH(TODAY()),1),21))-MONTH(IF(ISNUMBER(Suppliers!F39),Suppliers!F39,DATE(YEAR(TODAY()),MONTH(TODAY()),1))),3)=0,1,0),IF(Suppliers!E39="Semi-annual",IF(MOD((YEAR(EDATE(DATE(YEAR(TODAY()),MONTH(TODAY()),1),21))-YEAR(IF(ISNUMBER(Suppliers!F39),Suppliers!F39,DATE(YEAR(TODAY()),MONTH(TODAY()),1))))*12+MONTH(EDATE(DATE(YEAR(TODAY()),MONTH(TODAY()),1),21))-MONTH(IF(ISNUMBER(Suppliers!F39),Suppliers!F39,DATE(YEAR(TODAY()),MONTH(TODAY()),1))),6)=0,1,0),IF(Suppliers!E39="Annual",IF(MOD((YEAR(EDATE(DATE(YEAR(TODAY()),MONTH(TODAY()),1),21))-YEAR(IF(ISNUMBER(Suppliers!F39),Suppliers!F39,DATE(YEAR(TODAY()),MONTH(TODAY()),1))))*12+MONTH(EDATE(DATE(YEAR(TODAY()),MONTH(TODAY()),1),21))-MONTH(IF(ISNUMBER(Suppliers!F39),Suppliers!F39,DATE(YEAR(TODAY()),MONTH(TODAY()),1))),12)=0,1,0),IF(Suppliers!E39="One-time",IF(21=0,1,0),1)))))),"")</f>
        <v/>
      </c>
      <c r="AB41" s="10" t="str">
        <f ca="1">IFERROR(IF(OR(22&gt;=$B$1,Suppliers!A39="",NOT(ISNUMBER(Suppliers!D39)),Suppliers!L39="Expired",Suppliers!L39="Terminate"),"",Suppliers!D39*-1*IF(Suppliers!E39="Monthly",IF(AND(ISNUMBER(Suppliers!G39),(YEAR(EDATE(DATE(YEAR(TODAY()),MONTH(TODAY()),1),22))*12+MONTH(EDATE(DATE(YEAR(TODAY()),MONTH(TODAY()),1),22)))&gt;(YEAR(Suppliers!G39)*12+MONTH(Suppliers!G39))),"",1),IF(Suppliers!E39="Quarterly",IF(MOD((YEAR(EDATE(DATE(YEAR(TODAY()),MONTH(TODAY()),1),22))-YEAR(IF(ISNUMBER(Suppliers!F39),Suppliers!F39,DATE(YEAR(TODAY()),MONTH(TODAY()),1))))*12+MONTH(EDATE(DATE(YEAR(TODAY()),MONTH(TODAY()),1),22))-MONTH(IF(ISNUMBER(Suppliers!F39),Suppliers!F39,DATE(YEAR(TODAY()),MONTH(TODAY()),1))),3)=0,1,0),IF(Suppliers!E39="Semi-annual",IF(MOD((YEAR(EDATE(DATE(YEAR(TODAY()),MONTH(TODAY()),1),22))-YEAR(IF(ISNUMBER(Suppliers!F39),Suppliers!F39,DATE(YEAR(TODAY()),MONTH(TODAY()),1))))*12+MONTH(EDATE(DATE(YEAR(TODAY()),MONTH(TODAY()),1),22))-MONTH(IF(ISNUMBER(Suppliers!F39),Suppliers!F39,DATE(YEAR(TODAY()),MONTH(TODAY()),1))),6)=0,1,0),IF(Suppliers!E39="Annual",IF(MOD((YEAR(EDATE(DATE(YEAR(TODAY()),MONTH(TODAY()),1),22))-YEAR(IF(ISNUMBER(Suppliers!F39),Suppliers!F39,DATE(YEAR(TODAY()),MONTH(TODAY()),1))))*12+MONTH(EDATE(DATE(YEAR(TODAY()),MONTH(TODAY()),1),22))-MONTH(IF(ISNUMBER(Suppliers!F39),Suppliers!F39,DATE(YEAR(TODAY()),MONTH(TODAY()),1))),12)=0,1,0),IF(Suppliers!E39="One-time",IF(22=0,1,0),1)))))),"")</f>
        <v/>
      </c>
      <c r="AC41" s="10" t="str">
        <f ca="1">IFERROR(IF(OR(23&gt;=$B$1,Suppliers!A39="",NOT(ISNUMBER(Suppliers!D39)),Suppliers!L39="Expired",Suppliers!L39="Terminate"),"",Suppliers!D39*-1*IF(Suppliers!E39="Monthly",IF(AND(ISNUMBER(Suppliers!G39),(YEAR(EDATE(DATE(YEAR(TODAY()),MONTH(TODAY()),1),23))*12+MONTH(EDATE(DATE(YEAR(TODAY()),MONTH(TODAY()),1),23)))&gt;(YEAR(Suppliers!G39)*12+MONTH(Suppliers!G39))),"",1),IF(Suppliers!E39="Quarterly",IF(MOD((YEAR(EDATE(DATE(YEAR(TODAY()),MONTH(TODAY()),1),23))-YEAR(IF(ISNUMBER(Suppliers!F39),Suppliers!F39,DATE(YEAR(TODAY()),MONTH(TODAY()),1))))*12+MONTH(EDATE(DATE(YEAR(TODAY()),MONTH(TODAY()),1),23))-MONTH(IF(ISNUMBER(Suppliers!F39),Suppliers!F39,DATE(YEAR(TODAY()),MONTH(TODAY()),1))),3)=0,1,0),IF(Suppliers!E39="Semi-annual",IF(MOD((YEAR(EDATE(DATE(YEAR(TODAY()),MONTH(TODAY()),1),23))-YEAR(IF(ISNUMBER(Suppliers!F39),Suppliers!F39,DATE(YEAR(TODAY()),MONTH(TODAY()),1))))*12+MONTH(EDATE(DATE(YEAR(TODAY()),MONTH(TODAY()),1),23))-MONTH(IF(ISNUMBER(Suppliers!F39),Suppliers!F39,DATE(YEAR(TODAY()),MONTH(TODAY()),1))),6)=0,1,0),IF(Suppliers!E39="Annual",IF(MOD((YEAR(EDATE(DATE(YEAR(TODAY()),MONTH(TODAY()),1),23))-YEAR(IF(ISNUMBER(Suppliers!F39),Suppliers!F39,DATE(YEAR(TODAY()),MONTH(TODAY()),1))))*12+MONTH(EDATE(DATE(YEAR(TODAY()),MONTH(TODAY()),1),23))-MONTH(IF(ISNUMBER(Suppliers!F39),Suppliers!F39,DATE(YEAR(TODAY()),MONTH(TODAY()),1))),12)=0,1,0),IF(Suppliers!E39="One-time",IF(23=0,1,0),1)))))),"")</f>
        <v/>
      </c>
    </row>
    <row r="42" spans="1:29" ht="15" customHeight="1" x14ac:dyDescent="0.35">
      <c r="A42" s="4" t="s">
        <v>80</v>
      </c>
      <c r="B42" s="4" t="str">
        <f>IF(Suppliers!A40="","",Suppliers!A40)</f>
        <v/>
      </c>
      <c r="C42" s="10" t="str">
        <f>IF(Suppliers!C40="","",Suppliers!C40)</f>
        <v/>
      </c>
      <c r="D42" s="10" t="str">
        <f>IF(Suppliers!D40="","",Suppliers!D40)</f>
        <v/>
      </c>
      <c r="E42" s="4" t="str">
        <f>IF(Suppliers!E40="","",Suppliers!E40)</f>
        <v/>
      </c>
      <c r="F42" s="10" t="str">
        <f ca="1">IFERROR(IF(OR(0&gt;=$B$1,Suppliers!A40="",NOT(ISNUMBER(Suppliers!D40)),Suppliers!L40="Expired",Suppliers!L40="Terminate"),"",Suppliers!D40*-1*IF(Suppliers!E40="Monthly",IF(AND(ISNUMBER(Suppliers!G40),(YEAR(EDATE(DATE(YEAR(TODAY()),MONTH(TODAY()),1),0))*12+MONTH(EDATE(DATE(YEAR(TODAY()),MONTH(TODAY()),1),0)))&gt;(YEAR(Suppliers!G40)*12+MONTH(Suppliers!G40))),"",1),IF(Suppliers!E40="Quarterly",IF(MOD((YEAR(EDATE(DATE(YEAR(TODAY()),MONTH(TODAY()),1),0))-YEAR(IF(ISNUMBER(Suppliers!F40),Suppliers!F40,DATE(YEAR(TODAY()),MONTH(TODAY()),1))))*12+MONTH(EDATE(DATE(YEAR(TODAY()),MONTH(TODAY()),1),0))-MONTH(IF(ISNUMBER(Suppliers!F40),Suppliers!F40,DATE(YEAR(TODAY()),MONTH(TODAY()),1))),3)=0,1,0),IF(Suppliers!E40="Semi-annual",IF(MOD((YEAR(EDATE(DATE(YEAR(TODAY()),MONTH(TODAY()),1),0))-YEAR(IF(ISNUMBER(Suppliers!F40),Suppliers!F40,DATE(YEAR(TODAY()),MONTH(TODAY()),1))))*12+MONTH(EDATE(DATE(YEAR(TODAY()),MONTH(TODAY()),1),0))-MONTH(IF(ISNUMBER(Suppliers!F40),Suppliers!F40,DATE(YEAR(TODAY()),MONTH(TODAY()),1))),6)=0,1,0),IF(Suppliers!E40="Annual",IF(MOD((YEAR(EDATE(DATE(YEAR(TODAY()),MONTH(TODAY()),1),0))-YEAR(IF(ISNUMBER(Suppliers!F40),Suppliers!F40,DATE(YEAR(TODAY()),MONTH(TODAY()),1))))*12+MONTH(EDATE(DATE(YEAR(TODAY()),MONTH(TODAY()),1),0))-MONTH(IF(ISNUMBER(Suppliers!F40),Suppliers!F40,DATE(YEAR(TODAY()),MONTH(TODAY()),1))),12)=0,1,0),IF(Suppliers!E40="One-time",IF(0=0,1,0),1)))))),"")</f>
        <v/>
      </c>
      <c r="G42" s="10" t="str">
        <f ca="1">IFERROR(IF(OR(1&gt;=$B$1,Suppliers!A40="",NOT(ISNUMBER(Suppliers!D40)),Suppliers!L40="Expired",Suppliers!L40="Terminate"),"",Suppliers!D40*-1*IF(Suppliers!E40="Monthly",IF(AND(ISNUMBER(Suppliers!G40),(YEAR(EDATE(DATE(YEAR(TODAY()),MONTH(TODAY()),1),1))*12+MONTH(EDATE(DATE(YEAR(TODAY()),MONTH(TODAY()),1),1)))&gt;(YEAR(Suppliers!G40)*12+MONTH(Suppliers!G40))),"",1),IF(Suppliers!E40="Quarterly",IF(MOD((YEAR(EDATE(DATE(YEAR(TODAY()),MONTH(TODAY()),1),1))-YEAR(IF(ISNUMBER(Suppliers!F40),Suppliers!F40,DATE(YEAR(TODAY()),MONTH(TODAY()),1))))*12+MONTH(EDATE(DATE(YEAR(TODAY()),MONTH(TODAY()),1),1))-MONTH(IF(ISNUMBER(Suppliers!F40),Suppliers!F40,DATE(YEAR(TODAY()),MONTH(TODAY()),1))),3)=0,1,0),IF(Suppliers!E40="Semi-annual",IF(MOD((YEAR(EDATE(DATE(YEAR(TODAY()),MONTH(TODAY()),1),1))-YEAR(IF(ISNUMBER(Suppliers!F40),Suppliers!F40,DATE(YEAR(TODAY()),MONTH(TODAY()),1))))*12+MONTH(EDATE(DATE(YEAR(TODAY()),MONTH(TODAY()),1),1))-MONTH(IF(ISNUMBER(Suppliers!F40),Suppliers!F40,DATE(YEAR(TODAY()),MONTH(TODAY()),1))),6)=0,1,0),IF(Suppliers!E40="Annual",IF(MOD((YEAR(EDATE(DATE(YEAR(TODAY()),MONTH(TODAY()),1),1))-YEAR(IF(ISNUMBER(Suppliers!F40),Suppliers!F40,DATE(YEAR(TODAY()),MONTH(TODAY()),1))))*12+MONTH(EDATE(DATE(YEAR(TODAY()),MONTH(TODAY()),1),1))-MONTH(IF(ISNUMBER(Suppliers!F40),Suppliers!F40,DATE(YEAR(TODAY()),MONTH(TODAY()),1))),12)=0,1,0),IF(Suppliers!E40="One-time",IF(1=0,1,0),1)))))),"")</f>
        <v/>
      </c>
      <c r="H42" s="10" t="str">
        <f ca="1">IFERROR(IF(OR(2&gt;=$B$1,Suppliers!A40="",NOT(ISNUMBER(Suppliers!D40)),Suppliers!L40="Expired",Suppliers!L40="Terminate"),"",Suppliers!D40*-1*IF(Suppliers!E40="Monthly",IF(AND(ISNUMBER(Suppliers!G40),(YEAR(EDATE(DATE(YEAR(TODAY()),MONTH(TODAY()),1),2))*12+MONTH(EDATE(DATE(YEAR(TODAY()),MONTH(TODAY()),1),2)))&gt;(YEAR(Suppliers!G40)*12+MONTH(Suppliers!G40))),"",1),IF(Suppliers!E40="Quarterly",IF(MOD((YEAR(EDATE(DATE(YEAR(TODAY()),MONTH(TODAY()),1),2))-YEAR(IF(ISNUMBER(Suppliers!F40),Suppliers!F40,DATE(YEAR(TODAY()),MONTH(TODAY()),1))))*12+MONTH(EDATE(DATE(YEAR(TODAY()),MONTH(TODAY()),1),2))-MONTH(IF(ISNUMBER(Suppliers!F40),Suppliers!F40,DATE(YEAR(TODAY()),MONTH(TODAY()),1))),3)=0,1,0),IF(Suppliers!E40="Semi-annual",IF(MOD((YEAR(EDATE(DATE(YEAR(TODAY()),MONTH(TODAY()),1),2))-YEAR(IF(ISNUMBER(Suppliers!F40),Suppliers!F40,DATE(YEAR(TODAY()),MONTH(TODAY()),1))))*12+MONTH(EDATE(DATE(YEAR(TODAY()),MONTH(TODAY()),1),2))-MONTH(IF(ISNUMBER(Suppliers!F40),Suppliers!F40,DATE(YEAR(TODAY()),MONTH(TODAY()),1))),6)=0,1,0),IF(Suppliers!E40="Annual",IF(MOD((YEAR(EDATE(DATE(YEAR(TODAY()),MONTH(TODAY()),1),2))-YEAR(IF(ISNUMBER(Suppliers!F40),Suppliers!F40,DATE(YEAR(TODAY()),MONTH(TODAY()),1))))*12+MONTH(EDATE(DATE(YEAR(TODAY()),MONTH(TODAY()),1),2))-MONTH(IF(ISNUMBER(Suppliers!F40),Suppliers!F40,DATE(YEAR(TODAY()),MONTH(TODAY()),1))),12)=0,1,0),IF(Suppliers!E40="One-time",IF(2=0,1,0),1)))))),"")</f>
        <v/>
      </c>
      <c r="I42" s="10" t="str">
        <f ca="1">IFERROR(IF(OR(3&gt;=$B$1,Suppliers!A40="",NOT(ISNUMBER(Suppliers!D40)),Suppliers!L40="Expired",Suppliers!L40="Terminate"),"",Suppliers!D40*-1*IF(Suppliers!E40="Monthly",IF(AND(ISNUMBER(Suppliers!G40),(YEAR(EDATE(DATE(YEAR(TODAY()),MONTH(TODAY()),1),3))*12+MONTH(EDATE(DATE(YEAR(TODAY()),MONTH(TODAY()),1),3)))&gt;(YEAR(Suppliers!G40)*12+MONTH(Suppliers!G40))),"",1),IF(Suppliers!E40="Quarterly",IF(MOD((YEAR(EDATE(DATE(YEAR(TODAY()),MONTH(TODAY()),1),3))-YEAR(IF(ISNUMBER(Suppliers!F40),Suppliers!F40,DATE(YEAR(TODAY()),MONTH(TODAY()),1))))*12+MONTH(EDATE(DATE(YEAR(TODAY()),MONTH(TODAY()),1),3))-MONTH(IF(ISNUMBER(Suppliers!F40),Suppliers!F40,DATE(YEAR(TODAY()),MONTH(TODAY()),1))),3)=0,1,0),IF(Suppliers!E40="Semi-annual",IF(MOD((YEAR(EDATE(DATE(YEAR(TODAY()),MONTH(TODAY()),1),3))-YEAR(IF(ISNUMBER(Suppliers!F40),Suppliers!F40,DATE(YEAR(TODAY()),MONTH(TODAY()),1))))*12+MONTH(EDATE(DATE(YEAR(TODAY()),MONTH(TODAY()),1),3))-MONTH(IF(ISNUMBER(Suppliers!F40),Suppliers!F40,DATE(YEAR(TODAY()),MONTH(TODAY()),1))),6)=0,1,0),IF(Suppliers!E40="Annual",IF(MOD((YEAR(EDATE(DATE(YEAR(TODAY()),MONTH(TODAY()),1),3))-YEAR(IF(ISNUMBER(Suppliers!F40),Suppliers!F40,DATE(YEAR(TODAY()),MONTH(TODAY()),1))))*12+MONTH(EDATE(DATE(YEAR(TODAY()),MONTH(TODAY()),1),3))-MONTH(IF(ISNUMBER(Suppliers!F40),Suppliers!F40,DATE(YEAR(TODAY()),MONTH(TODAY()),1))),12)=0,1,0),IF(Suppliers!E40="One-time",IF(3=0,1,0),1)))))),"")</f>
        <v/>
      </c>
      <c r="J42" s="10" t="str">
        <f ca="1">IFERROR(IF(OR(4&gt;=$B$1,Suppliers!A40="",NOT(ISNUMBER(Suppliers!D40)),Suppliers!L40="Expired",Suppliers!L40="Terminate"),"",Suppliers!D40*-1*IF(Suppliers!E40="Monthly",IF(AND(ISNUMBER(Suppliers!G40),(YEAR(EDATE(DATE(YEAR(TODAY()),MONTH(TODAY()),1),4))*12+MONTH(EDATE(DATE(YEAR(TODAY()),MONTH(TODAY()),1),4)))&gt;(YEAR(Suppliers!G40)*12+MONTH(Suppliers!G40))),"",1),IF(Suppliers!E40="Quarterly",IF(MOD((YEAR(EDATE(DATE(YEAR(TODAY()),MONTH(TODAY()),1),4))-YEAR(IF(ISNUMBER(Suppliers!F40),Suppliers!F40,DATE(YEAR(TODAY()),MONTH(TODAY()),1))))*12+MONTH(EDATE(DATE(YEAR(TODAY()),MONTH(TODAY()),1),4))-MONTH(IF(ISNUMBER(Suppliers!F40),Suppliers!F40,DATE(YEAR(TODAY()),MONTH(TODAY()),1))),3)=0,1,0),IF(Suppliers!E40="Semi-annual",IF(MOD((YEAR(EDATE(DATE(YEAR(TODAY()),MONTH(TODAY()),1),4))-YEAR(IF(ISNUMBER(Suppliers!F40),Suppliers!F40,DATE(YEAR(TODAY()),MONTH(TODAY()),1))))*12+MONTH(EDATE(DATE(YEAR(TODAY()),MONTH(TODAY()),1),4))-MONTH(IF(ISNUMBER(Suppliers!F40),Suppliers!F40,DATE(YEAR(TODAY()),MONTH(TODAY()),1))),6)=0,1,0),IF(Suppliers!E40="Annual",IF(MOD((YEAR(EDATE(DATE(YEAR(TODAY()),MONTH(TODAY()),1),4))-YEAR(IF(ISNUMBER(Suppliers!F40),Suppliers!F40,DATE(YEAR(TODAY()),MONTH(TODAY()),1))))*12+MONTH(EDATE(DATE(YEAR(TODAY()),MONTH(TODAY()),1),4))-MONTH(IF(ISNUMBER(Suppliers!F40),Suppliers!F40,DATE(YEAR(TODAY()),MONTH(TODAY()),1))),12)=0,1,0),IF(Suppliers!E40="One-time",IF(4=0,1,0),1)))))),"")</f>
        <v/>
      </c>
      <c r="K42" s="10" t="str">
        <f ca="1">IFERROR(IF(OR(5&gt;=$B$1,Suppliers!A40="",NOT(ISNUMBER(Suppliers!D40)),Suppliers!L40="Expired",Suppliers!L40="Terminate"),"",Suppliers!D40*-1*IF(Suppliers!E40="Monthly",IF(AND(ISNUMBER(Suppliers!G40),(YEAR(EDATE(DATE(YEAR(TODAY()),MONTH(TODAY()),1),5))*12+MONTH(EDATE(DATE(YEAR(TODAY()),MONTH(TODAY()),1),5)))&gt;(YEAR(Suppliers!G40)*12+MONTH(Suppliers!G40))),"",1),IF(Suppliers!E40="Quarterly",IF(MOD((YEAR(EDATE(DATE(YEAR(TODAY()),MONTH(TODAY()),1),5))-YEAR(IF(ISNUMBER(Suppliers!F40),Suppliers!F40,DATE(YEAR(TODAY()),MONTH(TODAY()),1))))*12+MONTH(EDATE(DATE(YEAR(TODAY()),MONTH(TODAY()),1),5))-MONTH(IF(ISNUMBER(Suppliers!F40),Suppliers!F40,DATE(YEAR(TODAY()),MONTH(TODAY()),1))),3)=0,1,0),IF(Suppliers!E40="Semi-annual",IF(MOD((YEAR(EDATE(DATE(YEAR(TODAY()),MONTH(TODAY()),1),5))-YEAR(IF(ISNUMBER(Suppliers!F40),Suppliers!F40,DATE(YEAR(TODAY()),MONTH(TODAY()),1))))*12+MONTH(EDATE(DATE(YEAR(TODAY()),MONTH(TODAY()),1),5))-MONTH(IF(ISNUMBER(Suppliers!F40),Suppliers!F40,DATE(YEAR(TODAY()),MONTH(TODAY()),1))),6)=0,1,0),IF(Suppliers!E40="Annual",IF(MOD((YEAR(EDATE(DATE(YEAR(TODAY()),MONTH(TODAY()),1),5))-YEAR(IF(ISNUMBER(Suppliers!F40),Suppliers!F40,DATE(YEAR(TODAY()),MONTH(TODAY()),1))))*12+MONTH(EDATE(DATE(YEAR(TODAY()),MONTH(TODAY()),1),5))-MONTH(IF(ISNUMBER(Suppliers!F40),Suppliers!F40,DATE(YEAR(TODAY()),MONTH(TODAY()),1))),12)=0,1,0),IF(Suppliers!E40="One-time",IF(5=0,1,0),1)))))),"")</f>
        <v/>
      </c>
      <c r="L42" s="10" t="str">
        <f ca="1">IFERROR(IF(OR(6&gt;=$B$1,Suppliers!A40="",NOT(ISNUMBER(Suppliers!D40)),Suppliers!L40="Expired",Suppliers!L40="Terminate"),"",Suppliers!D40*-1*IF(Suppliers!E40="Monthly",IF(AND(ISNUMBER(Suppliers!G40),(YEAR(EDATE(DATE(YEAR(TODAY()),MONTH(TODAY()),1),6))*12+MONTH(EDATE(DATE(YEAR(TODAY()),MONTH(TODAY()),1),6)))&gt;(YEAR(Suppliers!G40)*12+MONTH(Suppliers!G40))),"",1),IF(Suppliers!E40="Quarterly",IF(MOD((YEAR(EDATE(DATE(YEAR(TODAY()),MONTH(TODAY()),1),6))-YEAR(IF(ISNUMBER(Suppliers!F40),Suppliers!F40,DATE(YEAR(TODAY()),MONTH(TODAY()),1))))*12+MONTH(EDATE(DATE(YEAR(TODAY()),MONTH(TODAY()),1),6))-MONTH(IF(ISNUMBER(Suppliers!F40),Suppliers!F40,DATE(YEAR(TODAY()),MONTH(TODAY()),1))),3)=0,1,0),IF(Suppliers!E40="Semi-annual",IF(MOD((YEAR(EDATE(DATE(YEAR(TODAY()),MONTH(TODAY()),1),6))-YEAR(IF(ISNUMBER(Suppliers!F40),Suppliers!F40,DATE(YEAR(TODAY()),MONTH(TODAY()),1))))*12+MONTH(EDATE(DATE(YEAR(TODAY()),MONTH(TODAY()),1),6))-MONTH(IF(ISNUMBER(Suppliers!F40),Suppliers!F40,DATE(YEAR(TODAY()),MONTH(TODAY()),1))),6)=0,1,0),IF(Suppliers!E40="Annual",IF(MOD((YEAR(EDATE(DATE(YEAR(TODAY()),MONTH(TODAY()),1),6))-YEAR(IF(ISNUMBER(Suppliers!F40),Suppliers!F40,DATE(YEAR(TODAY()),MONTH(TODAY()),1))))*12+MONTH(EDATE(DATE(YEAR(TODAY()),MONTH(TODAY()),1),6))-MONTH(IF(ISNUMBER(Suppliers!F40),Suppliers!F40,DATE(YEAR(TODAY()),MONTH(TODAY()),1))),12)=0,1,0),IF(Suppliers!E40="One-time",IF(6=0,1,0),1)))))),"")</f>
        <v/>
      </c>
      <c r="M42" s="10" t="str">
        <f ca="1">IFERROR(IF(OR(7&gt;=$B$1,Suppliers!A40="",NOT(ISNUMBER(Suppliers!D40)),Suppliers!L40="Expired",Suppliers!L40="Terminate"),"",Suppliers!D40*-1*IF(Suppliers!E40="Monthly",IF(AND(ISNUMBER(Suppliers!G40),(YEAR(EDATE(DATE(YEAR(TODAY()),MONTH(TODAY()),1),7))*12+MONTH(EDATE(DATE(YEAR(TODAY()),MONTH(TODAY()),1),7)))&gt;(YEAR(Suppliers!G40)*12+MONTH(Suppliers!G40))),"",1),IF(Suppliers!E40="Quarterly",IF(MOD((YEAR(EDATE(DATE(YEAR(TODAY()),MONTH(TODAY()),1),7))-YEAR(IF(ISNUMBER(Suppliers!F40),Suppliers!F40,DATE(YEAR(TODAY()),MONTH(TODAY()),1))))*12+MONTH(EDATE(DATE(YEAR(TODAY()),MONTH(TODAY()),1),7))-MONTH(IF(ISNUMBER(Suppliers!F40),Suppliers!F40,DATE(YEAR(TODAY()),MONTH(TODAY()),1))),3)=0,1,0),IF(Suppliers!E40="Semi-annual",IF(MOD((YEAR(EDATE(DATE(YEAR(TODAY()),MONTH(TODAY()),1),7))-YEAR(IF(ISNUMBER(Suppliers!F40),Suppliers!F40,DATE(YEAR(TODAY()),MONTH(TODAY()),1))))*12+MONTH(EDATE(DATE(YEAR(TODAY()),MONTH(TODAY()),1),7))-MONTH(IF(ISNUMBER(Suppliers!F40),Suppliers!F40,DATE(YEAR(TODAY()),MONTH(TODAY()),1))),6)=0,1,0),IF(Suppliers!E40="Annual",IF(MOD((YEAR(EDATE(DATE(YEAR(TODAY()),MONTH(TODAY()),1),7))-YEAR(IF(ISNUMBER(Suppliers!F40),Suppliers!F40,DATE(YEAR(TODAY()),MONTH(TODAY()),1))))*12+MONTH(EDATE(DATE(YEAR(TODAY()),MONTH(TODAY()),1),7))-MONTH(IF(ISNUMBER(Suppliers!F40),Suppliers!F40,DATE(YEAR(TODAY()),MONTH(TODAY()),1))),12)=0,1,0),IF(Suppliers!E40="One-time",IF(7=0,1,0),1)))))),"")</f>
        <v/>
      </c>
      <c r="N42" s="10" t="str">
        <f ca="1">IFERROR(IF(OR(8&gt;=$B$1,Suppliers!A40="",NOT(ISNUMBER(Suppliers!D40)),Suppliers!L40="Expired",Suppliers!L40="Terminate"),"",Suppliers!D40*-1*IF(Suppliers!E40="Monthly",IF(AND(ISNUMBER(Suppliers!G40),(YEAR(EDATE(DATE(YEAR(TODAY()),MONTH(TODAY()),1),8))*12+MONTH(EDATE(DATE(YEAR(TODAY()),MONTH(TODAY()),1),8)))&gt;(YEAR(Suppliers!G40)*12+MONTH(Suppliers!G40))),"",1),IF(Suppliers!E40="Quarterly",IF(MOD((YEAR(EDATE(DATE(YEAR(TODAY()),MONTH(TODAY()),1),8))-YEAR(IF(ISNUMBER(Suppliers!F40),Suppliers!F40,DATE(YEAR(TODAY()),MONTH(TODAY()),1))))*12+MONTH(EDATE(DATE(YEAR(TODAY()),MONTH(TODAY()),1),8))-MONTH(IF(ISNUMBER(Suppliers!F40),Suppliers!F40,DATE(YEAR(TODAY()),MONTH(TODAY()),1))),3)=0,1,0),IF(Suppliers!E40="Semi-annual",IF(MOD((YEAR(EDATE(DATE(YEAR(TODAY()),MONTH(TODAY()),1),8))-YEAR(IF(ISNUMBER(Suppliers!F40),Suppliers!F40,DATE(YEAR(TODAY()),MONTH(TODAY()),1))))*12+MONTH(EDATE(DATE(YEAR(TODAY()),MONTH(TODAY()),1),8))-MONTH(IF(ISNUMBER(Suppliers!F40),Suppliers!F40,DATE(YEAR(TODAY()),MONTH(TODAY()),1))),6)=0,1,0),IF(Suppliers!E40="Annual",IF(MOD((YEAR(EDATE(DATE(YEAR(TODAY()),MONTH(TODAY()),1),8))-YEAR(IF(ISNUMBER(Suppliers!F40),Suppliers!F40,DATE(YEAR(TODAY()),MONTH(TODAY()),1))))*12+MONTH(EDATE(DATE(YEAR(TODAY()),MONTH(TODAY()),1),8))-MONTH(IF(ISNUMBER(Suppliers!F40),Suppliers!F40,DATE(YEAR(TODAY()),MONTH(TODAY()),1))),12)=0,1,0),IF(Suppliers!E40="One-time",IF(8=0,1,0),1)))))),"")</f>
        <v/>
      </c>
      <c r="O42" s="10" t="str">
        <f ca="1">IFERROR(IF(OR(9&gt;=$B$1,Suppliers!A40="",NOT(ISNUMBER(Suppliers!D40)),Suppliers!L40="Expired",Suppliers!L40="Terminate"),"",Suppliers!D40*-1*IF(Suppliers!E40="Monthly",IF(AND(ISNUMBER(Suppliers!G40),(YEAR(EDATE(DATE(YEAR(TODAY()),MONTH(TODAY()),1),9))*12+MONTH(EDATE(DATE(YEAR(TODAY()),MONTH(TODAY()),1),9)))&gt;(YEAR(Suppliers!G40)*12+MONTH(Suppliers!G40))),"",1),IF(Suppliers!E40="Quarterly",IF(MOD((YEAR(EDATE(DATE(YEAR(TODAY()),MONTH(TODAY()),1),9))-YEAR(IF(ISNUMBER(Suppliers!F40),Suppliers!F40,DATE(YEAR(TODAY()),MONTH(TODAY()),1))))*12+MONTH(EDATE(DATE(YEAR(TODAY()),MONTH(TODAY()),1),9))-MONTH(IF(ISNUMBER(Suppliers!F40),Suppliers!F40,DATE(YEAR(TODAY()),MONTH(TODAY()),1))),3)=0,1,0),IF(Suppliers!E40="Semi-annual",IF(MOD((YEAR(EDATE(DATE(YEAR(TODAY()),MONTH(TODAY()),1),9))-YEAR(IF(ISNUMBER(Suppliers!F40),Suppliers!F40,DATE(YEAR(TODAY()),MONTH(TODAY()),1))))*12+MONTH(EDATE(DATE(YEAR(TODAY()),MONTH(TODAY()),1),9))-MONTH(IF(ISNUMBER(Suppliers!F40),Suppliers!F40,DATE(YEAR(TODAY()),MONTH(TODAY()),1))),6)=0,1,0),IF(Suppliers!E40="Annual",IF(MOD((YEAR(EDATE(DATE(YEAR(TODAY()),MONTH(TODAY()),1),9))-YEAR(IF(ISNUMBER(Suppliers!F40),Suppliers!F40,DATE(YEAR(TODAY()),MONTH(TODAY()),1))))*12+MONTH(EDATE(DATE(YEAR(TODAY()),MONTH(TODAY()),1),9))-MONTH(IF(ISNUMBER(Suppliers!F40),Suppliers!F40,DATE(YEAR(TODAY()),MONTH(TODAY()),1))),12)=0,1,0),IF(Suppliers!E40="One-time",IF(9=0,1,0),1)))))),"")</f>
        <v/>
      </c>
      <c r="P42" s="10" t="str">
        <f ca="1">IFERROR(IF(OR(10&gt;=$B$1,Suppliers!A40="",NOT(ISNUMBER(Suppliers!D40)),Suppliers!L40="Expired",Suppliers!L40="Terminate"),"",Suppliers!D40*-1*IF(Suppliers!E40="Monthly",IF(AND(ISNUMBER(Suppliers!G40),(YEAR(EDATE(DATE(YEAR(TODAY()),MONTH(TODAY()),1),10))*12+MONTH(EDATE(DATE(YEAR(TODAY()),MONTH(TODAY()),1),10)))&gt;(YEAR(Suppliers!G40)*12+MONTH(Suppliers!G40))),"",1),IF(Suppliers!E40="Quarterly",IF(MOD((YEAR(EDATE(DATE(YEAR(TODAY()),MONTH(TODAY()),1),10))-YEAR(IF(ISNUMBER(Suppliers!F40),Suppliers!F40,DATE(YEAR(TODAY()),MONTH(TODAY()),1))))*12+MONTH(EDATE(DATE(YEAR(TODAY()),MONTH(TODAY()),1),10))-MONTH(IF(ISNUMBER(Suppliers!F40),Suppliers!F40,DATE(YEAR(TODAY()),MONTH(TODAY()),1))),3)=0,1,0),IF(Suppliers!E40="Semi-annual",IF(MOD((YEAR(EDATE(DATE(YEAR(TODAY()),MONTH(TODAY()),1),10))-YEAR(IF(ISNUMBER(Suppliers!F40),Suppliers!F40,DATE(YEAR(TODAY()),MONTH(TODAY()),1))))*12+MONTH(EDATE(DATE(YEAR(TODAY()),MONTH(TODAY()),1),10))-MONTH(IF(ISNUMBER(Suppliers!F40),Suppliers!F40,DATE(YEAR(TODAY()),MONTH(TODAY()),1))),6)=0,1,0),IF(Suppliers!E40="Annual",IF(MOD((YEAR(EDATE(DATE(YEAR(TODAY()),MONTH(TODAY()),1),10))-YEAR(IF(ISNUMBER(Suppliers!F40),Suppliers!F40,DATE(YEAR(TODAY()),MONTH(TODAY()),1))))*12+MONTH(EDATE(DATE(YEAR(TODAY()),MONTH(TODAY()),1),10))-MONTH(IF(ISNUMBER(Suppliers!F40),Suppliers!F40,DATE(YEAR(TODAY()),MONTH(TODAY()),1))),12)=0,1,0),IF(Suppliers!E40="One-time",IF(10=0,1,0),1)))))),"")</f>
        <v/>
      </c>
      <c r="Q42" s="10" t="str">
        <f ca="1">IFERROR(IF(OR(11&gt;=$B$1,Suppliers!A40="",NOT(ISNUMBER(Suppliers!D40)),Suppliers!L40="Expired",Suppliers!L40="Terminate"),"",Suppliers!D40*-1*IF(Suppliers!E40="Monthly",IF(AND(ISNUMBER(Suppliers!G40),(YEAR(EDATE(DATE(YEAR(TODAY()),MONTH(TODAY()),1),11))*12+MONTH(EDATE(DATE(YEAR(TODAY()),MONTH(TODAY()),1),11)))&gt;(YEAR(Suppliers!G40)*12+MONTH(Suppliers!G40))),"",1),IF(Suppliers!E40="Quarterly",IF(MOD((YEAR(EDATE(DATE(YEAR(TODAY()),MONTH(TODAY()),1),11))-YEAR(IF(ISNUMBER(Suppliers!F40),Suppliers!F40,DATE(YEAR(TODAY()),MONTH(TODAY()),1))))*12+MONTH(EDATE(DATE(YEAR(TODAY()),MONTH(TODAY()),1),11))-MONTH(IF(ISNUMBER(Suppliers!F40),Suppliers!F40,DATE(YEAR(TODAY()),MONTH(TODAY()),1))),3)=0,1,0),IF(Suppliers!E40="Semi-annual",IF(MOD((YEAR(EDATE(DATE(YEAR(TODAY()),MONTH(TODAY()),1),11))-YEAR(IF(ISNUMBER(Suppliers!F40),Suppliers!F40,DATE(YEAR(TODAY()),MONTH(TODAY()),1))))*12+MONTH(EDATE(DATE(YEAR(TODAY()),MONTH(TODAY()),1),11))-MONTH(IF(ISNUMBER(Suppliers!F40),Suppliers!F40,DATE(YEAR(TODAY()),MONTH(TODAY()),1))),6)=0,1,0),IF(Suppliers!E40="Annual",IF(MOD((YEAR(EDATE(DATE(YEAR(TODAY()),MONTH(TODAY()),1),11))-YEAR(IF(ISNUMBER(Suppliers!F40),Suppliers!F40,DATE(YEAR(TODAY()),MONTH(TODAY()),1))))*12+MONTH(EDATE(DATE(YEAR(TODAY()),MONTH(TODAY()),1),11))-MONTH(IF(ISNUMBER(Suppliers!F40),Suppliers!F40,DATE(YEAR(TODAY()),MONTH(TODAY()),1))),12)=0,1,0),IF(Suppliers!E40="One-time",IF(11=0,1,0),1)))))),"")</f>
        <v/>
      </c>
      <c r="R42" s="10" t="str">
        <f ca="1">IFERROR(IF(OR(12&gt;=$B$1,Suppliers!A40="",NOT(ISNUMBER(Suppliers!D40)),Suppliers!L40="Expired",Suppliers!L40="Terminate"),"",Suppliers!D40*-1*IF(Suppliers!E40="Monthly",IF(AND(ISNUMBER(Suppliers!G40),(YEAR(EDATE(DATE(YEAR(TODAY()),MONTH(TODAY()),1),12))*12+MONTH(EDATE(DATE(YEAR(TODAY()),MONTH(TODAY()),1),12)))&gt;(YEAR(Suppliers!G40)*12+MONTH(Suppliers!G40))),"",1),IF(Suppliers!E40="Quarterly",IF(MOD((YEAR(EDATE(DATE(YEAR(TODAY()),MONTH(TODAY()),1),12))-YEAR(IF(ISNUMBER(Suppliers!F40),Suppliers!F40,DATE(YEAR(TODAY()),MONTH(TODAY()),1))))*12+MONTH(EDATE(DATE(YEAR(TODAY()),MONTH(TODAY()),1),12))-MONTH(IF(ISNUMBER(Suppliers!F40),Suppliers!F40,DATE(YEAR(TODAY()),MONTH(TODAY()),1))),3)=0,1,0),IF(Suppliers!E40="Semi-annual",IF(MOD((YEAR(EDATE(DATE(YEAR(TODAY()),MONTH(TODAY()),1),12))-YEAR(IF(ISNUMBER(Suppliers!F40),Suppliers!F40,DATE(YEAR(TODAY()),MONTH(TODAY()),1))))*12+MONTH(EDATE(DATE(YEAR(TODAY()),MONTH(TODAY()),1),12))-MONTH(IF(ISNUMBER(Suppliers!F40),Suppliers!F40,DATE(YEAR(TODAY()),MONTH(TODAY()),1))),6)=0,1,0),IF(Suppliers!E40="Annual",IF(MOD((YEAR(EDATE(DATE(YEAR(TODAY()),MONTH(TODAY()),1),12))-YEAR(IF(ISNUMBER(Suppliers!F40),Suppliers!F40,DATE(YEAR(TODAY()),MONTH(TODAY()),1))))*12+MONTH(EDATE(DATE(YEAR(TODAY()),MONTH(TODAY()),1),12))-MONTH(IF(ISNUMBER(Suppliers!F40),Suppliers!F40,DATE(YEAR(TODAY()),MONTH(TODAY()),1))),12)=0,1,0),IF(Suppliers!E40="One-time",IF(12=0,1,0),1)))))),"")</f>
        <v/>
      </c>
      <c r="S42" s="10" t="str">
        <f ca="1">IFERROR(IF(OR(13&gt;=$B$1,Suppliers!A40="",NOT(ISNUMBER(Suppliers!D40)),Suppliers!L40="Expired",Suppliers!L40="Terminate"),"",Suppliers!D40*-1*IF(Suppliers!E40="Monthly",IF(AND(ISNUMBER(Suppliers!G40),(YEAR(EDATE(DATE(YEAR(TODAY()),MONTH(TODAY()),1),13))*12+MONTH(EDATE(DATE(YEAR(TODAY()),MONTH(TODAY()),1),13)))&gt;(YEAR(Suppliers!G40)*12+MONTH(Suppliers!G40))),"",1),IF(Suppliers!E40="Quarterly",IF(MOD((YEAR(EDATE(DATE(YEAR(TODAY()),MONTH(TODAY()),1),13))-YEAR(IF(ISNUMBER(Suppliers!F40),Suppliers!F40,DATE(YEAR(TODAY()),MONTH(TODAY()),1))))*12+MONTH(EDATE(DATE(YEAR(TODAY()),MONTH(TODAY()),1),13))-MONTH(IF(ISNUMBER(Suppliers!F40),Suppliers!F40,DATE(YEAR(TODAY()),MONTH(TODAY()),1))),3)=0,1,0),IF(Suppliers!E40="Semi-annual",IF(MOD((YEAR(EDATE(DATE(YEAR(TODAY()),MONTH(TODAY()),1),13))-YEAR(IF(ISNUMBER(Suppliers!F40),Suppliers!F40,DATE(YEAR(TODAY()),MONTH(TODAY()),1))))*12+MONTH(EDATE(DATE(YEAR(TODAY()),MONTH(TODAY()),1),13))-MONTH(IF(ISNUMBER(Suppliers!F40),Suppliers!F40,DATE(YEAR(TODAY()),MONTH(TODAY()),1))),6)=0,1,0),IF(Suppliers!E40="Annual",IF(MOD((YEAR(EDATE(DATE(YEAR(TODAY()),MONTH(TODAY()),1),13))-YEAR(IF(ISNUMBER(Suppliers!F40),Suppliers!F40,DATE(YEAR(TODAY()),MONTH(TODAY()),1))))*12+MONTH(EDATE(DATE(YEAR(TODAY()),MONTH(TODAY()),1),13))-MONTH(IF(ISNUMBER(Suppliers!F40),Suppliers!F40,DATE(YEAR(TODAY()),MONTH(TODAY()),1))),12)=0,1,0),IF(Suppliers!E40="One-time",IF(13=0,1,0),1)))))),"")</f>
        <v/>
      </c>
      <c r="T42" s="10" t="str">
        <f ca="1">IFERROR(IF(OR(14&gt;=$B$1,Suppliers!A40="",NOT(ISNUMBER(Suppliers!D40)),Suppliers!L40="Expired",Suppliers!L40="Terminate"),"",Suppliers!D40*-1*IF(Suppliers!E40="Monthly",IF(AND(ISNUMBER(Suppliers!G40),(YEAR(EDATE(DATE(YEAR(TODAY()),MONTH(TODAY()),1),14))*12+MONTH(EDATE(DATE(YEAR(TODAY()),MONTH(TODAY()),1),14)))&gt;(YEAR(Suppliers!G40)*12+MONTH(Suppliers!G40))),"",1),IF(Suppliers!E40="Quarterly",IF(MOD((YEAR(EDATE(DATE(YEAR(TODAY()),MONTH(TODAY()),1),14))-YEAR(IF(ISNUMBER(Suppliers!F40),Suppliers!F40,DATE(YEAR(TODAY()),MONTH(TODAY()),1))))*12+MONTH(EDATE(DATE(YEAR(TODAY()),MONTH(TODAY()),1),14))-MONTH(IF(ISNUMBER(Suppliers!F40),Suppliers!F40,DATE(YEAR(TODAY()),MONTH(TODAY()),1))),3)=0,1,0),IF(Suppliers!E40="Semi-annual",IF(MOD((YEAR(EDATE(DATE(YEAR(TODAY()),MONTH(TODAY()),1),14))-YEAR(IF(ISNUMBER(Suppliers!F40),Suppliers!F40,DATE(YEAR(TODAY()),MONTH(TODAY()),1))))*12+MONTH(EDATE(DATE(YEAR(TODAY()),MONTH(TODAY()),1),14))-MONTH(IF(ISNUMBER(Suppliers!F40),Suppliers!F40,DATE(YEAR(TODAY()),MONTH(TODAY()),1))),6)=0,1,0),IF(Suppliers!E40="Annual",IF(MOD((YEAR(EDATE(DATE(YEAR(TODAY()),MONTH(TODAY()),1),14))-YEAR(IF(ISNUMBER(Suppliers!F40),Suppliers!F40,DATE(YEAR(TODAY()),MONTH(TODAY()),1))))*12+MONTH(EDATE(DATE(YEAR(TODAY()),MONTH(TODAY()),1),14))-MONTH(IF(ISNUMBER(Suppliers!F40),Suppliers!F40,DATE(YEAR(TODAY()),MONTH(TODAY()),1))),12)=0,1,0),IF(Suppliers!E40="One-time",IF(14=0,1,0),1)))))),"")</f>
        <v/>
      </c>
      <c r="U42" s="10" t="str">
        <f ca="1">IFERROR(IF(OR(15&gt;=$B$1,Suppliers!A40="",NOT(ISNUMBER(Suppliers!D40)),Suppliers!L40="Expired",Suppliers!L40="Terminate"),"",Suppliers!D40*-1*IF(Suppliers!E40="Monthly",IF(AND(ISNUMBER(Suppliers!G40),(YEAR(EDATE(DATE(YEAR(TODAY()),MONTH(TODAY()),1),15))*12+MONTH(EDATE(DATE(YEAR(TODAY()),MONTH(TODAY()),1),15)))&gt;(YEAR(Suppliers!G40)*12+MONTH(Suppliers!G40))),"",1),IF(Suppliers!E40="Quarterly",IF(MOD((YEAR(EDATE(DATE(YEAR(TODAY()),MONTH(TODAY()),1),15))-YEAR(IF(ISNUMBER(Suppliers!F40),Suppliers!F40,DATE(YEAR(TODAY()),MONTH(TODAY()),1))))*12+MONTH(EDATE(DATE(YEAR(TODAY()),MONTH(TODAY()),1),15))-MONTH(IF(ISNUMBER(Suppliers!F40),Suppliers!F40,DATE(YEAR(TODAY()),MONTH(TODAY()),1))),3)=0,1,0),IF(Suppliers!E40="Semi-annual",IF(MOD((YEAR(EDATE(DATE(YEAR(TODAY()),MONTH(TODAY()),1),15))-YEAR(IF(ISNUMBER(Suppliers!F40),Suppliers!F40,DATE(YEAR(TODAY()),MONTH(TODAY()),1))))*12+MONTH(EDATE(DATE(YEAR(TODAY()),MONTH(TODAY()),1),15))-MONTH(IF(ISNUMBER(Suppliers!F40),Suppliers!F40,DATE(YEAR(TODAY()),MONTH(TODAY()),1))),6)=0,1,0),IF(Suppliers!E40="Annual",IF(MOD((YEAR(EDATE(DATE(YEAR(TODAY()),MONTH(TODAY()),1),15))-YEAR(IF(ISNUMBER(Suppliers!F40),Suppliers!F40,DATE(YEAR(TODAY()),MONTH(TODAY()),1))))*12+MONTH(EDATE(DATE(YEAR(TODAY()),MONTH(TODAY()),1),15))-MONTH(IF(ISNUMBER(Suppliers!F40),Suppliers!F40,DATE(YEAR(TODAY()),MONTH(TODAY()),1))),12)=0,1,0),IF(Suppliers!E40="One-time",IF(15=0,1,0),1)))))),"")</f>
        <v/>
      </c>
      <c r="V42" s="10" t="str">
        <f ca="1">IFERROR(IF(OR(16&gt;=$B$1,Suppliers!A40="",NOT(ISNUMBER(Suppliers!D40)),Suppliers!L40="Expired",Suppliers!L40="Terminate"),"",Suppliers!D40*-1*IF(Suppliers!E40="Monthly",IF(AND(ISNUMBER(Suppliers!G40),(YEAR(EDATE(DATE(YEAR(TODAY()),MONTH(TODAY()),1),16))*12+MONTH(EDATE(DATE(YEAR(TODAY()),MONTH(TODAY()),1),16)))&gt;(YEAR(Suppliers!G40)*12+MONTH(Suppliers!G40))),"",1),IF(Suppliers!E40="Quarterly",IF(MOD((YEAR(EDATE(DATE(YEAR(TODAY()),MONTH(TODAY()),1),16))-YEAR(IF(ISNUMBER(Suppliers!F40),Suppliers!F40,DATE(YEAR(TODAY()),MONTH(TODAY()),1))))*12+MONTH(EDATE(DATE(YEAR(TODAY()),MONTH(TODAY()),1),16))-MONTH(IF(ISNUMBER(Suppliers!F40),Suppliers!F40,DATE(YEAR(TODAY()),MONTH(TODAY()),1))),3)=0,1,0),IF(Suppliers!E40="Semi-annual",IF(MOD((YEAR(EDATE(DATE(YEAR(TODAY()),MONTH(TODAY()),1),16))-YEAR(IF(ISNUMBER(Suppliers!F40),Suppliers!F40,DATE(YEAR(TODAY()),MONTH(TODAY()),1))))*12+MONTH(EDATE(DATE(YEAR(TODAY()),MONTH(TODAY()),1),16))-MONTH(IF(ISNUMBER(Suppliers!F40),Suppliers!F40,DATE(YEAR(TODAY()),MONTH(TODAY()),1))),6)=0,1,0),IF(Suppliers!E40="Annual",IF(MOD((YEAR(EDATE(DATE(YEAR(TODAY()),MONTH(TODAY()),1),16))-YEAR(IF(ISNUMBER(Suppliers!F40),Suppliers!F40,DATE(YEAR(TODAY()),MONTH(TODAY()),1))))*12+MONTH(EDATE(DATE(YEAR(TODAY()),MONTH(TODAY()),1),16))-MONTH(IF(ISNUMBER(Suppliers!F40),Suppliers!F40,DATE(YEAR(TODAY()),MONTH(TODAY()),1))),12)=0,1,0),IF(Suppliers!E40="One-time",IF(16=0,1,0),1)))))),"")</f>
        <v/>
      </c>
      <c r="W42" s="10" t="str">
        <f ca="1">IFERROR(IF(OR(17&gt;=$B$1,Suppliers!A40="",NOT(ISNUMBER(Suppliers!D40)),Suppliers!L40="Expired",Suppliers!L40="Terminate"),"",Suppliers!D40*-1*IF(Suppliers!E40="Monthly",IF(AND(ISNUMBER(Suppliers!G40),(YEAR(EDATE(DATE(YEAR(TODAY()),MONTH(TODAY()),1),17))*12+MONTH(EDATE(DATE(YEAR(TODAY()),MONTH(TODAY()),1),17)))&gt;(YEAR(Suppliers!G40)*12+MONTH(Suppliers!G40))),"",1),IF(Suppliers!E40="Quarterly",IF(MOD((YEAR(EDATE(DATE(YEAR(TODAY()),MONTH(TODAY()),1),17))-YEAR(IF(ISNUMBER(Suppliers!F40),Suppliers!F40,DATE(YEAR(TODAY()),MONTH(TODAY()),1))))*12+MONTH(EDATE(DATE(YEAR(TODAY()),MONTH(TODAY()),1),17))-MONTH(IF(ISNUMBER(Suppliers!F40),Suppliers!F40,DATE(YEAR(TODAY()),MONTH(TODAY()),1))),3)=0,1,0),IF(Suppliers!E40="Semi-annual",IF(MOD((YEAR(EDATE(DATE(YEAR(TODAY()),MONTH(TODAY()),1),17))-YEAR(IF(ISNUMBER(Suppliers!F40),Suppliers!F40,DATE(YEAR(TODAY()),MONTH(TODAY()),1))))*12+MONTH(EDATE(DATE(YEAR(TODAY()),MONTH(TODAY()),1),17))-MONTH(IF(ISNUMBER(Suppliers!F40),Suppliers!F40,DATE(YEAR(TODAY()),MONTH(TODAY()),1))),6)=0,1,0),IF(Suppliers!E40="Annual",IF(MOD((YEAR(EDATE(DATE(YEAR(TODAY()),MONTH(TODAY()),1),17))-YEAR(IF(ISNUMBER(Suppliers!F40),Suppliers!F40,DATE(YEAR(TODAY()),MONTH(TODAY()),1))))*12+MONTH(EDATE(DATE(YEAR(TODAY()),MONTH(TODAY()),1),17))-MONTH(IF(ISNUMBER(Suppliers!F40),Suppliers!F40,DATE(YEAR(TODAY()),MONTH(TODAY()),1))),12)=0,1,0),IF(Suppliers!E40="One-time",IF(17=0,1,0),1)))))),"")</f>
        <v/>
      </c>
      <c r="X42" s="10" t="str">
        <f ca="1">IFERROR(IF(OR(18&gt;=$B$1,Suppliers!A40="",NOT(ISNUMBER(Suppliers!D40)),Suppliers!L40="Expired",Suppliers!L40="Terminate"),"",Suppliers!D40*-1*IF(Suppliers!E40="Monthly",IF(AND(ISNUMBER(Suppliers!G40),(YEAR(EDATE(DATE(YEAR(TODAY()),MONTH(TODAY()),1),18))*12+MONTH(EDATE(DATE(YEAR(TODAY()),MONTH(TODAY()),1),18)))&gt;(YEAR(Suppliers!G40)*12+MONTH(Suppliers!G40))),"",1),IF(Suppliers!E40="Quarterly",IF(MOD((YEAR(EDATE(DATE(YEAR(TODAY()),MONTH(TODAY()),1),18))-YEAR(IF(ISNUMBER(Suppliers!F40),Suppliers!F40,DATE(YEAR(TODAY()),MONTH(TODAY()),1))))*12+MONTH(EDATE(DATE(YEAR(TODAY()),MONTH(TODAY()),1),18))-MONTH(IF(ISNUMBER(Suppliers!F40),Suppliers!F40,DATE(YEAR(TODAY()),MONTH(TODAY()),1))),3)=0,1,0),IF(Suppliers!E40="Semi-annual",IF(MOD((YEAR(EDATE(DATE(YEAR(TODAY()),MONTH(TODAY()),1),18))-YEAR(IF(ISNUMBER(Suppliers!F40),Suppliers!F40,DATE(YEAR(TODAY()),MONTH(TODAY()),1))))*12+MONTH(EDATE(DATE(YEAR(TODAY()),MONTH(TODAY()),1),18))-MONTH(IF(ISNUMBER(Suppliers!F40),Suppliers!F40,DATE(YEAR(TODAY()),MONTH(TODAY()),1))),6)=0,1,0),IF(Suppliers!E40="Annual",IF(MOD((YEAR(EDATE(DATE(YEAR(TODAY()),MONTH(TODAY()),1),18))-YEAR(IF(ISNUMBER(Suppliers!F40),Suppliers!F40,DATE(YEAR(TODAY()),MONTH(TODAY()),1))))*12+MONTH(EDATE(DATE(YEAR(TODAY()),MONTH(TODAY()),1),18))-MONTH(IF(ISNUMBER(Suppliers!F40),Suppliers!F40,DATE(YEAR(TODAY()),MONTH(TODAY()),1))),12)=0,1,0),IF(Suppliers!E40="One-time",IF(18=0,1,0),1)))))),"")</f>
        <v/>
      </c>
      <c r="Y42" s="10" t="str">
        <f ca="1">IFERROR(IF(OR(19&gt;=$B$1,Suppliers!A40="",NOT(ISNUMBER(Suppliers!D40)),Suppliers!L40="Expired",Suppliers!L40="Terminate"),"",Suppliers!D40*-1*IF(Suppliers!E40="Monthly",IF(AND(ISNUMBER(Suppliers!G40),(YEAR(EDATE(DATE(YEAR(TODAY()),MONTH(TODAY()),1),19))*12+MONTH(EDATE(DATE(YEAR(TODAY()),MONTH(TODAY()),1),19)))&gt;(YEAR(Suppliers!G40)*12+MONTH(Suppliers!G40))),"",1),IF(Suppliers!E40="Quarterly",IF(MOD((YEAR(EDATE(DATE(YEAR(TODAY()),MONTH(TODAY()),1),19))-YEAR(IF(ISNUMBER(Suppliers!F40),Suppliers!F40,DATE(YEAR(TODAY()),MONTH(TODAY()),1))))*12+MONTH(EDATE(DATE(YEAR(TODAY()),MONTH(TODAY()),1),19))-MONTH(IF(ISNUMBER(Suppliers!F40),Suppliers!F40,DATE(YEAR(TODAY()),MONTH(TODAY()),1))),3)=0,1,0),IF(Suppliers!E40="Semi-annual",IF(MOD((YEAR(EDATE(DATE(YEAR(TODAY()),MONTH(TODAY()),1),19))-YEAR(IF(ISNUMBER(Suppliers!F40),Suppliers!F40,DATE(YEAR(TODAY()),MONTH(TODAY()),1))))*12+MONTH(EDATE(DATE(YEAR(TODAY()),MONTH(TODAY()),1),19))-MONTH(IF(ISNUMBER(Suppliers!F40),Suppliers!F40,DATE(YEAR(TODAY()),MONTH(TODAY()),1))),6)=0,1,0),IF(Suppliers!E40="Annual",IF(MOD((YEAR(EDATE(DATE(YEAR(TODAY()),MONTH(TODAY()),1),19))-YEAR(IF(ISNUMBER(Suppliers!F40),Suppliers!F40,DATE(YEAR(TODAY()),MONTH(TODAY()),1))))*12+MONTH(EDATE(DATE(YEAR(TODAY()),MONTH(TODAY()),1),19))-MONTH(IF(ISNUMBER(Suppliers!F40),Suppliers!F40,DATE(YEAR(TODAY()),MONTH(TODAY()),1))),12)=0,1,0),IF(Suppliers!E40="One-time",IF(19=0,1,0),1)))))),"")</f>
        <v/>
      </c>
      <c r="Z42" s="10" t="str">
        <f ca="1">IFERROR(IF(OR(20&gt;=$B$1,Suppliers!A40="",NOT(ISNUMBER(Suppliers!D40)),Suppliers!L40="Expired",Suppliers!L40="Terminate"),"",Suppliers!D40*-1*IF(Suppliers!E40="Monthly",IF(AND(ISNUMBER(Suppliers!G40),(YEAR(EDATE(DATE(YEAR(TODAY()),MONTH(TODAY()),1),20))*12+MONTH(EDATE(DATE(YEAR(TODAY()),MONTH(TODAY()),1),20)))&gt;(YEAR(Suppliers!G40)*12+MONTH(Suppliers!G40))),"",1),IF(Suppliers!E40="Quarterly",IF(MOD((YEAR(EDATE(DATE(YEAR(TODAY()),MONTH(TODAY()),1),20))-YEAR(IF(ISNUMBER(Suppliers!F40),Suppliers!F40,DATE(YEAR(TODAY()),MONTH(TODAY()),1))))*12+MONTH(EDATE(DATE(YEAR(TODAY()),MONTH(TODAY()),1),20))-MONTH(IF(ISNUMBER(Suppliers!F40),Suppliers!F40,DATE(YEAR(TODAY()),MONTH(TODAY()),1))),3)=0,1,0),IF(Suppliers!E40="Semi-annual",IF(MOD((YEAR(EDATE(DATE(YEAR(TODAY()),MONTH(TODAY()),1),20))-YEAR(IF(ISNUMBER(Suppliers!F40),Suppliers!F40,DATE(YEAR(TODAY()),MONTH(TODAY()),1))))*12+MONTH(EDATE(DATE(YEAR(TODAY()),MONTH(TODAY()),1),20))-MONTH(IF(ISNUMBER(Suppliers!F40),Suppliers!F40,DATE(YEAR(TODAY()),MONTH(TODAY()),1))),6)=0,1,0),IF(Suppliers!E40="Annual",IF(MOD((YEAR(EDATE(DATE(YEAR(TODAY()),MONTH(TODAY()),1),20))-YEAR(IF(ISNUMBER(Suppliers!F40),Suppliers!F40,DATE(YEAR(TODAY()),MONTH(TODAY()),1))))*12+MONTH(EDATE(DATE(YEAR(TODAY()),MONTH(TODAY()),1),20))-MONTH(IF(ISNUMBER(Suppliers!F40),Suppliers!F40,DATE(YEAR(TODAY()),MONTH(TODAY()),1))),12)=0,1,0),IF(Suppliers!E40="One-time",IF(20=0,1,0),1)))))),"")</f>
        <v/>
      </c>
      <c r="AA42" s="10" t="str">
        <f ca="1">IFERROR(IF(OR(21&gt;=$B$1,Suppliers!A40="",NOT(ISNUMBER(Suppliers!D40)),Suppliers!L40="Expired",Suppliers!L40="Terminate"),"",Suppliers!D40*-1*IF(Suppliers!E40="Monthly",IF(AND(ISNUMBER(Suppliers!G40),(YEAR(EDATE(DATE(YEAR(TODAY()),MONTH(TODAY()),1),21))*12+MONTH(EDATE(DATE(YEAR(TODAY()),MONTH(TODAY()),1),21)))&gt;(YEAR(Suppliers!G40)*12+MONTH(Suppliers!G40))),"",1),IF(Suppliers!E40="Quarterly",IF(MOD((YEAR(EDATE(DATE(YEAR(TODAY()),MONTH(TODAY()),1),21))-YEAR(IF(ISNUMBER(Suppliers!F40),Suppliers!F40,DATE(YEAR(TODAY()),MONTH(TODAY()),1))))*12+MONTH(EDATE(DATE(YEAR(TODAY()),MONTH(TODAY()),1),21))-MONTH(IF(ISNUMBER(Suppliers!F40),Suppliers!F40,DATE(YEAR(TODAY()),MONTH(TODAY()),1))),3)=0,1,0),IF(Suppliers!E40="Semi-annual",IF(MOD((YEAR(EDATE(DATE(YEAR(TODAY()),MONTH(TODAY()),1),21))-YEAR(IF(ISNUMBER(Suppliers!F40),Suppliers!F40,DATE(YEAR(TODAY()),MONTH(TODAY()),1))))*12+MONTH(EDATE(DATE(YEAR(TODAY()),MONTH(TODAY()),1),21))-MONTH(IF(ISNUMBER(Suppliers!F40),Suppliers!F40,DATE(YEAR(TODAY()),MONTH(TODAY()),1))),6)=0,1,0),IF(Suppliers!E40="Annual",IF(MOD((YEAR(EDATE(DATE(YEAR(TODAY()),MONTH(TODAY()),1),21))-YEAR(IF(ISNUMBER(Suppliers!F40),Suppliers!F40,DATE(YEAR(TODAY()),MONTH(TODAY()),1))))*12+MONTH(EDATE(DATE(YEAR(TODAY()),MONTH(TODAY()),1),21))-MONTH(IF(ISNUMBER(Suppliers!F40),Suppliers!F40,DATE(YEAR(TODAY()),MONTH(TODAY()),1))),12)=0,1,0),IF(Suppliers!E40="One-time",IF(21=0,1,0),1)))))),"")</f>
        <v/>
      </c>
      <c r="AB42" s="10" t="str">
        <f ca="1">IFERROR(IF(OR(22&gt;=$B$1,Suppliers!A40="",NOT(ISNUMBER(Suppliers!D40)),Suppliers!L40="Expired",Suppliers!L40="Terminate"),"",Suppliers!D40*-1*IF(Suppliers!E40="Monthly",IF(AND(ISNUMBER(Suppliers!G40),(YEAR(EDATE(DATE(YEAR(TODAY()),MONTH(TODAY()),1),22))*12+MONTH(EDATE(DATE(YEAR(TODAY()),MONTH(TODAY()),1),22)))&gt;(YEAR(Suppliers!G40)*12+MONTH(Suppliers!G40))),"",1),IF(Suppliers!E40="Quarterly",IF(MOD((YEAR(EDATE(DATE(YEAR(TODAY()),MONTH(TODAY()),1),22))-YEAR(IF(ISNUMBER(Suppliers!F40),Suppliers!F40,DATE(YEAR(TODAY()),MONTH(TODAY()),1))))*12+MONTH(EDATE(DATE(YEAR(TODAY()),MONTH(TODAY()),1),22))-MONTH(IF(ISNUMBER(Suppliers!F40),Suppliers!F40,DATE(YEAR(TODAY()),MONTH(TODAY()),1))),3)=0,1,0),IF(Suppliers!E40="Semi-annual",IF(MOD((YEAR(EDATE(DATE(YEAR(TODAY()),MONTH(TODAY()),1),22))-YEAR(IF(ISNUMBER(Suppliers!F40),Suppliers!F40,DATE(YEAR(TODAY()),MONTH(TODAY()),1))))*12+MONTH(EDATE(DATE(YEAR(TODAY()),MONTH(TODAY()),1),22))-MONTH(IF(ISNUMBER(Suppliers!F40),Suppliers!F40,DATE(YEAR(TODAY()),MONTH(TODAY()),1))),6)=0,1,0),IF(Suppliers!E40="Annual",IF(MOD((YEAR(EDATE(DATE(YEAR(TODAY()),MONTH(TODAY()),1),22))-YEAR(IF(ISNUMBER(Suppliers!F40),Suppliers!F40,DATE(YEAR(TODAY()),MONTH(TODAY()),1))))*12+MONTH(EDATE(DATE(YEAR(TODAY()),MONTH(TODAY()),1),22))-MONTH(IF(ISNUMBER(Suppliers!F40),Suppliers!F40,DATE(YEAR(TODAY()),MONTH(TODAY()),1))),12)=0,1,0),IF(Suppliers!E40="One-time",IF(22=0,1,0),1)))))),"")</f>
        <v/>
      </c>
      <c r="AC42" s="10" t="str">
        <f ca="1">IFERROR(IF(OR(23&gt;=$B$1,Suppliers!A40="",NOT(ISNUMBER(Suppliers!D40)),Suppliers!L40="Expired",Suppliers!L40="Terminate"),"",Suppliers!D40*-1*IF(Suppliers!E40="Monthly",IF(AND(ISNUMBER(Suppliers!G40),(YEAR(EDATE(DATE(YEAR(TODAY()),MONTH(TODAY()),1),23))*12+MONTH(EDATE(DATE(YEAR(TODAY()),MONTH(TODAY()),1),23)))&gt;(YEAR(Suppliers!G40)*12+MONTH(Suppliers!G40))),"",1),IF(Suppliers!E40="Quarterly",IF(MOD((YEAR(EDATE(DATE(YEAR(TODAY()),MONTH(TODAY()),1),23))-YEAR(IF(ISNUMBER(Suppliers!F40),Suppliers!F40,DATE(YEAR(TODAY()),MONTH(TODAY()),1))))*12+MONTH(EDATE(DATE(YEAR(TODAY()),MONTH(TODAY()),1),23))-MONTH(IF(ISNUMBER(Suppliers!F40),Suppliers!F40,DATE(YEAR(TODAY()),MONTH(TODAY()),1))),3)=0,1,0),IF(Suppliers!E40="Semi-annual",IF(MOD((YEAR(EDATE(DATE(YEAR(TODAY()),MONTH(TODAY()),1),23))-YEAR(IF(ISNUMBER(Suppliers!F40),Suppliers!F40,DATE(YEAR(TODAY()),MONTH(TODAY()),1))))*12+MONTH(EDATE(DATE(YEAR(TODAY()),MONTH(TODAY()),1),23))-MONTH(IF(ISNUMBER(Suppliers!F40),Suppliers!F40,DATE(YEAR(TODAY()),MONTH(TODAY()),1))),6)=0,1,0),IF(Suppliers!E40="Annual",IF(MOD((YEAR(EDATE(DATE(YEAR(TODAY()),MONTH(TODAY()),1),23))-YEAR(IF(ISNUMBER(Suppliers!F40),Suppliers!F40,DATE(YEAR(TODAY()),MONTH(TODAY()),1))))*12+MONTH(EDATE(DATE(YEAR(TODAY()),MONTH(TODAY()),1),23))-MONTH(IF(ISNUMBER(Suppliers!F40),Suppliers!F40,DATE(YEAR(TODAY()),MONTH(TODAY()),1))),12)=0,1,0),IF(Suppliers!E40="One-time",IF(23=0,1,0),1)))))),"")</f>
        <v/>
      </c>
    </row>
    <row r="43" spans="1:29" ht="15" customHeight="1" x14ac:dyDescent="0.35">
      <c r="A43" s="4" t="s">
        <v>80</v>
      </c>
      <c r="B43" s="4" t="str">
        <f>IF(Suppliers!A41="","",Suppliers!A41)</f>
        <v/>
      </c>
      <c r="C43" s="10" t="str">
        <f>IF(Suppliers!C41="","",Suppliers!C41)</f>
        <v/>
      </c>
      <c r="D43" s="10" t="str">
        <f>IF(Suppliers!D41="","",Suppliers!D41)</f>
        <v/>
      </c>
      <c r="E43" s="4" t="str">
        <f>IF(Suppliers!E41="","",Suppliers!E41)</f>
        <v/>
      </c>
      <c r="F43" s="10" t="str">
        <f ca="1">IFERROR(IF(OR(0&gt;=$B$1,Suppliers!A41="",NOT(ISNUMBER(Suppliers!D41)),Suppliers!L41="Expired",Suppliers!L41="Terminate"),"",Suppliers!D41*-1*IF(Suppliers!E41="Monthly",IF(AND(ISNUMBER(Suppliers!G41),(YEAR(EDATE(DATE(YEAR(TODAY()),MONTH(TODAY()),1),0))*12+MONTH(EDATE(DATE(YEAR(TODAY()),MONTH(TODAY()),1),0)))&gt;(YEAR(Suppliers!G41)*12+MONTH(Suppliers!G41))),"",1),IF(Suppliers!E41="Quarterly",IF(MOD((YEAR(EDATE(DATE(YEAR(TODAY()),MONTH(TODAY()),1),0))-YEAR(IF(ISNUMBER(Suppliers!F41),Suppliers!F41,DATE(YEAR(TODAY()),MONTH(TODAY()),1))))*12+MONTH(EDATE(DATE(YEAR(TODAY()),MONTH(TODAY()),1),0))-MONTH(IF(ISNUMBER(Suppliers!F41),Suppliers!F41,DATE(YEAR(TODAY()),MONTH(TODAY()),1))),3)=0,1,0),IF(Suppliers!E41="Semi-annual",IF(MOD((YEAR(EDATE(DATE(YEAR(TODAY()),MONTH(TODAY()),1),0))-YEAR(IF(ISNUMBER(Suppliers!F41),Suppliers!F41,DATE(YEAR(TODAY()),MONTH(TODAY()),1))))*12+MONTH(EDATE(DATE(YEAR(TODAY()),MONTH(TODAY()),1),0))-MONTH(IF(ISNUMBER(Suppliers!F41),Suppliers!F41,DATE(YEAR(TODAY()),MONTH(TODAY()),1))),6)=0,1,0),IF(Suppliers!E41="Annual",IF(MOD((YEAR(EDATE(DATE(YEAR(TODAY()),MONTH(TODAY()),1),0))-YEAR(IF(ISNUMBER(Suppliers!F41),Suppliers!F41,DATE(YEAR(TODAY()),MONTH(TODAY()),1))))*12+MONTH(EDATE(DATE(YEAR(TODAY()),MONTH(TODAY()),1),0))-MONTH(IF(ISNUMBER(Suppliers!F41),Suppliers!F41,DATE(YEAR(TODAY()),MONTH(TODAY()),1))),12)=0,1,0),IF(Suppliers!E41="One-time",IF(0=0,1,0),1)))))),"")</f>
        <v/>
      </c>
      <c r="G43" s="10" t="str">
        <f ca="1">IFERROR(IF(OR(1&gt;=$B$1,Suppliers!A41="",NOT(ISNUMBER(Suppliers!D41)),Suppliers!L41="Expired",Suppliers!L41="Terminate"),"",Suppliers!D41*-1*IF(Suppliers!E41="Monthly",IF(AND(ISNUMBER(Suppliers!G41),(YEAR(EDATE(DATE(YEAR(TODAY()),MONTH(TODAY()),1),1))*12+MONTH(EDATE(DATE(YEAR(TODAY()),MONTH(TODAY()),1),1)))&gt;(YEAR(Suppliers!G41)*12+MONTH(Suppliers!G41))),"",1),IF(Suppliers!E41="Quarterly",IF(MOD((YEAR(EDATE(DATE(YEAR(TODAY()),MONTH(TODAY()),1),1))-YEAR(IF(ISNUMBER(Suppliers!F41),Suppliers!F41,DATE(YEAR(TODAY()),MONTH(TODAY()),1))))*12+MONTH(EDATE(DATE(YEAR(TODAY()),MONTH(TODAY()),1),1))-MONTH(IF(ISNUMBER(Suppliers!F41),Suppliers!F41,DATE(YEAR(TODAY()),MONTH(TODAY()),1))),3)=0,1,0),IF(Suppliers!E41="Semi-annual",IF(MOD((YEAR(EDATE(DATE(YEAR(TODAY()),MONTH(TODAY()),1),1))-YEAR(IF(ISNUMBER(Suppliers!F41),Suppliers!F41,DATE(YEAR(TODAY()),MONTH(TODAY()),1))))*12+MONTH(EDATE(DATE(YEAR(TODAY()),MONTH(TODAY()),1),1))-MONTH(IF(ISNUMBER(Suppliers!F41),Suppliers!F41,DATE(YEAR(TODAY()),MONTH(TODAY()),1))),6)=0,1,0),IF(Suppliers!E41="Annual",IF(MOD((YEAR(EDATE(DATE(YEAR(TODAY()),MONTH(TODAY()),1),1))-YEAR(IF(ISNUMBER(Suppliers!F41),Suppliers!F41,DATE(YEAR(TODAY()),MONTH(TODAY()),1))))*12+MONTH(EDATE(DATE(YEAR(TODAY()),MONTH(TODAY()),1),1))-MONTH(IF(ISNUMBER(Suppliers!F41),Suppliers!F41,DATE(YEAR(TODAY()),MONTH(TODAY()),1))),12)=0,1,0),IF(Suppliers!E41="One-time",IF(1=0,1,0),1)))))),"")</f>
        <v/>
      </c>
      <c r="H43" s="10" t="str">
        <f ca="1">IFERROR(IF(OR(2&gt;=$B$1,Suppliers!A41="",NOT(ISNUMBER(Suppliers!D41)),Suppliers!L41="Expired",Suppliers!L41="Terminate"),"",Suppliers!D41*-1*IF(Suppliers!E41="Monthly",IF(AND(ISNUMBER(Suppliers!G41),(YEAR(EDATE(DATE(YEAR(TODAY()),MONTH(TODAY()),1),2))*12+MONTH(EDATE(DATE(YEAR(TODAY()),MONTH(TODAY()),1),2)))&gt;(YEAR(Suppliers!G41)*12+MONTH(Suppliers!G41))),"",1),IF(Suppliers!E41="Quarterly",IF(MOD((YEAR(EDATE(DATE(YEAR(TODAY()),MONTH(TODAY()),1),2))-YEAR(IF(ISNUMBER(Suppliers!F41),Suppliers!F41,DATE(YEAR(TODAY()),MONTH(TODAY()),1))))*12+MONTH(EDATE(DATE(YEAR(TODAY()),MONTH(TODAY()),1),2))-MONTH(IF(ISNUMBER(Suppliers!F41),Suppliers!F41,DATE(YEAR(TODAY()),MONTH(TODAY()),1))),3)=0,1,0),IF(Suppliers!E41="Semi-annual",IF(MOD((YEAR(EDATE(DATE(YEAR(TODAY()),MONTH(TODAY()),1),2))-YEAR(IF(ISNUMBER(Suppliers!F41),Suppliers!F41,DATE(YEAR(TODAY()),MONTH(TODAY()),1))))*12+MONTH(EDATE(DATE(YEAR(TODAY()),MONTH(TODAY()),1),2))-MONTH(IF(ISNUMBER(Suppliers!F41),Suppliers!F41,DATE(YEAR(TODAY()),MONTH(TODAY()),1))),6)=0,1,0),IF(Suppliers!E41="Annual",IF(MOD((YEAR(EDATE(DATE(YEAR(TODAY()),MONTH(TODAY()),1),2))-YEAR(IF(ISNUMBER(Suppliers!F41),Suppliers!F41,DATE(YEAR(TODAY()),MONTH(TODAY()),1))))*12+MONTH(EDATE(DATE(YEAR(TODAY()),MONTH(TODAY()),1),2))-MONTH(IF(ISNUMBER(Suppliers!F41),Suppliers!F41,DATE(YEAR(TODAY()),MONTH(TODAY()),1))),12)=0,1,0),IF(Suppliers!E41="One-time",IF(2=0,1,0),1)))))),"")</f>
        <v/>
      </c>
      <c r="I43" s="10" t="str">
        <f ca="1">IFERROR(IF(OR(3&gt;=$B$1,Suppliers!A41="",NOT(ISNUMBER(Suppliers!D41)),Suppliers!L41="Expired",Suppliers!L41="Terminate"),"",Suppliers!D41*-1*IF(Suppliers!E41="Monthly",IF(AND(ISNUMBER(Suppliers!G41),(YEAR(EDATE(DATE(YEAR(TODAY()),MONTH(TODAY()),1),3))*12+MONTH(EDATE(DATE(YEAR(TODAY()),MONTH(TODAY()),1),3)))&gt;(YEAR(Suppliers!G41)*12+MONTH(Suppliers!G41))),"",1),IF(Suppliers!E41="Quarterly",IF(MOD((YEAR(EDATE(DATE(YEAR(TODAY()),MONTH(TODAY()),1),3))-YEAR(IF(ISNUMBER(Suppliers!F41),Suppliers!F41,DATE(YEAR(TODAY()),MONTH(TODAY()),1))))*12+MONTH(EDATE(DATE(YEAR(TODAY()),MONTH(TODAY()),1),3))-MONTH(IF(ISNUMBER(Suppliers!F41),Suppliers!F41,DATE(YEAR(TODAY()),MONTH(TODAY()),1))),3)=0,1,0),IF(Suppliers!E41="Semi-annual",IF(MOD((YEAR(EDATE(DATE(YEAR(TODAY()),MONTH(TODAY()),1),3))-YEAR(IF(ISNUMBER(Suppliers!F41),Suppliers!F41,DATE(YEAR(TODAY()),MONTH(TODAY()),1))))*12+MONTH(EDATE(DATE(YEAR(TODAY()),MONTH(TODAY()),1),3))-MONTH(IF(ISNUMBER(Suppliers!F41),Suppliers!F41,DATE(YEAR(TODAY()),MONTH(TODAY()),1))),6)=0,1,0),IF(Suppliers!E41="Annual",IF(MOD((YEAR(EDATE(DATE(YEAR(TODAY()),MONTH(TODAY()),1),3))-YEAR(IF(ISNUMBER(Suppliers!F41),Suppliers!F41,DATE(YEAR(TODAY()),MONTH(TODAY()),1))))*12+MONTH(EDATE(DATE(YEAR(TODAY()),MONTH(TODAY()),1),3))-MONTH(IF(ISNUMBER(Suppliers!F41),Suppliers!F41,DATE(YEAR(TODAY()),MONTH(TODAY()),1))),12)=0,1,0),IF(Suppliers!E41="One-time",IF(3=0,1,0),1)))))),"")</f>
        <v/>
      </c>
      <c r="J43" s="10" t="str">
        <f ca="1">IFERROR(IF(OR(4&gt;=$B$1,Suppliers!A41="",NOT(ISNUMBER(Suppliers!D41)),Suppliers!L41="Expired",Suppliers!L41="Terminate"),"",Suppliers!D41*-1*IF(Suppliers!E41="Monthly",IF(AND(ISNUMBER(Suppliers!G41),(YEAR(EDATE(DATE(YEAR(TODAY()),MONTH(TODAY()),1),4))*12+MONTH(EDATE(DATE(YEAR(TODAY()),MONTH(TODAY()),1),4)))&gt;(YEAR(Suppliers!G41)*12+MONTH(Suppliers!G41))),"",1),IF(Suppliers!E41="Quarterly",IF(MOD((YEAR(EDATE(DATE(YEAR(TODAY()),MONTH(TODAY()),1),4))-YEAR(IF(ISNUMBER(Suppliers!F41),Suppliers!F41,DATE(YEAR(TODAY()),MONTH(TODAY()),1))))*12+MONTH(EDATE(DATE(YEAR(TODAY()),MONTH(TODAY()),1),4))-MONTH(IF(ISNUMBER(Suppliers!F41),Suppliers!F41,DATE(YEAR(TODAY()),MONTH(TODAY()),1))),3)=0,1,0),IF(Suppliers!E41="Semi-annual",IF(MOD((YEAR(EDATE(DATE(YEAR(TODAY()),MONTH(TODAY()),1),4))-YEAR(IF(ISNUMBER(Suppliers!F41),Suppliers!F41,DATE(YEAR(TODAY()),MONTH(TODAY()),1))))*12+MONTH(EDATE(DATE(YEAR(TODAY()),MONTH(TODAY()),1),4))-MONTH(IF(ISNUMBER(Suppliers!F41),Suppliers!F41,DATE(YEAR(TODAY()),MONTH(TODAY()),1))),6)=0,1,0),IF(Suppliers!E41="Annual",IF(MOD((YEAR(EDATE(DATE(YEAR(TODAY()),MONTH(TODAY()),1),4))-YEAR(IF(ISNUMBER(Suppliers!F41),Suppliers!F41,DATE(YEAR(TODAY()),MONTH(TODAY()),1))))*12+MONTH(EDATE(DATE(YEAR(TODAY()),MONTH(TODAY()),1),4))-MONTH(IF(ISNUMBER(Suppliers!F41),Suppliers!F41,DATE(YEAR(TODAY()),MONTH(TODAY()),1))),12)=0,1,0),IF(Suppliers!E41="One-time",IF(4=0,1,0),1)))))),"")</f>
        <v/>
      </c>
      <c r="K43" s="10" t="str">
        <f ca="1">IFERROR(IF(OR(5&gt;=$B$1,Suppliers!A41="",NOT(ISNUMBER(Suppliers!D41)),Suppliers!L41="Expired",Suppliers!L41="Terminate"),"",Suppliers!D41*-1*IF(Suppliers!E41="Monthly",IF(AND(ISNUMBER(Suppliers!G41),(YEAR(EDATE(DATE(YEAR(TODAY()),MONTH(TODAY()),1),5))*12+MONTH(EDATE(DATE(YEAR(TODAY()),MONTH(TODAY()),1),5)))&gt;(YEAR(Suppliers!G41)*12+MONTH(Suppliers!G41))),"",1),IF(Suppliers!E41="Quarterly",IF(MOD((YEAR(EDATE(DATE(YEAR(TODAY()),MONTH(TODAY()),1),5))-YEAR(IF(ISNUMBER(Suppliers!F41),Suppliers!F41,DATE(YEAR(TODAY()),MONTH(TODAY()),1))))*12+MONTH(EDATE(DATE(YEAR(TODAY()),MONTH(TODAY()),1),5))-MONTH(IF(ISNUMBER(Suppliers!F41),Suppliers!F41,DATE(YEAR(TODAY()),MONTH(TODAY()),1))),3)=0,1,0),IF(Suppliers!E41="Semi-annual",IF(MOD((YEAR(EDATE(DATE(YEAR(TODAY()),MONTH(TODAY()),1),5))-YEAR(IF(ISNUMBER(Suppliers!F41),Suppliers!F41,DATE(YEAR(TODAY()),MONTH(TODAY()),1))))*12+MONTH(EDATE(DATE(YEAR(TODAY()),MONTH(TODAY()),1),5))-MONTH(IF(ISNUMBER(Suppliers!F41),Suppliers!F41,DATE(YEAR(TODAY()),MONTH(TODAY()),1))),6)=0,1,0),IF(Suppliers!E41="Annual",IF(MOD((YEAR(EDATE(DATE(YEAR(TODAY()),MONTH(TODAY()),1),5))-YEAR(IF(ISNUMBER(Suppliers!F41),Suppliers!F41,DATE(YEAR(TODAY()),MONTH(TODAY()),1))))*12+MONTH(EDATE(DATE(YEAR(TODAY()),MONTH(TODAY()),1),5))-MONTH(IF(ISNUMBER(Suppliers!F41),Suppliers!F41,DATE(YEAR(TODAY()),MONTH(TODAY()),1))),12)=0,1,0),IF(Suppliers!E41="One-time",IF(5=0,1,0),1)))))),"")</f>
        <v/>
      </c>
      <c r="L43" s="10" t="str">
        <f ca="1">IFERROR(IF(OR(6&gt;=$B$1,Suppliers!A41="",NOT(ISNUMBER(Suppliers!D41)),Suppliers!L41="Expired",Suppliers!L41="Terminate"),"",Suppliers!D41*-1*IF(Suppliers!E41="Monthly",IF(AND(ISNUMBER(Suppliers!G41),(YEAR(EDATE(DATE(YEAR(TODAY()),MONTH(TODAY()),1),6))*12+MONTH(EDATE(DATE(YEAR(TODAY()),MONTH(TODAY()),1),6)))&gt;(YEAR(Suppliers!G41)*12+MONTH(Suppliers!G41))),"",1),IF(Suppliers!E41="Quarterly",IF(MOD((YEAR(EDATE(DATE(YEAR(TODAY()),MONTH(TODAY()),1),6))-YEAR(IF(ISNUMBER(Suppliers!F41),Suppliers!F41,DATE(YEAR(TODAY()),MONTH(TODAY()),1))))*12+MONTH(EDATE(DATE(YEAR(TODAY()),MONTH(TODAY()),1),6))-MONTH(IF(ISNUMBER(Suppliers!F41),Suppliers!F41,DATE(YEAR(TODAY()),MONTH(TODAY()),1))),3)=0,1,0),IF(Suppliers!E41="Semi-annual",IF(MOD((YEAR(EDATE(DATE(YEAR(TODAY()),MONTH(TODAY()),1),6))-YEAR(IF(ISNUMBER(Suppliers!F41),Suppliers!F41,DATE(YEAR(TODAY()),MONTH(TODAY()),1))))*12+MONTH(EDATE(DATE(YEAR(TODAY()),MONTH(TODAY()),1),6))-MONTH(IF(ISNUMBER(Suppliers!F41),Suppliers!F41,DATE(YEAR(TODAY()),MONTH(TODAY()),1))),6)=0,1,0),IF(Suppliers!E41="Annual",IF(MOD((YEAR(EDATE(DATE(YEAR(TODAY()),MONTH(TODAY()),1),6))-YEAR(IF(ISNUMBER(Suppliers!F41),Suppliers!F41,DATE(YEAR(TODAY()),MONTH(TODAY()),1))))*12+MONTH(EDATE(DATE(YEAR(TODAY()),MONTH(TODAY()),1),6))-MONTH(IF(ISNUMBER(Suppliers!F41),Suppliers!F41,DATE(YEAR(TODAY()),MONTH(TODAY()),1))),12)=0,1,0),IF(Suppliers!E41="One-time",IF(6=0,1,0),1)))))),"")</f>
        <v/>
      </c>
      <c r="M43" s="10" t="str">
        <f ca="1">IFERROR(IF(OR(7&gt;=$B$1,Suppliers!A41="",NOT(ISNUMBER(Suppliers!D41)),Suppliers!L41="Expired",Suppliers!L41="Terminate"),"",Suppliers!D41*-1*IF(Suppliers!E41="Monthly",IF(AND(ISNUMBER(Suppliers!G41),(YEAR(EDATE(DATE(YEAR(TODAY()),MONTH(TODAY()),1),7))*12+MONTH(EDATE(DATE(YEAR(TODAY()),MONTH(TODAY()),1),7)))&gt;(YEAR(Suppliers!G41)*12+MONTH(Suppliers!G41))),"",1),IF(Suppliers!E41="Quarterly",IF(MOD((YEAR(EDATE(DATE(YEAR(TODAY()),MONTH(TODAY()),1),7))-YEAR(IF(ISNUMBER(Suppliers!F41),Suppliers!F41,DATE(YEAR(TODAY()),MONTH(TODAY()),1))))*12+MONTH(EDATE(DATE(YEAR(TODAY()),MONTH(TODAY()),1),7))-MONTH(IF(ISNUMBER(Suppliers!F41),Suppliers!F41,DATE(YEAR(TODAY()),MONTH(TODAY()),1))),3)=0,1,0),IF(Suppliers!E41="Semi-annual",IF(MOD((YEAR(EDATE(DATE(YEAR(TODAY()),MONTH(TODAY()),1),7))-YEAR(IF(ISNUMBER(Suppliers!F41),Suppliers!F41,DATE(YEAR(TODAY()),MONTH(TODAY()),1))))*12+MONTH(EDATE(DATE(YEAR(TODAY()),MONTH(TODAY()),1),7))-MONTH(IF(ISNUMBER(Suppliers!F41),Suppliers!F41,DATE(YEAR(TODAY()),MONTH(TODAY()),1))),6)=0,1,0),IF(Suppliers!E41="Annual",IF(MOD((YEAR(EDATE(DATE(YEAR(TODAY()),MONTH(TODAY()),1),7))-YEAR(IF(ISNUMBER(Suppliers!F41),Suppliers!F41,DATE(YEAR(TODAY()),MONTH(TODAY()),1))))*12+MONTH(EDATE(DATE(YEAR(TODAY()),MONTH(TODAY()),1),7))-MONTH(IF(ISNUMBER(Suppliers!F41),Suppliers!F41,DATE(YEAR(TODAY()),MONTH(TODAY()),1))),12)=0,1,0),IF(Suppliers!E41="One-time",IF(7=0,1,0),1)))))),"")</f>
        <v/>
      </c>
      <c r="N43" s="10" t="str">
        <f ca="1">IFERROR(IF(OR(8&gt;=$B$1,Suppliers!A41="",NOT(ISNUMBER(Suppliers!D41)),Suppliers!L41="Expired",Suppliers!L41="Terminate"),"",Suppliers!D41*-1*IF(Suppliers!E41="Monthly",IF(AND(ISNUMBER(Suppliers!G41),(YEAR(EDATE(DATE(YEAR(TODAY()),MONTH(TODAY()),1),8))*12+MONTH(EDATE(DATE(YEAR(TODAY()),MONTH(TODAY()),1),8)))&gt;(YEAR(Suppliers!G41)*12+MONTH(Suppliers!G41))),"",1),IF(Suppliers!E41="Quarterly",IF(MOD((YEAR(EDATE(DATE(YEAR(TODAY()),MONTH(TODAY()),1),8))-YEAR(IF(ISNUMBER(Suppliers!F41),Suppliers!F41,DATE(YEAR(TODAY()),MONTH(TODAY()),1))))*12+MONTH(EDATE(DATE(YEAR(TODAY()),MONTH(TODAY()),1),8))-MONTH(IF(ISNUMBER(Suppliers!F41),Suppliers!F41,DATE(YEAR(TODAY()),MONTH(TODAY()),1))),3)=0,1,0),IF(Suppliers!E41="Semi-annual",IF(MOD((YEAR(EDATE(DATE(YEAR(TODAY()),MONTH(TODAY()),1),8))-YEAR(IF(ISNUMBER(Suppliers!F41),Suppliers!F41,DATE(YEAR(TODAY()),MONTH(TODAY()),1))))*12+MONTH(EDATE(DATE(YEAR(TODAY()),MONTH(TODAY()),1),8))-MONTH(IF(ISNUMBER(Suppliers!F41),Suppliers!F41,DATE(YEAR(TODAY()),MONTH(TODAY()),1))),6)=0,1,0),IF(Suppliers!E41="Annual",IF(MOD((YEAR(EDATE(DATE(YEAR(TODAY()),MONTH(TODAY()),1),8))-YEAR(IF(ISNUMBER(Suppliers!F41),Suppliers!F41,DATE(YEAR(TODAY()),MONTH(TODAY()),1))))*12+MONTH(EDATE(DATE(YEAR(TODAY()),MONTH(TODAY()),1),8))-MONTH(IF(ISNUMBER(Suppliers!F41),Suppliers!F41,DATE(YEAR(TODAY()),MONTH(TODAY()),1))),12)=0,1,0),IF(Suppliers!E41="One-time",IF(8=0,1,0),1)))))),"")</f>
        <v/>
      </c>
      <c r="O43" s="10" t="str">
        <f ca="1">IFERROR(IF(OR(9&gt;=$B$1,Suppliers!A41="",NOT(ISNUMBER(Suppliers!D41)),Suppliers!L41="Expired",Suppliers!L41="Terminate"),"",Suppliers!D41*-1*IF(Suppliers!E41="Monthly",IF(AND(ISNUMBER(Suppliers!G41),(YEAR(EDATE(DATE(YEAR(TODAY()),MONTH(TODAY()),1),9))*12+MONTH(EDATE(DATE(YEAR(TODAY()),MONTH(TODAY()),1),9)))&gt;(YEAR(Suppliers!G41)*12+MONTH(Suppliers!G41))),"",1),IF(Suppliers!E41="Quarterly",IF(MOD((YEAR(EDATE(DATE(YEAR(TODAY()),MONTH(TODAY()),1),9))-YEAR(IF(ISNUMBER(Suppliers!F41),Suppliers!F41,DATE(YEAR(TODAY()),MONTH(TODAY()),1))))*12+MONTH(EDATE(DATE(YEAR(TODAY()),MONTH(TODAY()),1),9))-MONTH(IF(ISNUMBER(Suppliers!F41),Suppliers!F41,DATE(YEAR(TODAY()),MONTH(TODAY()),1))),3)=0,1,0),IF(Suppliers!E41="Semi-annual",IF(MOD((YEAR(EDATE(DATE(YEAR(TODAY()),MONTH(TODAY()),1),9))-YEAR(IF(ISNUMBER(Suppliers!F41),Suppliers!F41,DATE(YEAR(TODAY()),MONTH(TODAY()),1))))*12+MONTH(EDATE(DATE(YEAR(TODAY()),MONTH(TODAY()),1),9))-MONTH(IF(ISNUMBER(Suppliers!F41),Suppliers!F41,DATE(YEAR(TODAY()),MONTH(TODAY()),1))),6)=0,1,0),IF(Suppliers!E41="Annual",IF(MOD((YEAR(EDATE(DATE(YEAR(TODAY()),MONTH(TODAY()),1),9))-YEAR(IF(ISNUMBER(Suppliers!F41),Suppliers!F41,DATE(YEAR(TODAY()),MONTH(TODAY()),1))))*12+MONTH(EDATE(DATE(YEAR(TODAY()),MONTH(TODAY()),1),9))-MONTH(IF(ISNUMBER(Suppliers!F41),Suppliers!F41,DATE(YEAR(TODAY()),MONTH(TODAY()),1))),12)=0,1,0),IF(Suppliers!E41="One-time",IF(9=0,1,0),1)))))),"")</f>
        <v/>
      </c>
      <c r="P43" s="10" t="str">
        <f ca="1">IFERROR(IF(OR(10&gt;=$B$1,Suppliers!A41="",NOT(ISNUMBER(Suppliers!D41)),Suppliers!L41="Expired",Suppliers!L41="Terminate"),"",Suppliers!D41*-1*IF(Suppliers!E41="Monthly",IF(AND(ISNUMBER(Suppliers!G41),(YEAR(EDATE(DATE(YEAR(TODAY()),MONTH(TODAY()),1),10))*12+MONTH(EDATE(DATE(YEAR(TODAY()),MONTH(TODAY()),1),10)))&gt;(YEAR(Suppliers!G41)*12+MONTH(Suppliers!G41))),"",1),IF(Suppliers!E41="Quarterly",IF(MOD((YEAR(EDATE(DATE(YEAR(TODAY()),MONTH(TODAY()),1),10))-YEAR(IF(ISNUMBER(Suppliers!F41),Suppliers!F41,DATE(YEAR(TODAY()),MONTH(TODAY()),1))))*12+MONTH(EDATE(DATE(YEAR(TODAY()),MONTH(TODAY()),1),10))-MONTH(IF(ISNUMBER(Suppliers!F41),Suppliers!F41,DATE(YEAR(TODAY()),MONTH(TODAY()),1))),3)=0,1,0),IF(Suppliers!E41="Semi-annual",IF(MOD((YEAR(EDATE(DATE(YEAR(TODAY()),MONTH(TODAY()),1),10))-YEAR(IF(ISNUMBER(Suppliers!F41),Suppliers!F41,DATE(YEAR(TODAY()),MONTH(TODAY()),1))))*12+MONTH(EDATE(DATE(YEAR(TODAY()),MONTH(TODAY()),1),10))-MONTH(IF(ISNUMBER(Suppliers!F41),Suppliers!F41,DATE(YEAR(TODAY()),MONTH(TODAY()),1))),6)=0,1,0),IF(Suppliers!E41="Annual",IF(MOD((YEAR(EDATE(DATE(YEAR(TODAY()),MONTH(TODAY()),1),10))-YEAR(IF(ISNUMBER(Suppliers!F41),Suppliers!F41,DATE(YEAR(TODAY()),MONTH(TODAY()),1))))*12+MONTH(EDATE(DATE(YEAR(TODAY()),MONTH(TODAY()),1),10))-MONTH(IF(ISNUMBER(Suppliers!F41),Suppliers!F41,DATE(YEAR(TODAY()),MONTH(TODAY()),1))),12)=0,1,0),IF(Suppliers!E41="One-time",IF(10=0,1,0),1)))))),"")</f>
        <v/>
      </c>
      <c r="Q43" s="10" t="str">
        <f ca="1">IFERROR(IF(OR(11&gt;=$B$1,Suppliers!A41="",NOT(ISNUMBER(Suppliers!D41)),Suppliers!L41="Expired",Suppliers!L41="Terminate"),"",Suppliers!D41*-1*IF(Suppliers!E41="Monthly",IF(AND(ISNUMBER(Suppliers!G41),(YEAR(EDATE(DATE(YEAR(TODAY()),MONTH(TODAY()),1),11))*12+MONTH(EDATE(DATE(YEAR(TODAY()),MONTH(TODAY()),1),11)))&gt;(YEAR(Suppliers!G41)*12+MONTH(Suppliers!G41))),"",1),IF(Suppliers!E41="Quarterly",IF(MOD((YEAR(EDATE(DATE(YEAR(TODAY()),MONTH(TODAY()),1),11))-YEAR(IF(ISNUMBER(Suppliers!F41),Suppliers!F41,DATE(YEAR(TODAY()),MONTH(TODAY()),1))))*12+MONTH(EDATE(DATE(YEAR(TODAY()),MONTH(TODAY()),1),11))-MONTH(IF(ISNUMBER(Suppliers!F41),Suppliers!F41,DATE(YEAR(TODAY()),MONTH(TODAY()),1))),3)=0,1,0),IF(Suppliers!E41="Semi-annual",IF(MOD((YEAR(EDATE(DATE(YEAR(TODAY()),MONTH(TODAY()),1),11))-YEAR(IF(ISNUMBER(Suppliers!F41),Suppliers!F41,DATE(YEAR(TODAY()),MONTH(TODAY()),1))))*12+MONTH(EDATE(DATE(YEAR(TODAY()),MONTH(TODAY()),1),11))-MONTH(IF(ISNUMBER(Suppliers!F41),Suppliers!F41,DATE(YEAR(TODAY()),MONTH(TODAY()),1))),6)=0,1,0),IF(Suppliers!E41="Annual",IF(MOD((YEAR(EDATE(DATE(YEAR(TODAY()),MONTH(TODAY()),1),11))-YEAR(IF(ISNUMBER(Suppliers!F41),Suppliers!F41,DATE(YEAR(TODAY()),MONTH(TODAY()),1))))*12+MONTH(EDATE(DATE(YEAR(TODAY()),MONTH(TODAY()),1),11))-MONTH(IF(ISNUMBER(Suppliers!F41),Suppliers!F41,DATE(YEAR(TODAY()),MONTH(TODAY()),1))),12)=0,1,0),IF(Suppliers!E41="One-time",IF(11=0,1,0),1)))))),"")</f>
        <v/>
      </c>
      <c r="R43" s="10" t="str">
        <f ca="1">IFERROR(IF(OR(12&gt;=$B$1,Suppliers!A41="",NOT(ISNUMBER(Suppliers!D41)),Suppliers!L41="Expired",Suppliers!L41="Terminate"),"",Suppliers!D41*-1*IF(Suppliers!E41="Monthly",IF(AND(ISNUMBER(Suppliers!G41),(YEAR(EDATE(DATE(YEAR(TODAY()),MONTH(TODAY()),1),12))*12+MONTH(EDATE(DATE(YEAR(TODAY()),MONTH(TODAY()),1),12)))&gt;(YEAR(Suppliers!G41)*12+MONTH(Suppliers!G41))),"",1),IF(Suppliers!E41="Quarterly",IF(MOD((YEAR(EDATE(DATE(YEAR(TODAY()),MONTH(TODAY()),1),12))-YEAR(IF(ISNUMBER(Suppliers!F41),Suppliers!F41,DATE(YEAR(TODAY()),MONTH(TODAY()),1))))*12+MONTH(EDATE(DATE(YEAR(TODAY()),MONTH(TODAY()),1),12))-MONTH(IF(ISNUMBER(Suppliers!F41),Suppliers!F41,DATE(YEAR(TODAY()),MONTH(TODAY()),1))),3)=0,1,0),IF(Suppliers!E41="Semi-annual",IF(MOD((YEAR(EDATE(DATE(YEAR(TODAY()),MONTH(TODAY()),1),12))-YEAR(IF(ISNUMBER(Suppliers!F41),Suppliers!F41,DATE(YEAR(TODAY()),MONTH(TODAY()),1))))*12+MONTH(EDATE(DATE(YEAR(TODAY()),MONTH(TODAY()),1),12))-MONTH(IF(ISNUMBER(Suppliers!F41),Suppliers!F41,DATE(YEAR(TODAY()),MONTH(TODAY()),1))),6)=0,1,0),IF(Suppliers!E41="Annual",IF(MOD((YEAR(EDATE(DATE(YEAR(TODAY()),MONTH(TODAY()),1),12))-YEAR(IF(ISNUMBER(Suppliers!F41),Suppliers!F41,DATE(YEAR(TODAY()),MONTH(TODAY()),1))))*12+MONTH(EDATE(DATE(YEAR(TODAY()),MONTH(TODAY()),1),12))-MONTH(IF(ISNUMBER(Suppliers!F41),Suppliers!F41,DATE(YEAR(TODAY()),MONTH(TODAY()),1))),12)=0,1,0),IF(Suppliers!E41="One-time",IF(12=0,1,0),1)))))),"")</f>
        <v/>
      </c>
      <c r="S43" s="10" t="str">
        <f ca="1">IFERROR(IF(OR(13&gt;=$B$1,Suppliers!A41="",NOT(ISNUMBER(Suppliers!D41)),Suppliers!L41="Expired",Suppliers!L41="Terminate"),"",Suppliers!D41*-1*IF(Suppliers!E41="Monthly",IF(AND(ISNUMBER(Suppliers!G41),(YEAR(EDATE(DATE(YEAR(TODAY()),MONTH(TODAY()),1),13))*12+MONTH(EDATE(DATE(YEAR(TODAY()),MONTH(TODAY()),1),13)))&gt;(YEAR(Suppliers!G41)*12+MONTH(Suppliers!G41))),"",1),IF(Suppliers!E41="Quarterly",IF(MOD((YEAR(EDATE(DATE(YEAR(TODAY()),MONTH(TODAY()),1),13))-YEAR(IF(ISNUMBER(Suppliers!F41),Suppliers!F41,DATE(YEAR(TODAY()),MONTH(TODAY()),1))))*12+MONTH(EDATE(DATE(YEAR(TODAY()),MONTH(TODAY()),1),13))-MONTH(IF(ISNUMBER(Suppliers!F41),Suppliers!F41,DATE(YEAR(TODAY()),MONTH(TODAY()),1))),3)=0,1,0),IF(Suppliers!E41="Semi-annual",IF(MOD((YEAR(EDATE(DATE(YEAR(TODAY()),MONTH(TODAY()),1),13))-YEAR(IF(ISNUMBER(Suppliers!F41),Suppliers!F41,DATE(YEAR(TODAY()),MONTH(TODAY()),1))))*12+MONTH(EDATE(DATE(YEAR(TODAY()),MONTH(TODAY()),1),13))-MONTH(IF(ISNUMBER(Suppliers!F41),Suppliers!F41,DATE(YEAR(TODAY()),MONTH(TODAY()),1))),6)=0,1,0),IF(Suppliers!E41="Annual",IF(MOD((YEAR(EDATE(DATE(YEAR(TODAY()),MONTH(TODAY()),1),13))-YEAR(IF(ISNUMBER(Suppliers!F41),Suppliers!F41,DATE(YEAR(TODAY()),MONTH(TODAY()),1))))*12+MONTH(EDATE(DATE(YEAR(TODAY()),MONTH(TODAY()),1),13))-MONTH(IF(ISNUMBER(Suppliers!F41),Suppliers!F41,DATE(YEAR(TODAY()),MONTH(TODAY()),1))),12)=0,1,0),IF(Suppliers!E41="One-time",IF(13=0,1,0),1)))))),"")</f>
        <v/>
      </c>
      <c r="T43" s="10" t="str">
        <f ca="1">IFERROR(IF(OR(14&gt;=$B$1,Suppliers!A41="",NOT(ISNUMBER(Suppliers!D41)),Suppliers!L41="Expired",Suppliers!L41="Terminate"),"",Suppliers!D41*-1*IF(Suppliers!E41="Monthly",IF(AND(ISNUMBER(Suppliers!G41),(YEAR(EDATE(DATE(YEAR(TODAY()),MONTH(TODAY()),1),14))*12+MONTH(EDATE(DATE(YEAR(TODAY()),MONTH(TODAY()),1),14)))&gt;(YEAR(Suppliers!G41)*12+MONTH(Suppliers!G41))),"",1),IF(Suppliers!E41="Quarterly",IF(MOD((YEAR(EDATE(DATE(YEAR(TODAY()),MONTH(TODAY()),1),14))-YEAR(IF(ISNUMBER(Suppliers!F41),Suppliers!F41,DATE(YEAR(TODAY()),MONTH(TODAY()),1))))*12+MONTH(EDATE(DATE(YEAR(TODAY()),MONTH(TODAY()),1),14))-MONTH(IF(ISNUMBER(Suppliers!F41),Suppliers!F41,DATE(YEAR(TODAY()),MONTH(TODAY()),1))),3)=0,1,0),IF(Suppliers!E41="Semi-annual",IF(MOD((YEAR(EDATE(DATE(YEAR(TODAY()),MONTH(TODAY()),1),14))-YEAR(IF(ISNUMBER(Suppliers!F41),Suppliers!F41,DATE(YEAR(TODAY()),MONTH(TODAY()),1))))*12+MONTH(EDATE(DATE(YEAR(TODAY()),MONTH(TODAY()),1),14))-MONTH(IF(ISNUMBER(Suppliers!F41),Suppliers!F41,DATE(YEAR(TODAY()),MONTH(TODAY()),1))),6)=0,1,0),IF(Suppliers!E41="Annual",IF(MOD((YEAR(EDATE(DATE(YEAR(TODAY()),MONTH(TODAY()),1),14))-YEAR(IF(ISNUMBER(Suppliers!F41),Suppliers!F41,DATE(YEAR(TODAY()),MONTH(TODAY()),1))))*12+MONTH(EDATE(DATE(YEAR(TODAY()),MONTH(TODAY()),1),14))-MONTH(IF(ISNUMBER(Suppliers!F41),Suppliers!F41,DATE(YEAR(TODAY()),MONTH(TODAY()),1))),12)=0,1,0),IF(Suppliers!E41="One-time",IF(14=0,1,0),1)))))),"")</f>
        <v/>
      </c>
      <c r="U43" s="10" t="str">
        <f ca="1">IFERROR(IF(OR(15&gt;=$B$1,Suppliers!A41="",NOT(ISNUMBER(Suppliers!D41)),Suppliers!L41="Expired",Suppliers!L41="Terminate"),"",Suppliers!D41*-1*IF(Suppliers!E41="Monthly",IF(AND(ISNUMBER(Suppliers!G41),(YEAR(EDATE(DATE(YEAR(TODAY()),MONTH(TODAY()),1),15))*12+MONTH(EDATE(DATE(YEAR(TODAY()),MONTH(TODAY()),1),15)))&gt;(YEAR(Suppliers!G41)*12+MONTH(Suppliers!G41))),"",1),IF(Suppliers!E41="Quarterly",IF(MOD((YEAR(EDATE(DATE(YEAR(TODAY()),MONTH(TODAY()),1),15))-YEAR(IF(ISNUMBER(Suppliers!F41),Suppliers!F41,DATE(YEAR(TODAY()),MONTH(TODAY()),1))))*12+MONTH(EDATE(DATE(YEAR(TODAY()),MONTH(TODAY()),1),15))-MONTH(IF(ISNUMBER(Suppliers!F41),Suppliers!F41,DATE(YEAR(TODAY()),MONTH(TODAY()),1))),3)=0,1,0),IF(Suppliers!E41="Semi-annual",IF(MOD((YEAR(EDATE(DATE(YEAR(TODAY()),MONTH(TODAY()),1),15))-YEAR(IF(ISNUMBER(Suppliers!F41),Suppliers!F41,DATE(YEAR(TODAY()),MONTH(TODAY()),1))))*12+MONTH(EDATE(DATE(YEAR(TODAY()),MONTH(TODAY()),1),15))-MONTH(IF(ISNUMBER(Suppliers!F41),Suppliers!F41,DATE(YEAR(TODAY()),MONTH(TODAY()),1))),6)=0,1,0),IF(Suppliers!E41="Annual",IF(MOD((YEAR(EDATE(DATE(YEAR(TODAY()),MONTH(TODAY()),1),15))-YEAR(IF(ISNUMBER(Suppliers!F41),Suppliers!F41,DATE(YEAR(TODAY()),MONTH(TODAY()),1))))*12+MONTH(EDATE(DATE(YEAR(TODAY()),MONTH(TODAY()),1),15))-MONTH(IF(ISNUMBER(Suppliers!F41),Suppliers!F41,DATE(YEAR(TODAY()),MONTH(TODAY()),1))),12)=0,1,0),IF(Suppliers!E41="One-time",IF(15=0,1,0),1)))))),"")</f>
        <v/>
      </c>
      <c r="V43" s="10" t="str">
        <f ca="1">IFERROR(IF(OR(16&gt;=$B$1,Suppliers!A41="",NOT(ISNUMBER(Suppliers!D41)),Suppliers!L41="Expired",Suppliers!L41="Terminate"),"",Suppliers!D41*-1*IF(Suppliers!E41="Monthly",IF(AND(ISNUMBER(Suppliers!G41),(YEAR(EDATE(DATE(YEAR(TODAY()),MONTH(TODAY()),1),16))*12+MONTH(EDATE(DATE(YEAR(TODAY()),MONTH(TODAY()),1),16)))&gt;(YEAR(Suppliers!G41)*12+MONTH(Suppliers!G41))),"",1),IF(Suppliers!E41="Quarterly",IF(MOD((YEAR(EDATE(DATE(YEAR(TODAY()),MONTH(TODAY()),1),16))-YEAR(IF(ISNUMBER(Suppliers!F41),Suppliers!F41,DATE(YEAR(TODAY()),MONTH(TODAY()),1))))*12+MONTH(EDATE(DATE(YEAR(TODAY()),MONTH(TODAY()),1),16))-MONTH(IF(ISNUMBER(Suppliers!F41),Suppliers!F41,DATE(YEAR(TODAY()),MONTH(TODAY()),1))),3)=0,1,0),IF(Suppliers!E41="Semi-annual",IF(MOD((YEAR(EDATE(DATE(YEAR(TODAY()),MONTH(TODAY()),1),16))-YEAR(IF(ISNUMBER(Suppliers!F41),Suppliers!F41,DATE(YEAR(TODAY()),MONTH(TODAY()),1))))*12+MONTH(EDATE(DATE(YEAR(TODAY()),MONTH(TODAY()),1),16))-MONTH(IF(ISNUMBER(Suppliers!F41),Suppliers!F41,DATE(YEAR(TODAY()),MONTH(TODAY()),1))),6)=0,1,0),IF(Suppliers!E41="Annual",IF(MOD((YEAR(EDATE(DATE(YEAR(TODAY()),MONTH(TODAY()),1),16))-YEAR(IF(ISNUMBER(Suppliers!F41),Suppliers!F41,DATE(YEAR(TODAY()),MONTH(TODAY()),1))))*12+MONTH(EDATE(DATE(YEAR(TODAY()),MONTH(TODAY()),1),16))-MONTH(IF(ISNUMBER(Suppliers!F41),Suppliers!F41,DATE(YEAR(TODAY()),MONTH(TODAY()),1))),12)=0,1,0),IF(Suppliers!E41="One-time",IF(16=0,1,0),1)))))),"")</f>
        <v/>
      </c>
      <c r="W43" s="10" t="str">
        <f ca="1">IFERROR(IF(OR(17&gt;=$B$1,Suppliers!A41="",NOT(ISNUMBER(Suppliers!D41)),Suppliers!L41="Expired",Suppliers!L41="Terminate"),"",Suppliers!D41*-1*IF(Suppliers!E41="Monthly",IF(AND(ISNUMBER(Suppliers!G41),(YEAR(EDATE(DATE(YEAR(TODAY()),MONTH(TODAY()),1),17))*12+MONTH(EDATE(DATE(YEAR(TODAY()),MONTH(TODAY()),1),17)))&gt;(YEAR(Suppliers!G41)*12+MONTH(Suppliers!G41))),"",1),IF(Suppliers!E41="Quarterly",IF(MOD((YEAR(EDATE(DATE(YEAR(TODAY()),MONTH(TODAY()),1),17))-YEAR(IF(ISNUMBER(Suppliers!F41),Suppliers!F41,DATE(YEAR(TODAY()),MONTH(TODAY()),1))))*12+MONTH(EDATE(DATE(YEAR(TODAY()),MONTH(TODAY()),1),17))-MONTH(IF(ISNUMBER(Suppliers!F41),Suppliers!F41,DATE(YEAR(TODAY()),MONTH(TODAY()),1))),3)=0,1,0),IF(Suppliers!E41="Semi-annual",IF(MOD((YEAR(EDATE(DATE(YEAR(TODAY()),MONTH(TODAY()),1),17))-YEAR(IF(ISNUMBER(Suppliers!F41),Suppliers!F41,DATE(YEAR(TODAY()),MONTH(TODAY()),1))))*12+MONTH(EDATE(DATE(YEAR(TODAY()),MONTH(TODAY()),1),17))-MONTH(IF(ISNUMBER(Suppliers!F41),Suppliers!F41,DATE(YEAR(TODAY()),MONTH(TODAY()),1))),6)=0,1,0),IF(Suppliers!E41="Annual",IF(MOD((YEAR(EDATE(DATE(YEAR(TODAY()),MONTH(TODAY()),1),17))-YEAR(IF(ISNUMBER(Suppliers!F41),Suppliers!F41,DATE(YEAR(TODAY()),MONTH(TODAY()),1))))*12+MONTH(EDATE(DATE(YEAR(TODAY()),MONTH(TODAY()),1),17))-MONTH(IF(ISNUMBER(Suppliers!F41),Suppliers!F41,DATE(YEAR(TODAY()),MONTH(TODAY()),1))),12)=0,1,0),IF(Suppliers!E41="One-time",IF(17=0,1,0),1)))))),"")</f>
        <v/>
      </c>
      <c r="X43" s="10" t="str">
        <f ca="1">IFERROR(IF(OR(18&gt;=$B$1,Suppliers!A41="",NOT(ISNUMBER(Suppliers!D41)),Suppliers!L41="Expired",Suppliers!L41="Terminate"),"",Suppliers!D41*-1*IF(Suppliers!E41="Monthly",IF(AND(ISNUMBER(Suppliers!G41),(YEAR(EDATE(DATE(YEAR(TODAY()),MONTH(TODAY()),1),18))*12+MONTH(EDATE(DATE(YEAR(TODAY()),MONTH(TODAY()),1),18)))&gt;(YEAR(Suppliers!G41)*12+MONTH(Suppliers!G41))),"",1),IF(Suppliers!E41="Quarterly",IF(MOD((YEAR(EDATE(DATE(YEAR(TODAY()),MONTH(TODAY()),1),18))-YEAR(IF(ISNUMBER(Suppliers!F41),Suppliers!F41,DATE(YEAR(TODAY()),MONTH(TODAY()),1))))*12+MONTH(EDATE(DATE(YEAR(TODAY()),MONTH(TODAY()),1),18))-MONTH(IF(ISNUMBER(Suppliers!F41),Suppliers!F41,DATE(YEAR(TODAY()),MONTH(TODAY()),1))),3)=0,1,0),IF(Suppliers!E41="Semi-annual",IF(MOD((YEAR(EDATE(DATE(YEAR(TODAY()),MONTH(TODAY()),1),18))-YEAR(IF(ISNUMBER(Suppliers!F41),Suppliers!F41,DATE(YEAR(TODAY()),MONTH(TODAY()),1))))*12+MONTH(EDATE(DATE(YEAR(TODAY()),MONTH(TODAY()),1),18))-MONTH(IF(ISNUMBER(Suppliers!F41),Suppliers!F41,DATE(YEAR(TODAY()),MONTH(TODAY()),1))),6)=0,1,0),IF(Suppliers!E41="Annual",IF(MOD((YEAR(EDATE(DATE(YEAR(TODAY()),MONTH(TODAY()),1),18))-YEAR(IF(ISNUMBER(Suppliers!F41),Suppliers!F41,DATE(YEAR(TODAY()),MONTH(TODAY()),1))))*12+MONTH(EDATE(DATE(YEAR(TODAY()),MONTH(TODAY()),1),18))-MONTH(IF(ISNUMBER(Suppliers!F41),Suppliers!F41,DATE(YEAR(TODAY()),MONTH(TODAY()),1))),12)=0,1,0),IF(Suppliers!E41="One-time",IF(18=0,1,0),1)))))),"")</f>
        <v/>
      </c>
      <c r="Y43" s="10" t="str">
        <f ca="1">IFERROR(IF(OR(19&gt;=$B$1,Suppliers!A41="",NOT(ISNUMBER(Suppliers!D41)),Suppliers!L41="Expired",Suppliers!L41="Terminate"),"",Suppliers!D41*-1*IF(Suppliers!E41="Monthly",IF(AND(ISNUMBER(Suppliers!G41),(YEAR(EDATE(DATE(YEAR(TODAY()),MONTH(TODAY()),1),19))*12+MONTH(EDATE(DATE(YEAR(TODAY()),MONTH(TODAY()),1),19)))&gt;(YEAR(Suppliers!G41)*12+MONTH(Suppliers!G41))),"",1),IF(Suppliers!E41="Quarterly",IF(MOD((YEAR(EDATE(DATE(YEAR(TODAY()),MONTH(TODAY()),1),19))-YEAR(IF(ISNUMBER(Suppliers!F41),Suppliers!F41,DATE(YEAR(TODAY()),MONTH(TODAY()),1))))*12+MONTH(EDATE(DATE(YEAR(TODAY()),MONTH(TODAY()),1),19))-MONTH(IF(ISNUMBER(Suppliers!F41),Suppliers!F41,DATE(YEAR(TODAY()),MONTH(TODAY()),1))),3)=0,1,0),IF(Suppliers!E41="Semi-annual",IF(MOD((YEAR(EDATE(DATE(YEAR(TODAY()),MONTH(TODAY()),1),19))-YEAR(IF(ISNUMBER(Suppliers!F41),Suppliers!F41,DATE(YEAR(TODAY()),MONTH(TODAY()),1))))*12+MONTH(EDATE(DATE(YEAR(TODAY()),MONTH(TODAY()),1),19))-MONTH(IF(ISNUMBER(Suppliers!F41),Suppliers!F41,DATE(YEAR(TODAY()),MONTH(TODAY()),1))),6)=0,1,0),IF(Suppliers!E41="Annual",IF(MOD((YEAR(EDATE(DATE(YEAR(TODAY()),MONTH(TODAY()),1),19))-YEAR(IF(ISNUMBER(Suppliers!F41),Suppliers!F41,DATE(YEAR(TODAY()),MONTH(TODAY()),1))))*12+MONTH(EDATE(DATE(YEAR(TODAY()),MONTH(TODAY()),1),19))-MONTH(IF(ISNUMBER(Suppliers!F41),Suppliers!F41,DATE(YEAR(TODAY()),MONTH(TODAY()),1))),12)=0,1,0),IF(Suppliers!E41="One-time",IF(19=0,1,0),1)))))),"")</f>
        <v/>
      </c>
      <c r="Z43" s="10" t="str">
        <f ca="1">IFERROR(IF(OR(20&gt;=$B$1,Suppliers!A41="",NOT(ISNUMBER(Suppliers!D41)),Suppliers!L41="Expired",Suppliers!L41="Terminate"),"",Suppliers!D41*-1*IF(Suppliers!E41="Monthly",IF(AND(ISNUMBER(Suppliers!G41),(YEAR(EDATE(DATE(YEAR(TODAY()),MONTH(TODAY()),1),20))*12+MONTH(EDATE(DATE(YEAR(TODAY()),MONTH(TODAY()),1),20)))&gt;(YEAR(Suppliers!G41)*12+MONTH(Suppliers!G41))),"",1),IF(Suppliers!E41="Quarterly",IF(MOD((YEAR(EDATE(DATE(YEAR(TODAY()),MONTH(TODAY()),1),20))-YEAR(IF(ISNUMBER(Suppliers!F41),Suppliers!F41,DATE(YEAR(TODAY()),MONTH(TODAY()),1))))*12+MONTH(EDATE(DATE(YEAR(TODAY()),MONTH(TODAY()),1),20))-MONTH(IF(ISNUMBER(Suppliers!F41),Suppliers!F41,DATE(YEAR(TODAY()),MONTH(TODAY()),1))),3)=0,1,0),IF(Suppliers!E41="Semi-annual",IF(MOD((YEAR(EDATE(DATE(YEAR(TODAY()),MONTH(TODAY()),1),20))-YEAR(IF(ISNUMBER(Suppliers!F41),Suppliers!F41,DATE(YEAR(TODAY()),MONTH(TODAY()),1))))*12+MONTH(EDATE(DATE(YEAR(TODAY()),MONTH(TODAY()),1),20))-MONTH(IF(ISNUMBER(Suppliers!F41),Suppliers!F41,DATE(YEAR(TODAY()),MONTH(TODAY()),1))),6)=0,1,0),IF(Suppliers!E41="Annual",IF(MOD((YEAR(EDATE(DATE(YEAR(TODAY()),MONTH(TODAY()),1),20))-YEAR(IF(ISNUMBER(Suppliers!F41),Suppliers!F41,DATE(YEAR(TODAY()),MONTH(TODAY()),1))))*12+MONTH(EDATE(DATE(YEAR(TODAY()),MONTH(TODAY()),1),20))-MONTH(IF(ISNUMBER(Suppliers!F41),Suppliers!F41,DATE(YEAR(TODAY()),MONTH(TODAY()),1))),12)=0,1,0),IF(Suppliers!E41="One-time",IF(20=0,1,0),1)))))),"")</f>
        <v/>
      </c>
      <c r="AA43" s="10" t="str">
        <f ca="1">IFERROR(IF(OR(21&gt;=$B$1,Suppliers!A41="",NOT(ISNUMBER(Suppliers!D41)),Suppliers!L41="Expired",Suppliers!L41="Terminate"),"",Suppliers!D41*-1*IF(Suppliers!E41="Monthly",IF(AND(ISNUMBER(Suppliers!G41),(YEAR(EDATE(DATE(YEAR(TODAY()),MONTH(TODAY()),1),21))*12+MONTH(EDATE(DATE(YEAR(TODAY()),MONTH(TODAY()),1),21)))&gt;(YEAR(Suppliers!G41)*12+MONTH(Suppliers!G41))),"",1),IF(Suppliers!E41="Quarterly",IF(MOD((YEAR(EDATE(DATE(YEAR(TODAY()),MONTH(TODAY()),1),21))-YEAR(IF(ISNUMBER(Suppliers!F41),Suppliers!F41,DATE(YEAR(TODAY()),MONTH(TODAY()),1))))*12+MONTH(EDATE(DATE(YEAR(TODAY()),MONTH(TODAY()),1),21))-MONTH(IF(ISNUMBER(Suppliers!F41),Suppliers!F41,DATE(YEAR(TODAY()),MONTH(TODAY()),1))),3)=0,1,0),IF(Suppliers!E41="Semi-annual",IF(MOD((YEAR(EDATE(DATE(YEAR(TODAY()),MONTH(TODAY()),1),21))-YEAR(IF(ISNUMBER(Suppliers!F41),Suppliers!F41,DATE(YEAR(TODAY()),MONTH(TODAY()),1))))*12+MONTH(EDATE(DATE(YEAR(TODAY()),MONTH(TODAY()),1),21))-MONTH(IF(ISNUMBER(Suppliers!F41),Suppliers!F41,DATE(YEAR(TODAY()),MONTH(TODAY()),1))),6)=0,1,0),IF(Suppliers!E41="Annual",IF(MOD((YEAR(EDATE(DATE(YEAR(TODAY()),MONTH(TODAY()),1),21))-YEAR(IF(ISNUMBER(Suppliers!F41),Suppliers!F41,DATE(YEAR(TODAY()),MONTH(TODAY()),1))))*12+MONTH(EDATE(DATE(YEAR(TODAY()),MONTH(TODAY()),1),21))-MONTH(IF(ISNUMBER(Suppliers!F41),Suppliers!F41,DATE(YEAR(TODAY()),MONTH(TODAY()),1))),12)=0,1,0),IF(Suppliers!E41="One-time",IF(21=0,1,0),1)))))),"")</f>
        <v/>
      </c>
      <c r="AB43" s="10" t="str">
        <f ca="1">IFERROR(IF(OR(22&gt;=$B$1,Suppliers!A41="",NOT(ISNUMBER(Suppliers!D41)),Suppliers!L41="Expired",Suppliers!L41="Terminate"),"",Suppliers!D41*-1*IF(Suppliers!E41="Monthly",IF(AND(ISNUMBER(Suppliers!G41),(YEAR(EDATE(DATE(YEAR(TODAY()),MONTH(TODAY()),1),22))*12+MONTH(EDATE(DATE(YEAR(TODAY()),MONTH(TODAY()),1),22)))&gt;(YEAR(Suppliers!G41)*12+MONTH(Suppliers!G41))),"",1),IF(Suppliers!E41="Quarterly",IF(MOD((YEAR(EDATE(DATE(YEAR(TODAY()),MONTH(TODAY()),1),22))-YEAR(IF(ISNUMBER(Suppliers!F41),Suppliers!F41,DATE(YEAR(TODAY()),MONTH(TODAY()),1))))*12+MONTH(EDATE(DATE(YEAR(TODAY()),MONTH(TODAY()),1),22))-MONTH(IF(ISNUMBER(Suppliers!F41),Suppliers!F41,DATE(YEAR(TODAY()),MONTH(TODAY()),1))),3)=0,1,0),IF(Suppliers!E41="Semi-annual",IF(MOD((YEAR(EDATE(DATE(YEAR(TODAY()),MONTH(TODAY()),1),22))-YEAR(IF(ISNUMBER(Suppliers!F41),Suppliers!F41,DATE(YEAR(TODAY()),MONTH(TODAY()),1))))*12+MONTH(EDATE(DATE(YEAR(TODAY()),MONTH(TODAY()),1),22))-MONTH(IF(ISNUMBER(Suppliers!F41),Suppliers!F41,DATE(YEAR(TODAY()),MONTH(TODAY()),1))),6)=0,1,0),IF(Suppliers!E41="Annual",IF(MOD((YEAR(EDATE(DATE(YEAR(TODAY()),MONTH(TODAY()),1),22))-YEAR(IF(ISNUMBER(Suppliers!F41),Suppliers!F41,DATE(YEAR(TODAY()),MONTH(TODAY()),1))))*12+MONTH(EDATE(DATE(YEAR(TODAY()),MONTH(TODAY()),1),22))-MONTH(IF(ISNUMBER(Suppliers!F41),Suppliers!F41,DATE(YEAR(TODAY()),MONTH(TODAY()),1))),12)=0,1,0),IF(Suppliers!E41="One-time",IF(22=0,1,0),1)))))),"")</f>
        <v/>
      </c>
      <c r="AC43" s="10" t="str">
        <f ca="1">IFERROR(IF(OR(23&gt;=$B$1,Suppliers!A41="",NOT(ISNUMBER(Suppliers!D41)),Suppliers!L41="Expired",Suppliers!L41="Terminate"),"",Suppliers!D41*-1*IF(Suppliers!E41="Monthly",IF(AND(ISNUMBER(Suppliers!G41),(YEAR(EDATE(DATE(YEAR(TODAY()),MONTH(TODAY()),1),23))*12+MONTH(EDATE(DATE(YEAR(TODAY()),MONTH(TODAY()),1),23)))&gt;(YEAR(Suppliers!G41)*12+MONTH(Suppliers!G41))),"",1),IF(Suppliers!E41="Quarterly",IF(MOD((YEAR(EDATE(DATE(YEAR(TODAY()),MONTH(TODAY()),1),23))-YEAR(IF(ISNUMBER(Suppliers!F41),Suppliers!F41,DATE(YEAR(TODAY()),MONTH(TODAY()),1))))*12+MONTH(EDATE(DATE(YEAR(TODAY()),MONTH(TODAY()),1),23))-MONTH(IF(ISNUMBER(Suppliers!F41),Suppliers!F41,DATE(YEAR(TODAY()),MONTH(TODAY()),1))),3)=0,1,0),IF(Suppliers!E41="Semi-annual",IF(MOD((YEAR(EDATE(DATE(YEAR(TODAY()),MONTH(TODAY()),1),23))-YEAR(IF(ISNUMBER(Suppliers!F41),Suppliers!F41,DATE(YEAR(TODAY()),MONTH(TODAY()),1))))*12+MONTH(EDATE(DATE(YEAR(TODAY()),MONTH(TODAY()),1),23))-MONTH(IF(ISNUMBER(Suppliers!F41),Suppliers!F41,DATE(YEAR(TODAY()),MONTH(TODAY()),1))),6)=0,1,0),IF(Suppliers!E41="Annual",IF(MOD((YEAR(EDATE(DATE(YEAR(TODAY()),MONTH(TODAY()),1),23))-YEAR(IF(ISNUMBER(Suppliers!F41),Suppliers!F41,DATE(YEAR(TODAY()),MONTH(TODAY()),1))))*12+MONTH(EDATE(DATE(YEAR(TODAY()),MONTH(TODAY()),1),23))-MONTH(IF(ISNUMBER(Suppliers!F41),Suppliers!F41,DATE(YEAR(TODAY()),MONTH(TODAY()),1))),12)=0,1,0),IF(Suppliers!E41="One-time",IF(23=0,1,0),1)))))),"")</f>
        <v/>
      </c>
    </row>
    <row r="44" spans="1:29" ht="15" customHeight="1" x14ac:dyDescent="0.35">
      <c r="A44" s="4" t="s">
        <v>80</v>
      </c>
      <c r="B44" s="4" t="str">
        <f>IF(Suppliers!A42="","",Suppliers!A42)</f>
        <v/>
      </c>
      <c r="C44" s="10" t="str">
        <f>IF(Suppliers!C42="","",Suppliers!C42)</f>
        <v/>
      </c>
      <c r="D44" s="10" t="str">
        <f>IF(Suppliers!D42="","",Suppliers!D42)</f>
        <v/>
      </c>
      <c r="E44" s="4" t="str">
        <f>IF(Suppliers!E42="","",Suppliers!E42)</f>
        <v/>
      </c>
      <c r="F44" s="10" t="str">
        <f ca="1">IFERROR(IF(OR(0&gt;=$B$1,Suppliers!A42="",NOT(ISNUMBER(Suppliers!D42)),Suppliers!L42="Expired",Suppliers!L42="Terminate"),"",Suppliers!D42*-1*IF(Suppliers!E42="Monthly",IF(AND(ISNUMBER(Suppliers!G42),(YEAR(EDATE(DATE(YEAR(TODAY()),MONTH(TODAY()),1),0))*12+MONTH(EDATE(DATE(YEAR(TODAY()),MONTH(TODAY()),1),0)))&gt;(YEAR(Suppliers!G42)*12+MONTH(Suppliers!G42))),"",1),IF(Suppliers!E42="Quarterly",IF(MOD((YEAR(EDATE(DATE(YEAR(TODAY()),MONTH(TODAY()),1),0))-YEAR(IF(ISNUMBER(Suppliers!F42),Suppliers!F42,DATE(YEAR(TODAY()),MONTH(TODAY()),1))))*12+MONTH(EDATE(DATE(YEAR(TODAY()),MONTH(TODAY()),1),0))-MONTH(IF(ISNUMBER(Suppliers!F42),Suppliers!F42,DATE(YEAR(TODAY()),MONTH(TODAY()),1))),3)=0,1,0),IF(Suppliers!E42="Semi-annual",IF(MOD((YEAR(EDATE(DATE(YEAR(TODAY()),MONTH(TODAY()),1),0))-YEAR(IF(ISNUMBER(Suppliers!F42),Suppliers!F42,DATE(YEAR(TODAY()),MONTH(TODAY()),1))))*12+MONTH(EDATE(DATE(YEAR(TODAY()),MONTH(TODAY()),1),0))-MONTH(IF(ISNUMBER(Suppliers!F42),Suppliers!F42,DATE(YEAR(TODAY()),MONTH(TODAY()),1))),6)=0,1,0),IF(Suppliers!E42="Annual",IF(MOD((YEAR(EDATE(DATE(YEAR(TODAY()),MONTH(TODAY()),1),0))-YEAR(IF(ISNUMBER(Suppliers!F42),Suppliers!F42,DATE(YEAR(TODAY()),MONTH(TODAY()),1))))*12+MONTH(EDATE(DATE(YEAR(TODAY()),MONTH(TODAY()),1),0))-MONTH(IF(ISNUMBER(Suppliers!F42),Suppliers!F42,DATE(YEAR(TODAY()),MONTH(TODAY()),1))),12)=0,1,0),IF(Suppliers!E42="One-time",IF(0=0,1,0),1)))))),"")</f>
        <v/>
      </c>
      <c r="G44" s="10" t="str">
        <f ca="1">IFERROR(IF(OR(1&gt;=$B$1,Suppliers!A42="",NOT(ISNUMBER(Suppliers!D42)),Suppliers!L42="Expired",Suppliers!L42="Terminate"),"",Suppliers!D42*-1*IF(Suppliers!E42="Monthly",IF(AND(ISNUMBER(Suppliers!G42),(YEAR(EDATE(DATE(YEAR(TODAY()),MONTH(TODAY()),1),1))*12+MONTH(EDATE(DATE(YEAR(TODAY()),MONTH(TODAY()),1),1)))&gt;(YEAR(Suppliers!G42)*12+MONTH(Suppliers!G42))),"",1),IF(Suppliers!E42="Quarterly",IF(MOD((YEAR(EDATE(DATE(YEAR(TODAY()),MONTH(TODAY()),1),1))-YEAR(IF(ISNUMBER(Suppliers!F42),Suppliers!F42,DATE(YEAR(TODAY()),MONTH(TODAY()),1))))*12+MONTH(EDATE(DATE(YEAR(TODAY()),MONTH(TODAY()),1),1))-MONTH(IF(ISNUMBER(Suppliers!F42),Suppliers!F42,DATE(YEAR(TODAY()),MONTH(TODAY()),1))),3)=0,1,0),IF(Suppliers!E42="Semi-annual",IF(MOD((YEAR(EDATE(DATE(YEAR(TODAY()),MONTH(TODAY()),1),1))-YEAR(IF(ISNUMBER(Suppliers!F42),Suppliers!F42,DATE(YEAR(TODAY()),MONTH(TODAY()),1))))*12+MONTH(EDATE(DATE(YEAR(TODAY()),MONTH(TODAY()),1),1))-MONTH(IF(ISNUMBER(Suppliers!F42),Suppliers!F42,DATE(YEAR(TODAY()),MONTH(TODAY()),1))),6)=0,1,0),IF(Suppliers!E42="Annual",IF(MOD((YEAR(EDATE(DATE(YEAR(TODAY()),MONTH(TODAY()),1),1))-YEAR(IF(ISNUMBER(Suppliers!F42),Suppliers!F42,DATE(YEAR(TODAY()),MONTH(TODAY()),1))))*12+MONTH(EDATE(DATE(YEAR(TODAY()),MONTH(TODAY()),1),1))-MONTH(IF(ISNUMBER(Suppliers!F42),Suppliers!F42,DATE(YEAR(TODAY()),MONTH(TODAY()),1))),12)=0,1,0),IF(Suppliers!E42="One-time",IF(1=0,1,0),1)))))),"")</f>
        <v/>
      </c>
      <c r="H44" s="10" t="str">
        <f ca="1">IFERROR(IF(OR(2&gt;=$B$1,Suppliers!A42="",NOT(ISNUMBER(Suppliers!D42)),Suppliers!L42="Expired",Suppliers!L42="Terminate"),"",Suppliers!D42*-1*IF(Suppliers!E42="Monthly",IF(AND(ISNUMBER(Suppliers!G42),(YEAR(EDATE(DATE(YEAR(TODAY()),MONTH(TODAY()),1),2))*12+MONTH(EDATE(DATE(YEAR(TODAY()),MONTH(TODAY()),1),2)))&gt;(YEAR(Suppliers!G42)*12+MONTH(Suppliers!G42))),"",1),IF(Suppliers!E42="Quarterly",IF(MOD((YEAR(EDATE(DATE(YEAR(TODAY()),MONTH(TODAY()),1),2))-YEAR(IF(ISNUMBER(Suppliers!F42),Suppliers!F42,DATE(YEAR(TODAY()),MONTH(TODAY()),1))))*12+MONTH(EDATE(DATE(YEAR(TODAY()),MONTH(TODAY()),1),2))-MONTH(IF(ISNUMBER(Suppliers!F42),Suppliers!F42,DATE(YEAR(TODAY()),MONTH(TODAY()),1))),3)=0,1,0),IF(Suppliers!E42="Semi-annual",IF(MOD((YEAR(EDATE(DATE(YEAR(TODAY()),MONTH(TODAY()),1),2))-YEAR(IF(ISNUMBER(Suppliers!F42),Suppliers!F42,DATE(YEAR(TODAY()),MONTH(TODAY()),1))))*12+MONTH(EDATE(DATE(YEAR(TODAY()),MONTH(TODAY()),1),2))-MONTH(IF(ISNUMBER(Suppliers!F42),Suppliers!F42,DATE(YEAR(TODAY()),MONTH(TODAY()),1))),6)=0,1,0),IF(Suppliers!E42="Annual",IF(MOD((YEAR(EDATE(DATE(YEAR(TODAY()),MONTH(TODAY()),1),2))-YEAR(IF(ISNUMBER(Suppliers!F42),Suppliers!F42,DATE(YEAR(TODAY()),MONTH(TODAY()),1))))*12+MONTH(EDATE(DATE(YEAR(TODAY()),MONTH(TODAY()),1),2))-MONTH(IF(ISNUMBER(Suppliers!F42),Suppliers!F42,DATE(YEAR(TODAY()),MONTH(TODAY()),1))),12)=0,1,0),IF(Suppliers!E42="One-time",IF(2=0,1,0),1)))))),"")</f>
        <v/>
      </c>
      <c r="I44" s="10" t="str">
        <f ca="1">IFERROR(IF(OR(3&gt;=$B$1,Suppliers!A42="",NOT(ISNUMBER(Suppliers!D42)),Suppliers!L42="Expired",Suppliers!L42="Terminate"),"",Suppliers!D42*-1*IF(Suppliers!E42="Monthly",IF(AND(ISNUMBER(Suppliers!G42),(YEAR(EDATE(DATE(YEAR(TODAY()),MONTH(TODAY()),1),3))*12+MONTH(EDATE(DATE(YEAR(TODAY()),MONTH(TODAY()),1),3)))&gt;(YEAR(Suppliers!G42)*12+MONTH(Suppliers!G42))),"",1),IF(Suppliers!E42="Quarterly",IF(MOD((YEAR(EDATE(DATE(YEAR(TODAY()),MONTH(TODAY()),1),3))-YEAR(IF(ISNUMBER(Suppliers!F42),Suppliers!F42,DATE(YEAR(TODAY()),MONTH(TODAY()),1))))*12+MONTH(EDATE(DATE(YEAR(TODAY()),MONTH(TODAY()),1),3))-MONTH(IF(ISNUMBER(Suppliers!F42),Suppliers!F42,DATE(YEAR(TODAY()),MONTH(TODAY()),1))),3)=0,1,0),IF(Suppliers!E42="Semi-annual",IF(MOD((YEAR(EDATE(DATE(YEAR(TODAY()),MONTH(TODAY()),1),3))-YEAR(IF(ISNUMBER(Suppliers!F42),Suppliers!F42,DATE(YEAR(TODAY()),MONTH(TODAY()),1))))*12+MONTH(EDATE(DATE(YEAR(TODAY()),MONTH(TODAY()),1),3))-MONTH(IF(ISNUMBER(Suppliers!F42),Suppliers!F42,DATE(YEAR(TODAY()),MONTH(TODAY()),1))),6)=0,1,0),IF(Suppliers!E42="Annual",IF(MOD((YEAR(EDATE(DATE(YEAR(TODAY()),MONTH(TODAY()),1),3))-YEAR(IF(ISNUMBER(Suppliers!F42),Suppliers!F42,DATE(YEAR(TODAY()),MONTH(TODAY()),1))))*12+MONTH(EDATE(DATE(YEAR(TODAY()),MONTH(TODAY()),1),3))-MONTH(IF(ISNUMBER(Suppliers!F42),Suppliers!F42,DATE(YEAR(TODAY()),MONTH(TODAY()),1))),12)=0,1,0),IF(Suppliers!E42="One-time",IF(3=0,1,0),1)))))),"")</f>
        <v/>
      </c>
      <c r="J44" s="10" t="str">
        <f ca="1">IFERROR(IF(OR(4&gt;=$B$1,Suppliers!A42="",NOT(ISNUMBER(Suppliers!D42)),Suppliers!L42="Expired",Suppliers!L42="Terminate"),"",Suppliers!D42*-1*IF(Suppliers!E42="Monthly",IF(AND(ISNUMBER(Suppliers!G42),(YEAR(EDATE(DATE(YEAR(TODAY()),MONTH(TODAY()),1),4))*12+MONTH(EDATE(DATE(YEAR(TODAY()),MONTH(TODAY()),1),4)))&gt;(YEAR(Suppliers!G42)*12+MONTH(Suppliers!G42))),"",1),IF(Suppliers!E42="Quarterly",IF(MOD((YEAR(EDATE(DATE(YEAR(TODAY()),MONTH(TODAY()),1),4))-YEAR(IF(ISNUMBER(Suppliers!F42),Suppliers!F42,DATE(YEAR(TODAY()),MONTH(TODAY()),1))))*12+MONTH(EDATE(DATE(YEAR(TODAY()),MONTH(TODAY()),1),4))-MONTH(IF(ISNUMBER(Suppliers!F42),Suppliers!F42,DATE(YEAR(TODAY()),MONTH(TODAY()),1))),3)=0,1,0),IF(Suppliers!E42="Semi-annual",IF(MOD((YEAR(EDATE(DATE(YEAR(TODAY()),MONTH(TODAY()),1),4))-YEAR(IF(ISNUMBER(Suppliers!F42),Suppliers!F42,DATE(YEAR(TODAY()),MONTH(TODAY()),1))))*12+MONTH(EDATE(DATE(YEAR(TODAY()),MONTH(TODAY()),1),4))-MONTH(IF(ISNUMBER(Suppliers!F42),Suppliers!F42,DATE(YEAR(TODAY()),MONTH(TODAY()),1))),6)=0,1,0),IF(Suppliers!E42="Annual",IF(MOD((YEAR(EDATE(DATE(YEAR(TODAY()),MONTH(TODAY()),1),4))-YEAR(IF(ISNUMBER(Suppliers!F42),Suppliers!F42,DATE(YEAR(TODAY()),MONTH(TODAY()),1))))*12+MONTH(EDATE(DATE(YEAR(TODAY()),MONTH(TODAY()),1),4))-MONTH(IF(ISNUMBER(Suppliers!F42),Suppliers!F42,DATE(YEAR(TODAY()),MONTH(TODAY()),1))),12)=0,1,0),IF(Suppliers!E42="One-time",IF(4=0,1,0),1)))))),"")</f>
        <v/>
      </c>
      <c r="K44" s="10" t="str">
        <f ca="1">IFERROR(IF(OR(5&gt;=$B$1,Suppliers!A42="",NOT(ISNUMBER(Suppliers!D42)),Suppliers!L42="Expired",Suppliers!L42="Terminate"),"",Suppliers!D42*-1*IF(Suppliers!E42="Monthly",IF(AND(ISNUMBER(Suppliers!G42),(YEAR(EDATE(DATE(YEAR(TODAY()),MONTH(TODAY()),1),5))*12+MONTH(EDATE(DATE(YEAR(TODAY()),MONTH(TODAY()),1),5)))&gt;(YEAR(Suppliers!G42)*12+MONTH(Suppliers!G42))),"",1),IF(Suppliers!E42="Quarterly",IF(MOD((YEAR(EDATE(DATE(YEAR(TODAY()),MONTH(TODAY()),1),5))-YEAR(IF(ISNUMBER(Suppliers!F42),Suppliers!F42,DATE(YEAR(TODAY()),MONTH(TODAY()),1))))*12+MONTH(EDATE(DATE(YEAR(TODAY()),MONTH(TODAY()),1),5))-MONTH(IF(ISNUMBER(Suppliers!F42),Suppliers!F42,DATE(YEAR(TODAY()),MONTH(TODAY()),1))),3)=0,1,0),IF(Suppliers!E42="Semi-annual",IF(MOD((YEAR(EDATE(DATE(YEAR(TODAY()),MONTH(TODAY()),1),5))-YEAR(IF(ISNUMBER(Suppliers!F42),Suppliers!F42,DATE(YEAR(TODAY()),MONTH(TODAY()),1))))*12+MONTH(EDATE(DATE(YEAR(TODAY()),MONTH(TODAY()),1),5))-MONTH(IF(ISNUMBER(Suppliers!F42),Suppliers!F42,DATE(YEAR(TODAY()),MONTH(TODAY()),1))),6)=0,1,0),IF(Suppliers!E42="Annual",IF(MOD((YEAR(EDATE(DATE(YEAR(TODAY()),MONTH(TODAY()),1),5))-YEAR(IF(ISNUMBER(Suppliers!F42),Suppliers!F42,DATE(YEAR(TODAY()),MONTH(TODAY()),1))))*12+MONTH(EDATE(DATE(YEAR(TODAY()),MONTH(TODAY()),1),5))-MONTH(IF(ISNUMBER(Suppliers!F42),Suppliers!F42,DATE(YEAR(TODAY()),MONTH(TODAY()),1))),12)=0,1,0),IF(Suppliers!E42="One-time",IF(5=0,1,0),1)))))),"")</f>
        <v/>
      </c>
      <c r="L44" s="10" t="str">
        <f ca="1">IFERROR(IF(OR(6&gt;=$B$1,Suppliers!A42="",NOT(ISNUMBER(Suppliers!D42)),Suppliers!L42="Expired",Suppliers!L42="Terminate"),"",Suppliers!D42*-1*IF(Suppliers!E42="Monthly",IF(AND(ISNUMBER(Suppliers!G42),(YEAR(EDATE(DATE(YEAR(TODAY()),MONTH(TODAY()),1),6))*12+MONTH(EDATE(DATE(YEAR(TODAY()),MONTH(TODAY()),1),6)))&gt;(YEAR(Suppliers!G42)*12+MONTH(Suppliers!G42))),"",1),IF(Suppliers!E42="Quarterly",IF(MOD((YEAR(EDATE(DATE(YEAR(TODAY()),MONTH(TODAY()),1),6))-YEAR(IF(ISNUMBER(Suppliers!F42),Suppliers!F42,DATE(YEAR(TODAY()),MONTH(TODAY()),1))))*12+MONTH(EDATE(DATE(YEAR(TODAY()),MONTH(TODAY()),1),6))-MONTH(IF(ISNUMBER(Suppliers!F42),Suppliers!F42,DATE(YEAR(TODAY()),MONTH(TODAY()),1))),3)=0,1,0),IF(Suppliers!E42="Semi-annual",IF(MOD((YEAR(EDATE(DATE(YEAR(TODAY()),MONTH(TODAY()),1),6))-YEAR(IF(ISNUMBER(Suppliers!F42),Suppliers!F42,DATE(YEAR(TODAY()),MONTH(TODAY()),1))))*12+MONTH(EDATE(DATE(YEAR(TODAY()),MONTH(TODAY()),1),6))-MONTH(IF(ISNUMBER(Suppliers!F42),Suppliers!F42,DATE(YEAR(TODAY()),MONTH(TODAY()),1))),6)=0,1,0),IF(Suppliers!E42="Annual",IF(MOD((YEAR(EDATE(DATE(YEAR(TODAY()),MONTH(TODAY()),1),6))-YEAR(IF(ISNUMBER(Suppliers!F42),Suppliers!F42,DATE(YEAR(TODAY()),MONTH(TODAY()),1))))*12+MONTH(EDATE(DATE(YEAR(TODAY()),MONTH(TODAY()),1),6))-MONTH(IF(ISNUMBER(Suppliers!F42),Suppliers!F42,DATE(YEAR(TODAY()),MONTH(TODAY()),1))),12)=0,1,0),IF(Suppliers!E42="One-time",IF(6=0,1,0),1)))))),"")</f>
        <v/>
      </c>
      <c r="M44" s="10" t="str">
        <f ca="1">IFERROR(IF(OR(7&gt;=$B$1,Suppliers!A42="",NOT(ISNUMBER(Suppliers!D42)),Suppliers!L42="Expired",Suppliers!L42="Terminate"),"",Suppliers!D42*-1*IF(Suppliers!E42="Monthly",IF(AND(ISNUMBER(Suppliers!G42),(YEAR(EDATE(DATE(YEAR(TODAY()),MONTH(TODAY()),1),7))*12+MONTH(EDATE(DATE(YEAR(TODAY()),MONTH(TODAY()),1),7)))&gt;(YEAR(Suppliers!G42)*12+MONTH(Suppliers!G42))),"",1),IF(Suppliers!E42="Quarterly",IF(MOD((YEAR(EDATE(DATE(YEAR(TODAY()),MONTH(TODAY()),1),7))-YEAR(IF(ISNUMBER(Suppliers!F42),Suppliers!F42,DATE(YEAR(TODAY()),MONTH(TODAY()),1))))*12+MONTH(EDATE(DATE(YEAR(TODAY()),MONTH(TODAY()),1),7))-MONTH(IF(ISNUMBER(Suppliers!F42),Suppliers!F42,DATE(YEAR(TODAY()),MONTH(TODAY()),1))),3)=0,1,0),IF(Suppliers!E42="Semi-annual",IF(MOD((YEAR(EDATE(DATE(YEAR(TODAY()),MONTH(TODAY()),1),7))-YEAR(IF(ISNUMBER(Suppliers!F42),Suppliers!F42,DATE(YEAR(TODAY()),MONTH(TODAY()),1))))*12+MONTH(EDATE(DATE(YEAR(TODAY()),MONTH(TODAY()),1),7))-MONTH(IF(ISNUMBER(Suppliers!F42),Suppliers!F42,DATE(YEAR(TODAY()),MONTH(TODAY()),1))),6)=0,1,0),IF(Suppliers!E42="Annual",IF(MOD((YEAR(EDATE(DATE(YEAR(TODAY()),MONTH(TODAY()),1),7))-YEAR(IF(ISNUMBER(Suppliers!F42),Suppliers!F42,DATE(YEAR(TODAY()),MONTH(TODAY()),1))))*12+MONTH(EDATE(DATE(YEAR(TODAY()),MONTH(TODAY()),1),7))-MONTH(IF(ISNUMBER(Suppliers!F42),Suppliers!F42,DATE(YEAR(TODAY()),MONTH(TODAY()),1))),12)=0,1,0),IF(Suppliers!E42="One-time",IF(7=0,1,0),1)))))),"")</f>
        <v/>
      </c>
      <c r="N44" s="10" t="str">
        <f ca="1">IFERROR(IF(OR(8&gt;=$B$1,Suppliers!A42="",NOT(ISNUMBER(Suppliers!D42)),Suppliers!L42="Expired",Suppliers!L42="Terminate"),"",Suppliers!D42*-1*IF(Suppliers!E42="Monthly",IF(AND(ISNUMBER(Suppliers!G42),(YEAR(EDATE(DATE(YEAR(TODAY()),MONTH(TODAY()),1),8))*12+MONTH(EDATE(DATE(YEAR(TODAY()),MONTH(TODAY()),1),8)))&gt;(YEAR(Suppliers!G42)*12+MONTH(Suppliers!G42))),"",1),IF(Suppliers!E42="Quarterly",IF(MOD((YEAR(EDATE(DATE(YEAR(TODAY()),MONTH(TODAY()),1),8))-YEAR(IF(ISNUMBER(Suppliers!F42),Suppliers!F42,DATE(YEAR(TODAY()),MONTH(TODAY()),1))))*12+MONTH(EDATE(DATE(YEAR(TODAY()),MONTH(TODAY()),1),8))-MONTH(IF(ISNUMBER(Suppliers!F42),Suppliers!F42,DATE(YEAR(TODAY()),MONTH(TODAY()),1))),3)=0,1,0),IF(Suppliers!E42="Semi-annual",IF(MOD((YEAR(EDATE(DATE(YEAR(TODAY()),MONTH(TODAY()),1),8))-YEAR(IF(ISNUMBER(Suppliers!F42),Suppliers!F42,DATE(YEAR(TODAY()),MONTH(TODAY()),1))))*12+MONTH(EDATE(DATE(YEAR(TODAY()),MONTH(TODAY()),1),8))-MONTH(IF(ISNUMBER(Suppliers!F42),Suppliers!F42,DATE(YEAR(TODAY()),MONTH(TODAY()),1))),6)=0,1,0),IF(Suppliers!E42="Annual",IF(MOD((YEAR(EDATE(DATE(YEAR(TODAY()),MONTH(TODAY()),1),8))-YEAR(IF(ISNUMBER(Suppliers!F42),Suppliers!F42,DATE(YEAR(TODAY()),MONTH(TODAY()),1))))*12+MONTH(EDATE(DATE(YEAR(TODAY()),MONTH(TODAY()),1),8))-MONTH(IF(ISNUMBER(Suppliers!F42),Suppliers!F42,DATE(YEAR(TODAY()),MONTH(TODAY()),1))),12)=0,1,0),IF(Suppliers!E42="One-time",IF(8=0,1,0),1)))))),"")</f>
        <v/>
      </c>
      <c r="O44" s="10" t="str">
        <f ca="1">IFERROR(IF(OR(9&gt;=$B$1,Suppliers!A42="",NOT(ISNUMBER(Suppliers!D42)),Suppliers!L42="Expired",Suppliers!L42="Terminate"),"",Suppliers!D42*-1*IF(Suppliers!E42="Monthly",IF(AND(ISNUMBER(Suppliers!G42),(YEAR(EDATE(DATE(YEAR(TODAY()),MONTH(TODAY()),1),9))*12+MONTH(EDATE(DATE(YEAR(TODAY()),MONTH(TODAY()),1),9)))&gt;(YEAR(Suppliers!G42)*12+MONTH(Suppliers!G42))),"",1),IF(Suppliers!E42="Quarterly",IF(MOD((YEAR(EDATE(DATE(YEAR(TODAY()),MONTH(TODAY()),1),9))-YEAR(IF(ISNUMBER(Suppliers!F42),Suppliers!F42,DATE(YEAR(TODAY()),MONTH(TODAY()),1))))*12+MONTH(EDATE(DATE(YEAR(TODAY()),MONTH(TODAY()),1),9))-MONTH(IF(ISNUMBER(Suppliers!F42),Suppliers!F42,DATE(YEAR(TODAY()),MONTH(TODAY()),1))),3)=0,1,0),IF(Suppliers!E42="Semi-annual",IF(MOD((YEAR(EDATE(DATE(YEAR(TODAY()),MONTH(TODAY()),1),9))-YEAR(IF(ISNUMBER(Suppliers!F42),Suppliers!F42,DATE(YEAR(TODAY()),MONTH(TODAY()),1))))*12+MONTH(EDATE(DATE(YEAR(TODAY()),MONTH(TODAY()),1),9))-MONTH(IF(ISNUMBER(Suppliers!F42),Suppliers!F42,DATE(YEAR(TODAY()),MONTH(TODAY()),1))),6)=0,1,0),IF(Suppliers!E42="Annual",IF(MOD((YEAR(EDATE(DATE(YEAR(TODAY()),MONTH(TODAY()),1),9))-YEAR(IF(ISNUMBER(Suppliers!F42),Suppliers!F42,DATE(YEAR(TODAY()),MONTH(TODAY()),1))))*12+MONTH(EDATE(DATE(YEAR(TODAY()),MONTH(TODAY()),1),9))-MONTH(IF(ISNUMBER(Suppliers!F42),Suppliers!F42,DATE(YEAR(TODAY()),MONTH(TODAY()),1))),12)=0,1,0),IF(Suppliers!E42="One-time",IF(9=0,1,0),1)))))),"")</f>
        <v/>
      </c>
      <c r="P44" s="10" t="str">
        <f ca="1">IFERROR(IF(OR(10&gt;=$B$1,Suppliers!A42="",NOT(ISNUMBER(Suppliers!D42)),Suppliers!L42="Expired",Suppliers!L42="Terminate"),"",Suppliers!D42*-1*IF(Suppliers!E42="Monthly",IF(AND(ISNUMBER(Suppliers!G42),(YEAR(EDATE(DATE(YEAR(TODAY()),MONTH(TODAY()),1),10))*12+MONTH(EDATE(DATE(YEAR(TODAY()),MONTH(TODAY()),1),10)))&gt;(YEAR(Suppliers!G42)*12+MONTH(Suppliers!G42))),"",1),IF(Suppliers!E42="Quarterly",IF(MOD((YEAR(EDATE(DATE(YEAR(TODAY()),MONTH(TODAY()),1),10))-YEAR(IF(ISNUMBER(Suppliers!F42),Suppliers!F42,DATE(YEAR(TODAY()),MONTH(TODAY()),1))))*12+MONTH(EDATE(DATE(YEAR(TODAY()),MONTH(TODAY()),1),10))-MONTH(IF(ISNUMBER(Suppliers!F42),Suppliers!F42,DATE(YEAR(TODAY()),MONTH(TODAY()),1))),3)=0,1,0),IF(Suppliers!E42="Semi-annual",IF(MOD((YEAR(EDATE(DATE(YEAR(TODAY()),MONTH(TODAY()),1),10))-YEAR(IF(ISNUMBER(Suppliers!F42),Suppliers!F42,DATE(YEAR(TODAY()),MONTH(TODAY()),1))))*12+MONTH(EDATE(DATE(YEAR(TODAY()),MONTH(TODAY()),1),10))-MONTH(IF(ISNUMBER(Suppliers!F42),Suppliers!F42,DATE(YEAR(TODAY()),MONTH(TODAY()),1))),6)=0,1,0),IF(Suppliers!E42="Annual",IF(MOD((YEAR(EDATE(DATE(YEAR(TODAY()),MONTH(TODAY()),1),10))-YEAR(IF(ISNUMBER(Suppliers!F42),Suppliers!F42,DATE(YEAR(TODAY()),MONTH(TODAY()),1))))*12+MONTH(EDATE(DATE(YEAR(TODAY()),MONTH(TODAY()),1),10))-MONTH(IF(ISNUMBER(Suppliers!F42),Suppliers!F42,DATE(YEAR(TODAY()),MONTH(TODAY()),1))),12)=0,1,0),IF(Suppliers!E42="One-time",IF(10=0,1,0),1)))))),"")</f>
        <v/>
      </c>
      <c r="Q44" s="10" t="str">
        <f ca="1">IFERROR(IF(OR(11&gt;=$B$1,Suppliers!A42="",NOT(ISNUMBER(Suppliers!D42)),Suppliers!L42="Expired",Suppliers!L42="Terminate"),"",Suppliers!D42*-1*IF(Suppliers!E42="Monthly",IF(AND(ISNUMBER(Suppliers!G42),(YEAR(EDATE(DATE(YEAR(TODAY()),MONTH(TODAY()),1),11))*12+MONTH(EDATE(DATE(YEAR(TODAY()),MONTH(TODAY()),1),11)))&gt;(YEAR(Suppliers!G42)*12+MONTH(Suppliers!G42))),"",1),IF(Suppliers!E42="Quarterly",IF(MOD((YEAR(EDATE(DATE(YEAR(TODAY()),MONTH(TODAY()),1),11))-YEAR(IF(ISNUMBER(Suppliers!F42),Suppliers!F42,DATE(YEAR(TODAY()),MONTH(TODAY()),1))))*12+MONTH(EDATE(DATE(YEAR(TODAY()),MONTH(TODAY()),1),11))-MONTH(IF(ISNUMBER(Suppliers!F42),Suppliers!F42,DATE(YEAR(TODAY()),MONTH(TODAY()),1))),3)=0,1,0),IF(Suppliers!E42="Semi-annual",IF(MOD((YEAR(EDATE(DATE(YEAR(TODAY()),MONTH(TODAY()),1),11))-YEAR(IF(ISNUMBER(Suppliers!F42),Suppliers!F42,DATE(YEAR(TODAY()),MONTH(TODAY()),1))))*12+MONTH(EDATE(DATE(YEAR(TODAY()),MONTH(TODAY()),1),11))-MONTH(IF(ISNUMBER(Suppliers!F42),Suppliers!F42,DATE(YEAR(TODAY()),MONTH(TODAY()),1))),6)=0,1,0),IF(Suppliers!E42="Annual",IF(MOD((YEAR(EDATE(DATE(YEAR(TODAY()),MONTH(TODAY()),1),11))-YEAR(IF(ISNUMBER(Suppliers!F42),Suppliers!F42,DATE(YEAR(TODAY()),MONTH(TODAY()),1))))*12+MONTH(EDATE(DATE(YEAR(TODAY()),MONTH(TODAY()),1),11))-MONTH(IF(ISNUMBER(Suppliers!F42),Suppliers!F42,DATE(YEAR(TODAY()),MONTH(TODAY()),1))),12)=0,1,0),IF(Suppliers!E42="One-time",IF(11=0,1,0),1)))))),"")</f>
        <v/>
      </c>
      <c r="R44" s="10" t="str">
        <f ca="1">IFERROR(IF(OR(12&gt;=$B$1,Suppliers!A42="",NOT(ISNUMBER(Suppliers!D42)),Suppliers!L42="Expired",Suppliers!L42="Terminate"),"",Suppliers!D42*-1*IF(Suppliers!E42="Monthly",IF(AND(ISNUMBER(Suppliers!G42),(YEAR(EDATE(DATE(YEAR(TODAY()),MONTH(TODAY()),1),12))*12+MONTH(EDATE(DATE(YEAR(TODAY()),MONTH(TODAY()),1),12)))&gt;(YEAR(Suppliers!G42)*12+MONTH(Suppliers!G42))),"",1),IF(Suppliers!E42="Quarterly",IF(MOD((YEAR(EDATE(DATE(YEAR(TODAY()),MONTH(TODAY()),1),12))-YEAR(IF(ISNUMBER(Suppliers!F42),Suppliers!F42,DATE(YEAR(TODAY()),MONTH(TODAY()),1))))*12+MONTH(EDATE(DATE(YEAR(TODAY()),MONTH(TODAY()),1),12))-MONTH(IF(ISNUMBER(Suppliers!F42),Suppliers!F42,DATE(YEAR(TODAY()),MONTH(TODAY()),1))),3)=0,1,0),IF(Suppliers!E42="Semi-annual",IF(MOD((YEAR(EDATE(DATE(YEAR(TODAY()),MONTH(TODAY()),1),12))-YEAR(IF(ISNUMBER(Suppliers!F42),Suppliers!F42,DATE(YEAR(TODAY()),MONTH(TODAY()),1))))*12+MONTH(EDATE(DATE(YEAR(TODAY()),MONTH(TODAY()),1),12))-MONTH(IF(ISNUMBER(Suppliers!F42),Suppliers!F42,DATE(YEAR(TODAY()),MONTH(TODAY()),1))),6)=0,1,0),IF(Suppliers!E42="Annual",IF(MOD((YEAR(EDATE(DATE(YEAR(TODAY()),MONTH(TODAY()),1),12))-YEAR(IF(ISNUMBER(Suppliers!F42),Suppliers!F42,DATE(YEAR(TODAY()),MONTH(TODAY()),1))))*12+MONTH(EDATE(DATE(YEAR(TODAY()),MONTH(TODAY()),1),12))-MONTH(IF(ISNUMBER(Suppliers!F42),Suppliers!F42,DATE(YEAR(TODAY()),MONTH(TODAY()),1))),12)=0,1,0),IF(Suppliers!E42="One-time",IF(12=0,1,0),1)))))),"")</f>
        <v/>
      </c>
      <c r="S44" s="10" t="str">
        <f ca="1">IFERROR(IF(OR(13&gt;=$B$1,Suppliers!A42="",NOT(ISNUMBER(Suppliers!D42)),Suppliers!L42="Expired",Suppliers!L42="Terminate"),"",Suppliers!D42*-1*IF(Suppliers!E42="Monthly",IF(AND(ISNUMBER(Suppliers!G42),(YEAR(EDATE(DATE(YEAR(TODAY()),MONTH(TODAY()),1),13))*12+MONTH(EDATE(DATE(YEAR(TODAY()),MONTH(TODAY()),1),13)))&gt;(YEAR(Suppliers!G42)*12+MONTH(Suppliers!G42))),"",1),IF(Suppliers!E42="Quarterly",IF(MOD((YEAR(EDATE(DATE(YEAR(TODAY()),MONTH(TODAY()),1),13))-YEAR(IF(ISNUMBER(Suppliers!F42),Suppliers!F42,DATE(YEAR(TODAY()),MONTH(TODAY()),1))))*12+MONTH(EDATE(DATE(YEAR(TODAY()),MONTH(TODAY()),1),13))-MONTH(IF(ISNUMBER(Suppliers!F42),Suppliers!F42,DATE(YEAR(TODAY()),MONTH(TODAY()),1))),3)=0,1,0),IF(Suppliers!E42="Semi-annual",IF(MOD((YEAR(EDATE(DATE(YEAR(TODAY()),MONTH(TODAY()),1),13))-YEAR(IF(ISNUMBER(Suppliers!F42),Suppliers!F42,DATE(YEAR(TODAY()),MONTH(TODAY()),1))))*12+MONTH(EDATE(DATE(YEAR(TODAY()),MONTH(TODAY()),1),13))-MONTH(IF(ISNUMBER(Suppliers!F42),Suppliers!F42,DATE(YEAR(TODAY()),MONTH(TODAY()),1))),6)=0,1,0),IF(Suppliers!E42="Annual",IF(MOD((YEAR(EDATE(DATE(YEAR(TODAY()),MONTH(TODAY()),1),13))-YEAR(IF(ISNUMBER(Suppliers!F42),Suppliers!F42,DATE(YEAR(TODAY()),MONTH(TODAY()),1))))*12+MONTH(EDATE(DATE(YEAR(TODAY()),MONTH(TODAY()),1),13))-MONTH(IF(ISNUMBER(Suppliers!F42),Suppliers!F42,DATE(YEAR(TODAY()),MONTH(TODAY()),1))),12)=0,1,0),IF(Suppliers!E42="One-time",IF(13=0,1,0),1)))))),"")</f>
        <v/>
      </c>
      <c r="T44" s="10" t="str">
        <f ca="1">IFERROR(IF(OR(14&gt;=$B$1,Suppliers!A42="",NOT(ISNUMBER(Suppliers!D42)),Suppliers!L42="Expired",Suppliers!L42="Terminate"),"",Suppliers!D42*-1*IF(Suppliers!E42="Monthly",IF(AND(ISNUMBER(Suppliers!G42),(YEAR(EDATE(DATE(YEAR(TODAY()),MONTH(TODAY()),1),14))*12+MONTH(EDATE(DATE(YEAR(TODAY()),MONTH(TODAY()),1),14)))&gt;(YEAR(Suppliers!G42)*12+MONTH(Suppliers!G42))),"",1),IF(Suppliers!E42="Quarterly",IF(MOD((YEAR(EDATE(DATE(YEAR(TODAY()),MONTH(TODAY()),1),14))-YEAR(IF(ISNUMBER(Suppliers!F42),Suppliers!F42,DATE(YEAR(TODAY()),MONTH(TODAY()),1))))*12+MONTH(EDATE(DATE(YEAR(TODAY()),MONTH(TODAY()),1),14))-MONTH(IF(ISNUMBER(Suppliers!F42),Suppliers!F42,DATE(YEAR(TODAY()),MONTH(TODAY()),1))),3)=0,1,0),IF(Suppliers!E42="Semi-annual",IF(MOD((YEAR(EDATE(DATE(YEAR(TODAY()),MONTH(TODAY()),1),14))-YEAR(IF(ISNUMBER(Suppliers!F42),Suppliers!F42,DATE(YEAR(TODAY()),MONTH(TODAY()),1))))*12+MONTH(EDATE(DATE(YEAR(TODAY()),MONTH(TODAY()),1),14))-MONTH(IF(ISNUMBER(Suppliers!F42),Suppliers!F42,DATE(YEAR(TODAY()),MONTH(TODAY()),1))),6)=0,1,0),IF(Suppliers!E42="Annual",IF(MOD((YEAR(EDATE(DATE(YEAR(TODAY()),MONTH(TODAY()),1),14))-YEAR(IF(ISNUMBER(Suppliers!F42),Suppliers!F42,DATE(YEAR(TODAY()),MONTH(TODAY()),1))))*12+MONTH(EDATE(DATE(YEAR(TODAY()),MONTH(TODAY()),1),14))-MONTH(IF(ISNUMBER(Suppliers!F42),Suppliers!F42,DATE(YEAR(TODAY()),MONTH(TODAY()),1))),12)=0,1,0),IF(Suppliers!E42="One-time",IF(14=0,1,0),1)))))),"")</f>
        <v/>
      </c>
      <c r="U44" s="10" t="str">
        <f ca="1">IFERROR(IF(OR(15&gt;=$B$1,Suppliers!A42="",NOT(ISNUMBER(Suppliers!D42)),Suppliers!L42="Expired",Suppliers!L42="Terminate"),"",Suppliers!D42*-1*IF(Suppliers!E42="Monthly",IF(AND(ISNUMBER(Suppliers!G42),(YEAR(EDATE(DATE(YEAR(TODAY()),MONTH(TODAY()),1),15))*12+MONTH(EDATE(DATE(YEAR(TODAY()),MONTH(TODAY()),1),15)))&gt;(YEAR(Suppliers!G42)*12+MONTH(Suppliers!G42))),"",1),IF(Suppliers!E42="Quarterly",IF(MOD((YEAR(EDATE(DATE(YEAR(TODAY()),MONTH(TODAY()),1),15))-YEAR(IF(ISNUMBER(Suppliers!F42),Suppliers!F42,DATE(YEAR(TODAY()),MONTH(TODAY()),1))))*12+MONTH(EDATE(DATE(YEAR(TODAY()),MONTH(TODAY()),1),15))-MONTH(IF(ISNUMBER(Suppliers!F42),Suppliers!F42,DATE(YEAR(TODAY()),MONTH(TODAY()),1))),3)=0,1,0),IF(Suppliers!E42="Semi-annual",IF(MOD((YEAR(EDATE(DATE(YEAR(TODAY()),MONTH(TODAY()),1),15))-YEAR(IF(ISNUMBER(Suppliers!F42),Suppliers!F42,DATE(YEAR(TODAY()),MONTH(TODAY()),1))))*12+MONTH(EDATE(DATE(YEAR(TODAY()),MONTH(TODAY()),1),15))-MONTH(IF(ISNUMBER(Suppliers!F42),Suppliers!F42,DATE(YEAR(TODAY()),MONTH(TODAY()),1))),6)=0,1,0),IF(Suppliers!E42="Annual",IF(MOD((YEAR(EDATE(DATE(YEAR(TODAY()),MONTH(TODAY()),1),15))-YEAR(IF(ISNUMBER(Suppliers!F42),Suppliers!F42,DATE(YEAR(TODAY()),MONTH(TODAY()),1))))*12+MONTH(EDATE(DATE(YEAR(TODAY()),MONTH(TODAY()),1),15))-MONTH(IF(ISNUMBER(Suppliers!F42),Suppliers!F42,DATE(YEAR(TODAY()),MONTH(TODAY()),1))),12)=0,1,0),IF(Suppliers!E42="One-time",IF(15=0,1,0),1)))))),"")</f>
        <v/>
      </c>
      <c r="V44" s="10" t="str">
        <f ca="1">IFERROR(IF(OR(16&gt;=$B$1,Suppliers!A42="",NOT(ISNUMBER(Suppliers!D42)),Suppliers!L42="Expired",Suppliers!L42="Terminate"),"",Suppliers!D42*-1*IF(Suppliers!E42="Monthly",IF(AND(ISNUMBER(Suppliers!G42),(YEAR(EDATE(DATE(YEAR(TODAY()),MONTH(TODAY()),1),16))*12+MONTH(EDATE(DATE(YEAR(TODAY()),MONTH(TODAY()),1),16)))&gt;(YEAR(Suppliers!G42)*12+MONTH(Suppliers!G42))),"",1),IF(Suppliers!E42="Quarterly",IF(MOD((YEAR(EDATE(DATE(YEAR(TODAY()),MONTH(TODAY()),1),16))-YEAR(IF(ISNUMBER(Suppliers!F42),Suppliers!F42,DATE(YEAR(TODAY()),MONTH(TODAY()),1))))*12+MONTH(EDATE(DATE(YEAR(TODAY()),MONTH(TODAY()),1),16))-MONTH(IF(ISNUMBER(Suppliers!F42),Suppliers!F42,DATE(YEAR(TODAY()),MONTH(TODAY()),1))),3)=0,1,0),IF(Suppliers!E42="Semi-annual",IF(MOD((YEAR(EDATE(DATE(YEAR(TODAY()),MONTH(TODAY()),1),16))-YEAR(IF(ISNUMBER(Suppliers!F42),Suppliers!F42,DATE(YEAR(TODAY()),MONTH(TODAY()),1))))*12+MONTH(EDATE(DATE(YEAR(TODAY()),MONTH(TODAY()),1),16))-MONTH(IF(ISNUMBER(Suppliers!F42),Suppliers!F42,DATE(YEAR(TODAY()),MONTH(TODAY()),1))),6)=0,1,0),IF(Suppliers!E42="Annual",IF(MOD((YEAR(EDATE(DATE(YEAR(TODAY()),MONTH(TODAY()),1),16))-YEAR(IF(ISNUMBER(Suppliers!F42),Suppliers!F42,DATE(YEAR(TODAY()),MONTH(TODAY()),1))))*12+MONTH(EDATE(DATE(YEAR(TODAY()),MONTH(TODAY()),1),16))-MONTH(IF(ISNUMBER(Suppliers!F42),Suppliers!F42,DATE(YEAR(TODAY()),MONTH(TODAY()),1))),12)=0,1,0),IF(Suppliers!E42="One-time",IF(16=0,1,0),1)))))),"")</f>
        <v/>
      </c>
      <c r="W44" s="10" t="str">
        <f ca="1">IFERROR(IF(OR(17&gt;=$B$1,Suppliers!A42="",NOT(ISNUMBER(Suppliers!D42)),Suppliers!L42="Expired",Suppliers!L42="Terminate"),"",Suppliers!D42*-1*IF(Suppliers!E42="Monthly",IF(AND(ISNUMBER(Suppliers!G42),(YEAR(EDATE(DATE(YEAR(TODAY()),MONTH(TODAY()),1),17))*12+MONTH(EDATE(DATE(YEAR(TODAY()),MONTH(TODAY()),1),17)))&gt;(YEAR(Suppliers!G42)*12+MONTH(Suppliers!G42))),"",1),IF(Suppliers!E42="Quarterly",IF(MOD((YEAR(EDATE(DATE(YEAR(TODAY()),MONTH(TODAY()),1),17))-YEAR(IF(ISNUMBER(Suppliers!F42),Suppliers!F42,DATE(YEAR(TODAY()),MONTH(TODAY()),1))))*12+MONTH(EDATE(DATE(YEAR(TODAY()),MONTH(TODAY()),1),17))-MONTH(IF(ISNUMBER(Suppliers!F42),Suppliers!F42,DATE(YEAR(TODAY()),MONTH(TODAY()),1))),3)=0,1,0),IF(Suppliers!E42="Semi-annual",IF(MOD((YEAR(EDATE(DATE(YEAR(TODAY()),MONTH(TODAY()),1),17))-YEAR(IF(ISNUMBER(Suppliers!F42),Suppliers!F42,DATE(YEAR(TODAY()),MONTH(TODAY()),1))))*12+MONTH(EDATE(DATE(YEAR(TODAY()),MONTH(TODAY()),1),17))-MONTH(IF(ISNUMBER(Suppliers!F42),Suppliers!F42,DATE(YEAR(TODAY()),MONTH(TODAY()),1))),6)=0,1,0),IF(Suppliers!E42="Annual",IF(MOD((YEAR(EDATE(DATE(YEAR(TODAY()),MONTH(TODAY()),1),17))-YEAR(IF(ISNUMBER(Suppliers!F42),Suppliers!F42,DATE(YEAR(TODAY()),MONTH(TODAY()),1))))*12+MONTH(EDATE(DATE(YEAR(TODAY()),MONTH(TODAY()),1),17))-MONTH(IF(ISNUMBER(Suppliers!F42),Suppliers!F42,DATE(YEAR(TODAY()),MONTH(TODAY()),1))),12)=0,1,0),IF(Suppliers!E42="One-time",IF(17=0,1,0),1)))))),"")</f>
        <v/>
      </c>
      <c r="X44" s="10" t="str">
        <f ca="1">IFERROR(IF(OR(18&gt;=$B$1,Suppliers!A42="",NOT(ISNUMBER(Suppliers!D42)),Suppliers!L42="Expired",Suppliers!L42="Terminate"),"",Suppliers!D42*-1*IF(Suppliers!E42="Monthly",IF(AND(ISNUMBER(Suppliers!G42),(YEAR(EDATE(DATE(YEAR(TODAY()),MONTH(TODAY()),1),18))*12+MONTH(EDATE(DATE(YEAR(TODAY()),MONTH(TODAY()),1),18)))&gt;(YEAR(Suppliers!G42)*12+MONTH(Suppliers!G42))),"",1),IF(Suppliers!E42="Quarterly",IF(MOD((YEAR(EDATE(DATE(YEAR(TODAY()),MONTH(TODAY()),1),18))-YEAR(IF(ISNUMBER(Suppliers!F42),Suppliers!F42,DATE(YEAR(TODAY()),MONTH(TODAY()),1))))*12+MONTH(EDATE(DATE(YEAR(TODAY()),MONTH(TODAY()),1),18))-MONTH(IF(ISNUMBER(Suppliers!F42),Suppliers!F42,DATE(YEAR(TODAY()),MONTH(TODAY()),1))),3)=0,1,0),IF(Suppliers!E42="Semi-annual",IF(MOD((YEAR(EDATE(DATE(YEAR(TODAY()),MONTH(TODAY()),1),18))-YEAR(IF(ISNUMBER(Suppliers!F42),Suppliers!F42,DATE(YEAR(TODAY()),MONTH(TODAY()),1))))*12+MONTH(EDATE(DATE(YEAR(TODAY()),MONTH(TODAY()),1),18))-MONTH(IF(ISNUMBER(Suppliers!F42),Suppliers!F42,DATE(YEAR(TODAY()),MONTH(TODAY()),1))),6)=0,1,0),IF(Suppliers!E42="Annual",IF(MOD((YEAR(EDATE(DATE(YEAR(TODAY()),MONTH(TODAY()),1),18))-YEAR(IF(ISNUMBER(Suppliers!F42),Suppliers!F42,DATE(YEAR(TODAY()),MONTH(TODAY()),1))))*12+MONTH(EDATE(DATE(YEAR(TODAY()),MONTH(TODAY()),1),18))-MONTH(IF(ISNUMBER(Suppliers!F42),Suppliers!F42,DATE(YEAR(TODAY()),MONTH(TODAY()),1))),12)=0,1,0),IF(Suppliers!E42="One-time",IF(18=0,1,0),1)))))),"")</f>
        <v/>
      </c>
      <c r="Y44" s="10" t="str">
        <f ca="1">IFERROR(IF(OR(19&gt;=$B$1,Suppliers!A42="",NOT(ISNUMBER(Suppliers!D42)),Suppliers!L42="Expired",Suppliers!L42="Terminate"),"",Suppliers!D42*-1*IF(Suppliers!E42="Monthly",IF(AND(ISNUMBER(Suppliers!G42),(YEAR(EDATE(DATE(YEAR(TODAY()),MONTH(TODAY()),1),19))*12+MONTH(EDATE(DATE(YEAR(TODAY()),MONTH(TODAY()),1),19)))&gt;(YEAR(Suppliers!G42)*12+MONTH(Suppliers!G42))),"",1),IF(Suppliers!E42="Quarterly",IF(MOD((YEAR(EDATE(DATE(YEAR(TODAY()),MONTH(TODAY()),1),19))-YEAR(IF(ISNUMBER(Suppliers!F42),Suppliers!F42,DATE(YEAR(TODAY()),MONTH(TODAY()),1))))*12+MONTH(EDATE(DATE(YEAR(TODAY()),MONTH(TODAY()),1),19))-MONTH(IF(ISNUMBER(Suppliers!F42),Suppliers!F42,DATE(YEAR(TODAY()),MONTH(TODAY()),1))),3)=0,1,0),IF(Suppliers!E42="Semi-annual",IF(MOD((YEAR(EDATE(DATE(YEAR(TODAY()),MONTH(TODAY()),1),19))-YEAR(IF(ISNUMBER(Suppliers!F42),Suppliers!F42,DATE(YEAR(TODAY()),MONTH(TODAY()),1))))*12+MONTH(EDATE(DATE(YEAR(TODAY()),MONTH(TODAY()),1),19))-MONTH(IF(ISNUMBER(Suppliers!F42),Suppliers!F42,DATE(YEAR(TODAY()),MONTH(TODAY()),1))),6)=0,1,0),IF(Suppliers!E42="Annual",IF(MOD((YEAR(EDATE(DATE(YEAR(TODAY()),MONTH(TODAY()),1),19))-YEAR(IF(ISNUMBER(Suppliers!F42),Suppliers!F42,DATE(YEAR(TODAY()),MONTH(TODAY()),1))))*12+MONTH(EDATE(DATE(YEAR(TODAY()),MONTH(TODAY()),1),19))-MONTH(IF(ISNUMBER(Suppliers!F42),Suppliers!F42,DATE(YEAR(TODAY()),MONTH(TODAY()),1))),12)=0,1,0),IF(Suppliers!E42="One-time",IF(19=0,1,0),1)))))),"")</f>
        <v/>
      </c>
      <c r="Z44" s="10" t="str">
        <f ca="1">IFERROR(IF(OR(20&gt;=$B$1,Suppliers!A42="",NOT(ISNUMBER(Suppliers!D42)),Suppliers!L42="Expired",Suppliers!L42="Terminate"),"",Suppliers!D42*-1*IF(Suppliers!E42="Monthly",IF(AND(ISNUMBER(Suppliers!G42),(YEAR(EDATE(DATE(YEAR(TODAY()),MONTH(TODAY()),1),20))*12+MONTH(EDATE(DATE(YEAR(TODAY()),MONTH(TODAY()),1),20)))&gt;(YEAR(Suppliers!G42)*12+MONTH(Suppliers!G42))),"",1),IF(Suppliers!E42="Quarterly",IF(MOD((YEAR(EDATE(DATE(YEAR(TODAY()),MONTH(TODAY()),1),20))-YEAR(IF(ISNUMBER(Suppliers!F42),Suppliers!F42,DATE(YEAR(TODAY()),MONTH(TODAY()),1))))*12+MONTH(EDATE(DATE(YEAR(TODAY()),MONTH(TODAY()),1),20))-MONTH(IF(ISNUMBER(Suppliers!F42),Suppliers!F42,DATE(YEAR(TODAY()),MONTH(TODAY()),1))),3)=0,1,0),IF(Suppliers!E42="Semi-annual",IF(MOD((YEAR(EDATE(DATE(YEAR(TODAY()),MONTH(TODAY()),1),20))-YEAR(IF(ISNUMBER(Suppliers!F42),Suppliers!F42,DATE(YEAR(TODAY()),MONTH(TODAY()),1))))*12+MONTH(EDATE(DATE(YEAR(TODAY()),MONTH(TODAY()),1),20))-MONTH(IF(ISNUMBER(Suppliers!F42),Suppliers!F42,DATE(YEAR(TODAY()),MONTH(TODAY()),1))),6)=0,1,0),IF(Suppliers!E42="Annual",IF(MOD((YEAR(EDATE(DATE(YEAR(TODAY()),MONTH(TODAY()),1),20))-YEAR(IF(ISNUMBER(Suppliers!F42),Suppliers!F42,DATE(YEAR(TODAY()),MONTH(TODAY()),1))))*12+MONTH(EDATE(DATE(YEAR(TODAY()),MONTH(TODAY()),1),20))-MONTH(IF(ISNUMBER(Suppliers!F42),Suppliers!F42,DATE(YEAR(TODAY()),MONTH(TODAY()),1))),12)=0,1,0),IF(Suppliers!E42="One-time",IF(20=0,1,0),1)))))),"")</f>
        <v/>
      </c>
      <c r="AA44" s="10" t="str">
        <f ca="1">IFERROR(IF(OR(21&gt;=$B$1,Suppliers!A42="",NOT(ISNUMBER(Suppliers!D42)),Suppliers!L42="Expired",Suppliers!L42="Terminate"),"",Suppliers!D42*-1*IF(Suppliers!E42="Monthly",IF(AND(ISNUMBER(Suppliers!G42),(YEAR(EDATE(DATE(YEAR(TODAY()),MONTH(TODAY()),1),21))*12+MONTH(EDATE(DATE(YEAR(TODAY()),MONTH(TODAY()),1),21)))&gt;(YEAR(Suppliers!G42)*12+MONTH(Suppliers!G42))),"",1),IF(Suppliers!E42="Quarterly",IF(MOD((YEAR(EDATE(DATE(YEAR(TODAY()),MONTH(TODAY()),1),21))-YEAR(IF(ISNUMBER(Suppliers!F42),Suppliers!F42,DATE(YEAR(TODAY()),MONTH(TODAY()),1))))*12+MONTH(EDATE(DATE(YEAR(TODAY()),MONTH(TODAY()),1),21))-MONTH(IF(ISNUMBER(Suppliers!F42),Suppliers!F42,DATE(YEAR(TODAY()),MONTH(TODAY()),1))),3)=0,1,0),IF(Suppliers!E42="Semi-annual",IF(MOD((YEAR(EDATE(DATE(YEAR(TODAY()),MONTH(TODAY()),1),21))-YEAR(IF(ISNUMBER(Suppliers!F42),Suppliers!F42,DATE(YEAR(TODAY()),MONTH(TODAY()),1))))*12+MONTH(EDATE(DATE(YEAR(TODAY()),MONTH(TODAY()),1),21))-MONTH(IF(ISNUMBER(Suppliers!F42),Suppliers!F42,DATE(YEAR(TODAY()),MONTH(TODAY()),1))),6)=0,1,0),IF(Suppliers!E42="Annual",IF(MOD((YEAR(EDATE(DATE(YEAR(TODAY()),MONTH(TODAY()),1),21))-YEAR(IF(ISNUMBER(Suppliers!F42),Suppliers!F42,DATE(YEAR(TODAY()),MONTH(TODAY()),1))))*12+MONTH(EDATE(DATE(YEAR(TODAY()),MONTH(TODAY()),1),21))-MONTH(IF(ISNUMBER(Suppliers!F42),Suppliers!F42,DATE(YEAR(TODAY()),MONTH(TODAY()),1))),12)=0,1,0),IF(Suppliers!E42="One-time",IF(21=0,1,0),1)))))),"")</f>
        <v/>
      </c>
      <c r="AB44" s="10" t="str">
        <f ca="1">IFERROR(IF(OR(22&gt;=$B$1,Suppliers!A42="",NOT(ISNUMBER(Suppliers!D42)),Suppliers!L42="Expired",Suppliers!L42="Terminate"),"",Suppliers!D42*-1*IF(Suppliers!E42="Monthly",IF(AND(ISNUMBER(Suppliers!G42),(YEAR(EDATE(DATE(YEAR(TODAY()),MONTH(TODAY()),1),22))*12+MONTH(EDATE(DATE(YEAR(TODAY()),MONTH(TODAY()),1),22)))&gt;(YEAR(Suppliers!G42)*12+MONTH(Suppliers!G42))),"",1),IF(Suppliers!E42="Quarterly",IF(MOD((YEAR(EDATE(DATE(YEAR(TODAY()),MONTH(TODAY()),1),22))-YEAR(IF(ISNUMBER(Suppliers!F42),Suppliers!F42,DATE(YEAR(TODAY()),MONTH(TODAY()),1))))*12+MONTH(EDATE(DATE(YEAR(TODAY()),MONTH(TODAY()),1),22))-MONTH(IF(ISNUMBER(Suppliers!F42),Suppliers!F42,DATE(YEAR(TODAY()),MONTH(TODAY()),1))),3)=0,1,0),IF(Suppliers!E42="Semi-annual",IF(MOD((YEAR(EDATE(DATE(YEAR(TODAY()),MONTH(TODAY()),1),22))-YEAR(IF(ISNUMBER(Suppliers!F42),Suppliers!F42,DATE(YEAR(TODAY()),MONTH(TODAY()),1))))*12+MONTH(EDATE(DATE(YEAR(TODAY()),MONTH(TODAY()),1),22))-MONTH(IF(ISNUMBER(Suppliers!F42),Suppliers!F42,DATE(YEAR(TODAY()),MONTH(TODAY()),1))),6)=0,1,0),IF(Suppliers!E42="Annual",IF(MOD((YEAR(EDATE(DATE(YEAR(TODAY()),MONTH(TODAY()),1),22))-YEAR(IF(ISNUMBER(Suppliers!F42),Suppliers!F42,DATE(YEAR(TODAY()),MONTH(TODAY()),1))))*12+MONTH(EDATE(DATE(YEAR(TODAY()),MONTH(TODAY()),1),22))-MONTH(IF(ISNUMBER(Suppliers!F42),Suppliers!F42,DATE(YEAR(TODAY()),MONTH(TODAY()),1))),12)=0,1,0),IF(Suppliers!E42="One-time",IF(22=0,1,0),1)))))),"")</f>
        <v/>
      </c>
      <c r="AC44" s="10" t="str">
        <f ca="1">IFERROR(IF(OR(23&gt;=$B$1,Suppliers!A42="",NOT(ISNUMBER(Suppliers!D42)),Suppliers!L42="Expired",Suppliers!L42="Terminate"),"",Suppliers!D42*-1*IF(Suppliers!E42="Monthly",IF(AND(ISNUMBER(Suppliers!G42),(YEAR(EDATE(DATE(YEAR(TODAY()),MONTH(TODAY()),1),23))*12+MONTH(EDATE(DATE(YEAR(TODAY()),MONTH(TODAY()),1),23)))&gt;(YEAR(Suppliers!G42)*12+MONTH(Suppliers!G42))),"",1),IF(Suppliers!E42="Quarterly",IF(MOD((YEAR(EDATE(DATE(YEAR(TODAY()),MONTH(TODAY()),1),23))-YEAR(IF(ISNUMBER(Suppliers!F42),Suppliers!F42,DATE(YEAR(TODAY()),MONTH(TODAY()),1))))*12+MONTH(EDATE(DATE(YEAR(TODAY()),MONTH(TODAY()),1),23))-MONTH(IF(ISNUMBER(Suppliers!F42),Suppliers!F42,DATE(YEAR(TODAY()),MONTH(TODAY()),1))),3)=0,1,0),IF(Suppliers!E42="Semi-annual",IF(MOD((YEAR(EDATE(DATE(YEAR(TODAY()),MONTH(TODAY()),1),23))-YEAR(IF(ISNUMBER(Suppliers!F42),Suppliers!F42,DATE(YEAR(TODAY()),MONTH(TODAY()),1))))*12+MONTH(EDATE(DATE(YEAR(TODAY()),MONTH(TODAY()),1),23))-MONTH(IF(ISNUMBER(Suppliers!F42),Suppliers!F42,DATE(YEAR(TODAY()),MONTH(TODAY()),1))),6)=0,1,0),IF(Suppliers!E42="Annual",IF(MOD((YEAR(EDATE(DATE(YEAR(TODAY()),MONTH(TODAY()),1),23))-YEAR(IF(ISNUMBER(Suppliers!F42),Suppliers!F42,DATE(YEAR(TODAY()),MONTH(TODAY()),1))))*12+MONTH(EDATE(DATE(YEAR(TODAY()),MONTH(TODAY()),1),23))-MONTH(IF(ISNUMBER(Suppliers!F42),Suppliers!F42,DATE(YEAR(TODAY()),MONTH(TODAY()),1))),12)=0,1,0),IF(Suppliers!E42="One-time",IF(23=0,1,0),1)))))),"")</f>
        <v/>
      </c>
    </row>
    <row r="45" spans="1:29" ht="15" customHeight="1" x14ac:dyDescent="0.35">
      <c r="A45" s="4" t="s">
        <v>80</v>
      </c>
      <c r="B45" s="4" t="str">
        <f>IF(Suppliers!A43="","",Suppliers!A43)</f>
        <v/>
      </c>
      <c r="C45" s="10" t="str">
        <f>IF(Suppliers!C43="","",Suppliers!C43)</f>
        <v/>
      </c>
      <c r="D45" s="10" t="str">
        <f>IF(Suppliers!D43="","",Suppliers!D43)</f>
        <v/>
      </c>
      <c r="E45" s="4" t="str">
        <f>IF(Suppliers!E43="","",Suppliers!E43)</f>
        <v/>
      </c>
      <c r="F45" s="10" t="str">
        <f ca="1">IFERROR(IF(OR(0&gt;=$B$1,Suppliers!A43="",NOT(ISNUMBER(Suppliers!D43)),Suppliers!L43="Expired",Suppliers!L43="Terminate"),"",Suppliers!D43*-1*IF(Suppliers!E43="Monthly",IF(AND(ISNUMBER(Suppliers!G43),(YEAR(EDATE(DATE(YEAR(TODAY()),MONTH(TODAY()),1),0))*12+MONTH(EDATE(DATE(YEAR(TODAY()),MONTH(TODAY()),1),0)))&gt;(YEAR(Suppliers!G43)*12+MONTH(Suppliers!G43))),"",1),IF(Suppliers!E43="Quarterly",IF(MOD((YEAR(EDATE(DATE(YEAR(TODAY()),MONTH(TODAY()),1),0))-YEAR(IF(ISNUMBER(Suppliers!F43),Suppliers!F43,DATE(YEAR(TODAY()),MONTH(TODAY()),1))))*12+MONTH(EDATE(DATE(YEAR(TODAY()),MONTH(TODAY()),1),0))-MONTH(IF(ISNUMBER(Suppliers!F43),Suppliers!F43,DATE(YEAR(TODAY()),MONTH(TODAY()),1))),3)=0,1,0),IF(Suppliers!E43="Semi-annual",IF(MOD((YEAR(EDATE(DATE(YEAR(TODAY()),MONTH(TODAY()),1),0))-YEAR(IF(ISNUMBER(Suppliers!F43),Suppliers!F43,DATE(YEAR(TODAY()),MONTH(TODAY()),1))))*12+MONTH(EDATE(DATE(YEAR(TODAY()),MONTH(TODAY()),1),0))-MONTH(IF(ISNUMBER(Suppliers!F43),Suppliers!F43,DATE(YEAR(TODAY()),MONTH(TODAY()),1))),6)=0,1,0),IF(Suppliers!E43="Annual",IF(MOD((YEAR(EDATE(DATE(YEAR(TODAY()),MONTH(TODAY()),1),0))-YEAR(IF(ISNUMBER(Suppliers!F43),Suppliers!F43,DATE(YEAR(TODAY()),MONTH(TODAY()),1))))*12+MONTH(EDATE(DATE(YEAR(TODAY()),MONTH(TODAY()),1),0))-MONTH(IF(ISNUMBER(Suppliers!F43),Suppliers!F43,DATE(YEAR(TODAY()),MONTH(TODAY()),1))),12)=0,1,0),IF(Suppliers!E43="One-time",IF(0=0,1,0),1)))))),"")</f>
        <v/>
      </c>
      <c r="G45" s="10" t="str">
        <f ca="1">IFERROR(IF(OR(1&gt;=$B$1,Suppliers!A43="",NOT(ISNUMBER(Suppliers!D43)),Suppliers!L43="Expired",Suppliers!L43="Terminate"),"",Suppliers!D43*-1*IF(Suppliers!E43="Monthly",IF(AND(ISNUMBER(Suppliers!G43),(YEAR(EDATE(DATE(YEAR(TODAY()),MONTH(TODAY()),1),1))*12+MONTH(EDATE(DATE(YEAR(TODAY()),MONTH(TODAY()),1),1)))&gt;(YEAR(Suppliers!G43)*12+MONTH(Suppliers!G43))),"",1),IF(Suppliers!E43="Quarterly",IF(MOD((YEAR(EDATE(DATE(YEAR(TODAY()),MONTH(TODAY()),1),1))-YEAR(IF(ISNUMBER(Suppliers!F43),Suppliers!F43,DATE(YEAR(TODAY()),MONTH(TODAY()),1))))*12+MONTH(EDATE(DATE(YEAR(TODAY()),MONTH(TODAY()),1),1))-MONTH(IF(ISNUMBER(Suppliers!F43),Suppliers!F43,DATE(YEAR(TODAY()),MONTH(TODAY()),1))),3)=0,1,0),IF(Suppliers!E43="Semi-annual",IF(MOD((YEAR(EDATE(DATE(YEAR(TODAY()),MONTH(TODAY()),1),1))-YEAR(IF(ISNUMBER(Suppliers!F43),Suppliers!F43,DATE(YEAR(TODAY()),MONTH(TODAY()),1))))*12+MONTH(EDATE(DATE(YEAR(TODAY()),MONTH(TODAY()),1),1))-MONTH(IF(ISNUMBER(Suppliers!F43),Suppliers!F43,DATE(YEAR(TODAY()),MONTH(TODAY()),1))),6)=0,1,0),IF(Suppliers!E43="Annual",IF(MOD((YEAR(EDATE(DATE(YEAR(TODAY()),MONTH(TODAY()),1),1))-YEAR(IF(ISNUMBER(Suppliers!F43),Suppliers!F43,DATE(YEAR(TODAY()),MONTH(TODAY()),1))))*12+MONTH(EDATE(DATE(YEAR(TODAY()),MONTH(TODAY()),1),1))-MONTH(IF(ISNUMBER(Suppliers!F43),Suppliers!F43,DATE(YEAR(TODAY()),MONTH(TODAY()),1))),12)=0,1,0),IF(Suppliers!E43="One-time",IF(1=0,1,0),1)))))),"")</f>
        <v/>
      </c>
      <c r="H45" s="10" t="str">
        <f ca="1">IFERROR(IF(OR(2&gt;=$B$1,Suppliers!A43="",NOT(ISNUMBER(Suppliers!D43)),Suppliers!L43="Expired",Suppliers!L43="Terminate"),"",Suppliers!D43*-1*IF(Suppliers!E43="Monthly",IF(AND(ISNUMBER(Suppliers!G43),(YEAR(EDATE(DATE(YEAR(TODAY()),MONTH(TODAY()),1),2))*12+MONTH(EDATE(DATE(YEAR(TODAY()),MONTH(TODAY()),1),2)))&gt;(YEAR(Suppliers!G43)*12+MONTH(Suppliers!G43))),"",1),IF(Suppliers!E43="Quarterly",IF(MOD((YEAR(EDATE(DATE(YEAR(TODAY()),MONTH(TODAY()),1),2))-YEAR(IF(ISNUMBER(Suppliers!F43),Suppliers!F43,DATE(YEAR(TODAY()),MONTH(TODAY()),1))))*12+MONTH(EDATE(DATE(YEAR(TODAY()),MONTH(TODAY()),1),2))-MONTH(IF(ISNUMBER(Suppliers!F43),Suppliers!F43,DATE(YEAR(TODAY()),MONTH(TODAY()),1))),3)=0,1,0),IF(Suppliers!E43="Semi-annual",IF(MOD((YEAR(EDATE(DATE(YEAR(TODAY()),MONTH(TODAY()),1),2))-YEAR(IF(ISNUMBER(Suppliers!F43),Suppliers!F43,DATE(YEAR(TODAY()),MONTH(TODAY()),1))))*12+MONTH(EDATE(DATE(YEAR(TODAY()),MONTH(TODAY()),1),2))-MONTH(IF(ISNUMBER(Suppliers!F43),Suppliers!F43,DATE(YEAR(TODAY()),MONTH(TODAY()),1))),6)=0,1,0),IF(Suppliers!E43="Annual",IF(MOD((YEAR(EDATE(DATE(YEAR(TODAY()),MONTH(TODAY()),1),2))-YEAR(IF(ISNUMBER(Suppliers!F43),Suppliers!F43,DATE(YEAR(TODAY()),MONTH(TODAY()),1))))*12+MONTH(EDATE(DATE(YEAR(TODAY()),MONTH(TODAY()),1),2))-MONTH(IF(ISNUMBER(Suppliers!F43),Suppliers!F43,DATE(YEAR(TODAY()),MONTH(TODAY()),1))),12)=0,1,0),IF(Suppliers!E43="One-time",IF(2=0,1,0),1)))))),"")</f>
        <v/>
      </c>
      <c r="I45" s="10" t="str">
        <f ca="1">IFERROR(IF(OR(3&gt;=$B$1,Suppliers!A43="",NOT(ISNUMBER(Suppliers!D43)),Suppliers!L43="Expired",Suppliers!L43="Terminate"),"",Suppliers!D43*-1*IF(Suppliers!E43="Monthly",IF(AND(ISNUMBER(Suppliers!G43),(YEAR(EDATE(DATE(YEAR(TODAY()),MONTH(TODAY()),1),3))*12+MONTH(EDATE(DATE(YEAR(TODAY()),MONTH(TODAY()),1),3)))&gt;(YEAR(Suppliers!G43)*12+MONTH(Suppliers!G43))),"",1),IF(Suppliers!E43="Quarterly",IF(MOD((YEAR(EDATE(DATE(YEAR(TODAY()),MONTH(TODAY()),1),3))-YEAR(IF(ISNUMBER(Suppliers!F43),Suppliers!F43,DATE(YEAR(TODAY()),MONTH(TODAY()),1))))*12+MONTH(EDATE(DATE(YEAR(TODAY()),MONTH(TODAY()),1),3))-MONTH(IF(ISNUMBER(Suppliers!F43),Suppliers!F43,DATE(YEAR(TODAY()),MONTH(TODAY()),1))),3)=0,1,0),IF(Suppliers!E43="Semi-annual",IF(MOD((YEAR(EDATE(DATE(YEAR(TODAY()),MONTH(TODAY()),1),3))-YEAR(IF(ISNUMBER(Suppliers!F43),Suppliers!F43,DATE(YEAR(TODAY()),MONTH(TODAY()),1))))*12+MONTH(EDATE(DATE(YEAR(TODAY()),MONTH(TODAY()),1),3))-MONTH(IF(ISNUMBER(Suppliers!F43),Suppliers!F43,DATE(YEAR(TODAY()),MONTH(TODAY()),1))),6)=0,1,0),IF(Suppliers!E43="Annual",IF(MOD((YEAR(EDATE(DATE(YEAR(TODAY()),MONTH(TODAY()),1),3))-YEAR(IF(ISNUMBER(Suppliers!F43),Suppliers!F43,DATE(YEAR(TODAY()),MONTH(TODAY()),1))))*12+MONTH(EDATE(DATE(YEAR(TODAY()),MONTH(TODAY()),1),3))-MONTH(IF(ISNUMBER(Suppliers!F43),Suppliers!F43,DATE(YEAR(TODAY()),MONTH(TODAY()),1))),12)=0,1,0),IF(Suppliers!E43="One-time",IF(3=0,1,0),1)))))),"")</f>
        <v/>
      </c>
      <c r="J45" s="10" t="str">
        <f ca="1">IFERROR(IF(OR(4&gt;=$B$1,Suppliers!A43="",NOT(ISNUMBER(Suppliers!D43)),Suppliers!L43="Expired",Suppliers!L43="Terminate"),"",Suppliers!D43*-1*IF(Suppliers!E43="Monthly",IF(AND(ISNUMBER(Suppliers!G43),(YEAR(EDATE(DATE(YEAR(TODAY()),MONTH(TODAY()),1),4))*12+MONTH(EDATE(DATE(YEAR(TODAY()),MONTH(TODAY()),1),4)))&gt;(YEAR(Suppliers!G43)*12+MONTH(Suppliers!G43))),"",1),IF(Suppliers!E43="Quarterly",IF(MOD((YEAR(EDATE(DATE(YEAR(TODAY()),MONTH(TODAY()),1),4))-YEAR(IF(ISNUMBER(Suppliers!F43),Suppliers!F43,DATE(YEAR(TODAY()),MONTH(TODAY()),1))))*12+MONTH(EDATE(DATE(YEAR(TODAY()),MONTH(TODAY()),1),4))-MONTH(IF(ISNUMBER(Suppliers!F43),Suppliers!F43,DATE(YEAR(TODAY()),MONTH(TODAY()),1))),3)=0,1,0),IF(Suppliers!E43="Semi-annual",IF(MOD((YEAR(EDATE(DATE(YEAR(TODAY()),MONTH(TODAY()),1),4))-YEAR(IF(ISNUMBER(Suppliers!F43),Suppliers!F43,DATE(YEAR(TODAY()),MONTH(TODAY()),1))))*12+MONTH(EDATE(DATE(YEAR(TODAY()),MONTH(TODAY()),1),4))-MONTH(IF(ISNUMBER(Suppliers!F43),Suppliers!F43,DATE(YEAR(TODAY()),MONTH(TODAY()),1))),6)=0,1,0),IF(Suppliers!E43="Annual",IF(MOD((YEAR(EDATE(DATE(YEAR(TODAY()),MONTH(TODAY()),1),4))-YEAR(IF(ISNUMBER(Suppliers!F43),Suppliers!F43,DATE(YEAR(TODAY()),MONTH(TODAY()),1))))*12+MONTH(EDATE(DATE(YEAR(TODAY()),MONTH(TODAY()),1),4))-MONTH(IF(ISNUMBER(Suppliers!F43),Suppliers!F43,DATE(YEAR(TODAY()),MONTH(TODAY()),1))),12)=0,1,0),IF(Suppliers!E43="One-time",IF(4=0,1,0),1)))))),"")</f>
        <v/>
      </c>
      <c r="K45" s="10" t="str">
        <f ca="1">IFERROR(IF(OR(5&gt;=$B$1,Suppliers!A43="",NOT(ISNUMBER(Suppliers!D43)),Suppliers!L43="Expired",Suppliers!L43="Terminate"),"",Suppliers!D43*-1*IF(Suppliers!E43="Monthly",IF(AND(ISNUMBER(Suppliers!G43),(YEAR(EDATE(DATE(YEAR(TODAY()),MONTH(TODAY()),1),5))*12+MONTH(EDATE(DATE(YEAR(TODAY()),MONTH(TODAY()),1),5)))&gt;(YEAR(Suppliers!G43)*12+MONTH(Suppliers!G43))),"",1),IF(Suppliers!E43="Quarterly",IF(MOD((YEAR(EDATE(DATE(YEAR(TODAY()),MONTH(TODAY()),1),5))-YEAR(IF(ISNUMBER(Suppliers!F43),Suppliers!F43,DATE(YEAR(TODAY()),MONTH(TODAY()),1))))*12+MONTH(EDATE(DATE(YEAR(TODAY()),MONTH(TODAY()),1),5))-MONTH(IF(ISNUMBER(Suppliers!F43),Suppliers!F43,DATE(YEAR(TODAY()),MONTH(TODAY()),1))),3)=0,1,0),IF(Suppliers!E43="Semi-annual",IF(MOD((YEAR(EDATE(DATE(YEAR(TODAY()),MONTH(TODAY()),1),5))-YEAR(IF(ISNUMBER(Suppliers!F43),Suppliers!F43,DATE(YEAR(TODAY()),MONTH(TODAY()),1))))*12+MONTH(EDATE(DATE(YEAR(TODAY()),MONTH(TODAY()),1),5))-MONTH(IF(ISNUMBER(Suppliers!F43),Suppliers!F43,DATE(YEAR(TODAY()),MONTH(TODAY()),1))),6)=0,1,0),IF(Suppliers!E43="Annual",IF(MOD((YEAR(EDATE(DATE(YEAR(TODAY()),MONTH(TODAY()),1),5))-YEAR(IF(ISNUMBER(Suppliers!F43),Suppliers!F43,DATE(YEAR(TODAY()),MONTH(TODAY()),1))))*12+MONTH(EDATE(DATE(YEAR(TODAY()),MONTH(TODAY()),1),5))-MONTH(IF(ISNUMBER(Suppliers!F43),Suppliers!F43,DATE(YEAR(TODAY()),MONTH(TODAY()),1))),12)=0,1,0),IF(Suppliers!E43="One-time",IF(5=0,1,0),1)))))),"")</f>
        <v/>
      </c>
      <c r="L45" s="10" t="str">
        <f ca="1">IFERROR(IF(OR(6&gt;=$B$1,Suppliers!A43="",NOT(ISNUMBER(Suppliers!D43)),Suppliers!L43="Expired",Suppliers!L43="Terminate"),"",Suppliers!D43*-1*IF(Suppliers!E43="Monthly",IF(AND(ISNUMBER(Suppliers!G43),(YEAR(EDATE(DATE(YEAR(TODAY()),MONTH(TODAY()),1),6))*12+MONTH(EDATE(DATE(YEAR(TODAY()),MONTH(TODAY()),1),6)))&gt;(YEAR(Suppliers!G43)*12+MONTH(Suppliers!G43))),"",1),IF(Suppliers!E43="Quarterly",IF(MOD((YEAR(EDATE(DATE(YEAR(TODAY()),MONTH(TODAY()),1),6))-YEAR(IF(ISNUMBER(Suppliers!F43),Suppliers!F43,DATE(YEAR(TODAY()),MONTH(TODAY()),1))))*12+MONTH(EDATE(DATE(YEAR(TODAY()),MONTH(TODAY()),1),6))-MONTH(IF(ISNUMBER(Suppliers!F43),Suppliers!F43,DATE(YEAR(TODAY()),MONTH(TODAY()),1))),3)=0,1,0),IF(Suppliers!E43="Semi-annual",IF(MOD((YEAR(EDATE(DATE(YEAR(TODAY()),MONTH(TODAY()),1),6))-YEAR(IF(ISNUMBER(Suppliers!F43),Suppliers!F43,DATE(YEAR(TODAY()),MONTH(TODAY()),1))))*12+MONTH(EDATE(DATE(YEAR(TODAY()),MONTH(TODAY()),1),6))-MONTH(IF(ISNUMBER(Suppliers!F43),Suppliers!F43,DATE(YEAR(TODAY()),MONTH(TODAY()),1))),6)=0,1,0),IF(Suppliers!E43="Annual",IF(MOD((YEAR(EDATE(DATE(YEAR(TODAY()),MONTH(TODAY()),1),6))-YEAR(IF(ISNUMBER(Suppliers!F43),Suppliers!F43,DATE(YEAR(TODAY()),MONTH(TODAY()),1))))*12+MONTH(EDATE(DATE(YEAR(TODAY()),MONTH(TODAY()),1),6))-MONTH(IF(ISNUMBER(Suppliers!F43),Suppliers!F43,DATE(YEAR(TODAY()),MONTH(TODAY()),1))),12)=0,1,0),IF(Suppliers!E43="One-time",IF(6=0,1,0),1)))))),"")</f>
        <v/>
      </c>
      <c r="M45" s="10" t="str">
        <f ca="1">IFERROR(IF(OR(7&gt;=$B$1,Suppliers!A43="",NOT(ISNUMBER(Suppliers!D43)),Suppliers!L43="Expired",Suppliers!L43="Terminate"),"",Suppliers!D43*-1*IF(Suppliers!E43="Monthly",IF(AND(ISNUMBER(Suppliers!G43),(YEAR(EDATE(DATE(YEAR(TODAY()),MONTH(TODAY()),1),7))*12+MONTH(EDATE(DATE(YEAR(TODAY()),MONTH(TODAY()),1),7)))&gt;(YEAR(Suppliers!G43)*12+MONTH(Suppliers!G43))),"",1),IF(Suppliers!E43="Quarterly",IF(MOD((YEAR(EDATE(DATE(YEAR(TODAY()),MONTH(TODAY()),1),7))-YEAR(IF(ISNUMBER(Suppliers!F43),Suppliers!F43,DATE(YEAR(TODAY()),MONTH(TODAY()),1))))*12+MONTH(EDATE(DATE(YEAR(TODAY()),MONTH(TODAY()),1),7))-MONTH(IF(ISNUMBER(Suppliers!F43),Suppliers!F43,DATE(YEAR(TODAY()),MONTH(TODAY()),1))),3)=0,1,0),IF(Suppliers!E43="Semi-annual",IF(MOD((YEAR(EDATE(DATE(YEAR(TODAY()),MONTH(TODAY()),1),7))-YEAR(IF(ISNUMBER(Suppliers!F43),Suppliers!F43,DATE(YEAR(TODAY()),MONTH(TODAY()),1))))*12+MONTH(EDATE(DATE(YEAR(TODAY()),MONTH(TODAY()),1),7))-MONTH(IF(ISNUMBER(Suppliers!F43),Suppliers!F43,DATE(YEAR(TODAY()),MONTH(TODAY()),1))),6)=0,1,0),IF(Suppliers!E43="Annual",IF(MOD((YEAR(EDATE(DATE(YEAR(TODAY()),MONTH(TODAY()),1),7))-YEAR(IF(ISNUMBER(Suppliers!F43),Suppliers!F43,DATE(YEAR(TODAY()),MONTH(TODAY()),1))))*12+MONTH(EDATE(DATE(YEAR(TODAY()),MONTH(TODAY()),1),7))-MONTH(IF(ISNUMBER(Suppliers!F43),Suppliers!F43,DATE(YEAR(TODAY()),MONTH(TODAY()),1))),12)=0,1,0),IF(Suppliers!E43="One-time",IF(7=0,1,0),1)))))),"")</f>
        <v/>
      </c>
      <c r="N45" s="10" t="str">
        <f ca="1">IFERROR(IF(OR(8&gt;=$B$1,Suppliers!A43="",NOT(ISNUMBER(Suppliers!D43)),Suppliers!L43="Expired",Suppliers!L43="Terminate"),"",Suppliers!D43*-1*IF(Suppliers!E43="Monthly",IF(AND(ISNUMBER(Suppliers!G43),(YEAR(EDATE(DATE(YEAR(TODAY()),MONTH(TODAY()),1),8))*12+MONTH(EDATE(DATE(YEAR(TODAY()),MONTH(TODAY()),1),8)))&gt;(YEAR(Suppliers!G43)*12+MONTH(Suppliers!G43))),"",1),IF(Suppliers!E43="Quarterly",IF(MOD((YEAR(EDATE(DATE(YEAR(TODAY()),MONTH(TODAY()),1),8))-YEAR(IF(ISNUMBER(Suppliers!F43),Suppliers!F43,DATE(YEAR(TODAY()),MONTH(TODAY()),1))))*12+MONTH(EDATE(DATE(YEAR(TODAY()),MONTH(TODAY()),1),8))-MONTH(IF(ISNUMBER(Suppliers!F43),Suppliers!F43,DATE(YEAR(TODAY()),MONTH(TODAY()),1))),3)=0,1,0),IF(Suppliers!E43="Semi-annual",IF(MOD((YEAR(EDATE(DATE(YEAR(TODAY()),MONTH(TODAY()),1),8))-YEAR(IF(ISNUMBER(Suppliers!F43),Suppliers!F43,DATE(YEAR(TODAY()),MONTH(TODAY()),1))))*12+MONTH(EDATE(DATE(YEAR(TODAY()),MONTH(TODAY()),1),8))-MONTH(IF(ISNUMBER(Suppliers!F43),Suppliers!F43,DATE(YEAR(TODAY()),MONTH(TODAY()),1))),6)=0,1,0),IF(Suppliers!E43="Annual",IF(MOD((YEAR(EDATE(DATE(YEAR(TODAY()),MONTH(TODAY()),1),8))-YEAR(IF(ISNUMBER(Suppliers!F43),Suppliers!F43,DATE(YEAR(TODAY()),MONTH(TODAY()),1))))*12+MONTH(EDATE(DATE(YEAR(TODAY()),MONTH(TODAY()),1),8))-MONTH(IF(ISNUMBER(Suppliers!F43),Suppliers!F43,DATE(YEAR(TODAY()),MONTH(TODAY()),1))),12)=0,1,0),IF(Suppliers!E43="One-time",IF(8=0,1,0),1)))))),"")</f>
        <v/>
      </c>
      <c r="O45" s="10" t="str">
        <f ca="1">IFERROR(IF(OR(9&gt;=$B$1,Suppliers!A43="",NOT(ISNUMBER(Suppliers!D43)),Suppliers!L43="Expired",Suppliers!L43="Terminate"),"",Suppliers!D43*-1*IF(Suppliers!E43="Monthly",IF(AND(ISNUMBER(Suppliers!G43),(YEAR(EDATE(DATE(YEAR(TODAY()),MONTH(TODAY()),1),9))*12+MONTH(EDATE(DATE(YEAR(TODAY()),MONTH(TODAY()),1),9)))&gt;(YEAR(Suppliers!G43)*12+MONTH(Suppliers!G43))),"",1),IF(Suppliers!E43="Quarterly",IF(MOD((YEAR(EDATE(DATE(YEAR(TODAY()),MONTH(TODAY()),1),9))-YEAR(IF(ISNUMBER(Suppliers!F43),Suppliers!F43,DATE(YEAR(TODAY()),MONTH(TODAY()),1))))*12+MONTH(EDATE(DATE(YEAR(TODAY()),MONTH(TODAY()),1),9))-MONTH(IF(ISNUMBER(Suppliers!F43),Suppliers!F43,DATE(YEAR(TODAY()),MONTH(TODAY()),1))),3)=0,1,0),IF(Suppliers!E43="Semi-annual",IF(MOD((YEAR(EDATE(DATE(YEAR(TODAY()),MONTH(TODAY()),1),9))-YEAR(IF(ISNUMBER(Suppliers!F43),Suppliers!F43,DATE(YEAR(TODAY()),MONTH(TODAY()),1))))*12+MONTH(EDATE(DATE(YEAR(TODAY()),MONTH(TODAY()),1),9))-MONTH(IF(ISNUMBER(Suppliers!F43),Suppliers!F43,DATE(YEAR(TODAY()),MONTH(TODAY()),1))),6)=0,1,0),IF(Suppliers!E43="Annual",IF(MOD((YEAR(EDATE(DATE(YEAR(TODAY()),MONTH(TODAY()),1),9))-YEAR(IF(ISNUMBER(Suppliers!F43),Suppliers!F43,DATE(YEAR(TODAY()),MONTH(TODAY()),1))))*12+MONTH(EDATE(DATE(YEAR(TODAY()),MONTH(TODAY()),1),9))-MONTH(IF(ISNUMBER(Suppliers!F43),Suppliers!F43,DATE(YEAR(TODAY()),MONTH(TODAY()),1))),12)=0,1,0),IF(Suppliers!E43="One-time",IF(9=0,1,0),1)))))),"")</f>
        <v/>
      </c>
      <c r="P45" s="10" t="str">
        <f ca="1">IFERROR(IF(OR(10&gt;=$B$1,Suppliers!A43="",NOT(ISNUMBER(Suppliers!D43)),Suppliers!L43="Expired",Suppliers!L43="Terminate"),"",Suppliers!D43*-1*IF(Suppliers!E43="Monthly",IF(AND(ISNUMBER(Suppliers!G43),(YEAR(EDATE(DATE(YEAR(TODAY()),MONTH(TODAY()),1),10))*12+MONTH(EDATE(DATE(YEAR(TODAY()),MONTH(TODAY()),1),10)))&gt;(YEAR(Suppliers!G43)*12+MONTH(Suppliers!G43))),"",1),IF(Suppliers!E43="Quarterly",IF(MOD((YEAR(EDATE(DATE(YEAR(TODAY()),MONTH(TODAY()),1),10))-YEAR(IF(ISNUMBER(Suppliers!F43),Suppliers!F43,DATE(YEAR(TODAY()),MONTH(TODAY()),1))))*12+MONTH(EDATE(DATE(YEAR(TODAY()),MONTH(TODAY()),1),10))-MONTH(IF(ISNUMBER(Suppliers!F43),Suppliers!F43,DATE(YEAR(TODAY()),MONTH(TODAY()),1))),3)=0,1,0),IF(Suppliers!E43="Semi-annual",IF(MOD((YEAR(EDATE(DATE(YEAR(TODAY()),MONTH(TODAY()),1),10))-YEAR(IF(ISNUMBER(Suppliers!F43),Suppliers!F43,DATE(YEAR(TODAY()),MONTH(TODAY()),1))))*12+MONTH(EDATE(DATE(YEAR(TODAY()),MONTH(TODAY()),1),10))-MONTH(IF(ISNUMBER(Suppliers!F43),Suppliers!F43,DATE(YEAR(TODAY()),MONTH(TODAY()),1))),6)=0,1,0),IF(Suppliers!E43="Annual",IF(MOD((YEAR(EDATE(DATE(YEAR(TODAY()),MONTH(TODAY()),1),10))-YEAR(IF(ISNUMBER(Suppliers!F43),Suppliers!F43,DATE(YEAR(TODAY()),MONTH(TODAY()),1))))*12+MONTH(EDATE(DATE(YEAR(TODAY()),MONTH(TODAY()),1),10))-MONTH(IF(ISNUMBER(Suppliers!F43),Suppliers!F43,DATE(YEAR(TODAY()),MONTH(TODAY()),1))),12)=0,1,0),IF(Suppliers!E43="One-time",IF(10=0,1,0),1)))))),"")</f>
        <v/>
      </c>
      <c r="Q45" s="10" t="str">
        <f ca="1">IFERROR(IF(OR(11&gt;=$B$1,Suppliers!A43="",NOT(ISNUMBER(Suppliers!D43)),Suppliers!L43="Expired",Suppliers!L43="Terminate"),"",Suppliers!D43*-1*IF(Suppliers!E43="Monthly",IF(AND(ISNUMBER(Suppliers!G43),(YEAR(EDATE(DATE(YEAR(TODAY()),MONTH(TODAY()),1),11))*12+MONTH(EDATE(DATE(YEAR(TODAY()),MONTH(TODAY()),1),11)))&gt;(YEAR(Suppliers!G43)*12+MONTH(Suppliers!G43))),"",1),IF(Suppliers!E43="Quarterly",IF(MOD((YEAR(EDATE(DATE(YEAR(TODAY()),MONTH(TODAY()),1),11))-YEAR(IF(ISNUMBER(Suppliers!F43),Suppliers!F43,DATE(YEAR(TODAY()),MONTH(TODAY()),1))))*12+MONTH(EDATE(DATE(YEAR(TODAY()),MONTH(TODAY()),1),11))-MONTH(IF(ISNUMBER(Suppliers!F43),Suppliers!F43,DATE(YEAR(TODAY()),MONTH(TODAY()),1))),3)=0,1,0),IF(Suppliers!E43="Semi-annual",IF(MOD((YEAR(EDATE(DATE(YEAR(TODAY()),MONTH(TODAY()),1),11))-YEAR(IF(ISNUMBER(Suppliers!F43),Suppliers!F43,DATE(YEAR(TODAY()),MONTH(TODAY()),1))))*12+MONTH(EDATE(DATE(YEAR(TODAY()),MONTH(TODAY()),1),11))-MONTH(IF(ISNUMBER(Suppliers!F43),Suppliers!F43,DATE(YEAR(TODAY()),MONTH(TODAY()),1))),6)=0,1,0),IF(Suppliers!E43="Annual",IF(MOD((YEAR(EDATE(DATE(YEAR(TODAY()),MONTH(TODAY()),1),11))-YEAR(IF(ISNUMBER(Suppliers!F43),Suppliers!F43,DATE(YEAR(TODAY()),MONTH(TODAY()),1))))*12+MONTH(EDATE(DATE(YEAR(TODAY()),MONTH(TODAY()),1),11))-MONTH(IF(ISNUMBER(Suppliers!F43),Suppliers!F43,DATE(YEAR(TODAY()),MONTH(TODAY()),1))),12)=0,1,0),IF(Suppliers!E43="One-time",IF(11=0,1,0),1)))))),"")</f>
        <v/>
      </c>
      <c r="R45" s="10" t="str">
        <f ca="1">IFERROR(IF(OR(12&gt;=$B$1,Suppliers!A43="",NOT(ISNUMBER(Suppliers!D43)),Suppliers!L43="Expired",Suppliers!L43="Terminate"),"",Suppliers!D43*-1*IF(Suppliers!E43="Monthly",IF(AND(ISNUMBER(Suppliers!G43),(YEAR(EDATE(DATE(YEAR(TODAY()),MONTH(TODAY()),1),12))*12+MONTH(EDATE(DATE(YEAR(TODAY()),MONTH(TODAY()),1),12)))&gt;(YEAR(Suppliers!G43)*12+MONTH(Suppliers!G43))),"",1),IF(Suppliers!E43="Quarterly",IF(MOD((YEAR(EDATE(DATE(YEAR(TODAY()),MONTH(TODAY()),1),12))-YEAR(IF(ISNUMBER(Suppliers!F43),Suppliers!F43,DATE(YEAR(TODAY()),MONTH(TODAY()),1))))*12+MONTH(EDATE(DATE(YEAR(TODAY()),MONTH(TODAY()),1),12))-MONTH(IF(ISNUMBER(Suppliers!F43),Suppliers!F43,DATE(YEAR(TODAY()),MONTH(TODAY()),1))),3)=0,1,0),IF(Suppliers!E43="Semi-annual",IF(MOD((YEAR(EDATE(DATE(YEAR(TODAY()),MONTH(TODAY()),1),12))-YEAR(IF(ISNUMBER(Suppliers!F43),Suppliers!F43,DATE(YEAR(TODAY()),MONTH(TODAY()),1))))*12+MONTH(EDATE(DATE(YEAR(TODAY()),MONTH(TODAY()),1),12))-MONTH(IF(ISNUMBER(Suppliers!F43),Suppliers!F43,DATE(YEAR(TODAY()),MONTH(TODAY()),1))),6)=0,1,0),IF(Suppliers!E43="Annual",IF(MOD((YEAR(EDATE(DATE(YEAR(TODAY()),MONTH(TODAY()),1),12))-YEAR(IF(ISNUMBER(Suppliers!F43),Suppliers!F43,DATE(YEAR(TODAY()),MONTH(TODAY()),1))))*12+MONTH(EDATE(DATE(YEAR(TODAY()),MONTH(TODAY()),1),12))-MONTH(IF(ISNUMBER(Suppliers!F43),Suppliers!F43,DATE(YEAR(TODAY()),MONTH(TODAY()),1))),12)=0,1,0),IF(Suppliers!E43="One-time",IF(12=0,1,0),1)))))),"")</f>
        <v/>
      </c>
      <c r="S45" s="10" t="str">
        <f ca="1">IFERROR(IF(OR(13&gt;=$B$1,Suppliers!A43="",NOT(ISNUMBER(Suppliers!D43)),Suppliers!L43="Expired",Suppliers!L43="Terminate"),"",Suppliers!D43*-1*IF(Suppliers!E43="Monthly",IF(AND(ISNUMBER(Suppliers!G43),(YEAR(EDATE(DATE(YEAR(TODAY()),MONTH(TODAY()),1),13))*12+MONTH(EDATE(DATE(YEAR(TODAY()),MONTH(TODAY()),1),13)))&gt;(YEAR(Suppliers!G43)*12+MONTH(Suppliers!G43))),"",1),IF(Suppliers!E43="Quarterly",IF(MOD((YEAR(EDATE(DATE(YEAR(TODAY()),MONTH(TODAY()),1),13))-YEAR(IF(ISNUMBER(Suppliers!F43),Suppliers!F43,DATE(YEAR(TODAY()),MONTH(TODAY()),1))))*12+MONTH(EDATE(DATE(YEAR(TODAY()),MONTH(TODAY()),1),13))-MONTH(IF(ISNUMBER(Suppliers!F43),Suppliers!F43,DATE(YEAR(TODAY()),MONTH(TODAY()),1))),3)=0,1,0),IF(Suppliers!E43="Semi-annual",IF(MOD((YEAR(EDATE(DATE(YEAR(TODAY()),MONTH(TODAY()),1),13))-YEAR(IF(ISNUMBER(Suppliers!F43),Suppliers!F43,DATE(YEAR(TODAY()),MONTH(TODAY()),1))))*12+MONTH(EDATE(DATE(YEAR(TODAY()),MONTH(TODAY()),1),13))-MONTH(IF(ISNUMBER(Suppliers!F43),Suppliers!F43,DATE(YEAR(TODAY()),MONTH(TODAY()),1))),6)=0,1,0),IF(Suppliers!E43="Annual",IF(MOD((YEAR(EDATE(DATE(YEAR(TODAY()),MONTH(TODAY()),1),13))-YEAR(IF(ISNUMBER(Suppliers!F43),Suppliers!F43,DATE(YEAR(TODAY()),MONTH(TODAY()),1))))*12+MONTH(EDATE(DATE(YEAR(TODAY()),MONTH(TODAY()),1),13))-MONTH(IF(ISNUMBER(Suppliers!F43),Suppliers!F43,DATE(YEAR(TODAY()),MONTH(TODAY()),1))),12)=0,1,0),IF(Suppliers!E43="One-time",IF(13=0,1,0),1)))))),"")</f>
        <v/>
      </c>
      <c r="T45" s="10" t="str">
        <f ca="1">IFERROR(IF(OR(14&gt;=$B$1,Suppliers!A43="",NOT(ISNUMBER(Suppliers!D43)),Suppliers!L43="Expired",Suppliers!L43="Terminate"),"",Suppliers!D43*-1*IF(Suppliers!E43="Monthly",IF(AND(ISNUMBER(Suppliers!G43),(YEAR(EDATE(DATE(YEAR(TODAY()),MONTH(TODAY()),1),14))*12+MONTH(EDATE(DATE(YEAR(TODAY()),MONTH(TODAY()),1),14)))&gt;(YEAR(Suppliers!G43)*12+MONTH(Suppliers!G43))),"",1),IF(Suppliers!E43="Quarterly",IF(MOD((YEAR(EDATE(DATE(YEAR(TODAY()),MONTH(TODAY()),1),14))-YEAR(IF(ISNUMBER(Suppliers!F43),Suppliers!F43,DATE(YEAR(TODAY()),MONTH(TODAY()),1))))*12+MONTH(EDATE(DATE(YEAR(TODAY()),MONTH(TODAY()),1),14))-MONTH(IF(ISNUMBER(Suppliers!F43),Suppliers!F43,DATE(YEAR(TODAY()),MONTH(TODAY()),1))),3)=0,1,0),IF(Suppliers!E43="Semi-annual",IF(MOD((YEAR(EDATE(DATE(YEAR(TODAY()),MONTH(TODAY()),1),14))-YEAR(IF(ISNUMBER(Suppliers!F43),Suppliers!F43,DATE(YEAR(TODAY()),MONTH(TODAY()),1))))*12+MONTH(EDATE(DATE(YEAR(TODAY()),MONTH(TODAY()),1),14))-MONTH(IF(ISNUMBER(Suppliers!F43),Suppliers!F43,DATE(YEAR(TODAY()),MONTH(TODAY()),1))),6)=0,1,0),IF(Suppliers!E43="Annual",IF(MOD((YEAR(EDATE(DATE(YEAR(TODAY()),MONTH(TODAY()),1),14))-YEAR(IF(ISNUMBER(Suppliers!F43),Suppliers!F43,DATE(YEAR(TODAY()),MONTH(TODAY()),1))))*12+MONTH(EDATE(DATE(YEAR(TODAY()),MONTH(TODAY()),1),14))-MONTH(IF(ISNUMBER(Suppliers!F43),Suppliers!F43,DATE(YEAR(TODAY()),MONTH(TODAY()),1))),12)=0,1,0),IF(Suppliers!E43="One-time",IF(14=0,1,0),1)))))),"")</f>
        <v/>
      </c>
      <c r="U45" s="10" t="str">
        <f ca="1">IFERROR(IF(OR(15&gt;=$B$1,Suppliers!A43="",NOT(ISNUMBER(Suppliers!D43)),Suppliers!L43="Expired",Suppliers!L43="Terminate"),"",Suppliers!D43*-1*IF(Suppliers!E43="Monthly",IF(AND(ISNUMBER(Suppliers!G43),(YEAR(EDATE(DATE(YEAR(TODAY()),MONTH(TODAY()),1),15))*12+MONTH(EDATE(DATE(YEAR(TODAY()),MONTH(TODAY()),1),15)))&gt;(YEAR(Suppliers!G43)*12+MONTH(Suppliers!G43))),"",1),IF(Suppliers!E43="Quarterly",IF(MOD((YEAR(EDATE(DATE(YEAR(TODAY()),MONTH(TODAY()),1),15))-YEAR(IF(ISNUMBER(Suppliers!F43),Suppliers!F43,DATE(YEAR(TODAY()),MONTH(TODAY()),1))))*12+MONTH(EDATE(DATE(YEAR(TODAY()),MONTH(TODAY()),1),15))-MONTH(IF(ISNUMBER(Suppliers!F43),Suppliers!F43,DATE(YEAR(TODAY()),MONTH(TODAY()),1))),3)=0,1,0),IF(Suppliers!E43="Semi-annual",IF(MOD((YEAR(EDATE(DATE(YEAR(TODAY()),MONTH(TODAY()),1),15))-YEAR(IF(ISNUMBER(Suppliers!F43),Suppliers!F43,DATE(YEAR(TODAY()),MONTH(TODAY()),1))))*12+MONTH(EDATE(DATE(YEAR(TODAY()),MONTH(TODAY()),1),15))-MONTH(IF(ISNUMBER(Suppliers!F43),Suppliers!F43,DATE(YEAR(TODAY()),MONTH(TODAY()),1))),6)=0,1,0),IF(Suppliers!E43="Annual",IF(MOD((YEAR(EDATE(DATE(YEAR(TODAY()),MONTH(TODAY()),1),15))-YEAR(IF(ISNUMBER(Suppliers!F43),Suppliers!F43,DATE(YEAR(TODAY()),MONTH(TODAY()),1))))*12+MONTH(EDATE(DATE(YEAR(TODAY()),MONTH(TODAY()),1),15))-MONTH(IF(ISNUMBER(Suppliers!F43),Suppliers!F43,DATE(YEAR(TODAY()),MONTH(TODAY()),1))),12)=0,1,0),IF(Suppliers!E43="One-time",IF(15=0,1,0),1)))))),"")</f>
        <v/>
      </c>
      <c r="V45" s="10" t="str">
        <f ca="1">IFERROR(IF(OR(16&gt;=$B$1,Suppliers!A43="",NOT(ISNUMBER(Suppliers!D43)),Suppliers!L43="Expired",Suppliers!L43="Terminate"),"",Suppliers!D43*-1*IF(Suppliers!E43="Monthly",IF(AND(ISNUMBER(Suppliers!G43),(YEAR(EDATE(DATE(YEAR(TODAY()),MONTH(TODAY()),1),16))*12+MONTH(EDATE(DATE(YEAR(TODAY()),MONTH(TODAY()),1),16)))&gt;(YEAR(Suppliers!G43)*12+MONTH(Suppliers!G43))),"",1),IF(Suppliers!E43="Quarterly",IF(MOD((YEAR(EDATE(DATE(YEAR(TODAY()),MONTH(TODAY()),1),16))-YEAR(IF(ISNUMBER(Suppliers!F43),Suppliers!F43,DATE(YEAR(TODAY()),MONTH(TODAY()),1))))*12+MONTH(EDATE(DATE(YEAR(TODAY()),MONTH(TODAY()),1),16))-MONTH(IF(ISNUMBER(Suppliers!F43),Suppliers!F43,DATE(YEAR(TODAY()),MONTH(TODAY()),1))),3)=0,1,0),IF(Suppliers!E43="Semi-annual",IF(MOD((YEAR(EDATE(DATE(YEAR(TODAY()),MONTH(TODAY()),1),16))-YEAR(IF(ISNUMBER(Suppliers!F43),Suppliers!F43,DATE(YEAR(TODAY()),MONTH(TODAY()),1))))*12+MONTH(EDATE(DATE(YEAR(TODAY()),MONTH(TODAY()),1),16))-MONTH(IF(ISNUMBER(Suppliers!F43),Suppliers!F43,DATE(YEAR(TODAY()),MONTH(TODAY()),1))),6)=0,1,0),IF(Suppliers!E43="Annual",IF(MOD((YEAR(EDATE(DATE(YEAR(TODAY()),MONTH(TODAY()),1),16))-YEAR(IF(ISNUMBER(Suppliers!F43),Suppliers!F43,DATE(YEAR(TODAY()),MONTH(TODAY()),1))))*12+MONTH(EDATE(DATE(YEAR(TODAY()),MONTH(TODAY()),1),16))-MONTH(IF(ISNUMBER(Suppliers!F43),Suppliers!F43,DATE(YEAR(TODAY()),MONTH(TODAY()),1))),12)=0,1,0),IF(Suppliers!E43="One-time",IF(16=0,1,0),1)))))),"")</f>
        <v/>
      </c>
      <c r="W45" s="10" t="str">
        <f ca="1">IFERROR(IF(OR(17&gt;=$B$1,Suppliers!A43="",NOT(ISNUMBER(Suppliers!D43)),Suppliers!L43="Expired",Suppliers!L43="Terminate"),"",Suppliers!D43*-1*IF(Suppliers!E43="Monthly",IF(AND(ISNUMBER(Suppliers!G43),(YEAR(EDATE(DATE(YEAR(TODAY()),MONTH(TODAY()),1),17))*12+MONTH(EDATE(DATE(YEAR(TODAY()),MONTH(TODAY()),1),17)))&gt;(YEAR(Suppliers!G43)*12+MONTH(Suppliers!G43))),"",1),IF(Suppliers!E43="Quarterly",IF(MOD((YEAR(EDATE(DATE(YEAR(TODAY()),MONTH(TODAY()),1),17))-YEAR(IF(ISNUMBER(Suppliers!F43),Suppliers!F43,DATE(YEAR(TODAY()),MONTH(TODAY()),1))))*12+MONTH(EDATE(DATE(YEAR(TODAY()),MONTH(TODAY()),1),17))-MONTH(IF(ISNUMBER(Suppliers!F43),Suppliers!F43,DATE(YEAR(TODAY()),MONTH(TODAY()),1))),3)=0,1,0),IF(Suppliers!E43="Semi-annual",IF(MOD((YEAR(EDATE(DATE(YEAR(TODAY()),MONTH(TODAY()),1),17))-YEAR(IF(ISNUMBER(Suppliers!F43),Suppliers!F43,DATE(YEAR(TODAY()),MONTH(TODAY()),1))))*12+MONTH(EDATE(DATE(YEAR(TODAY()),MONTH(TODAY()),1),17))-MONTH(IF(ISNUMBER(Suppliers!F43),Suppliers!F43,DATE(YEAR(TODAY()),MONTH(TODAY()),1))),6)=0,1,0),IF(Suppliers!E43="Annual",IF(MOD((YEAR(EDATE(DATE(YEAR(TODAY()),MONTH(TODAY()),1),17))-YEAR(IF(ISNUMBER(Suppliers!F43),Suppliers!F43,DATE(YEAR(TODAY()),MONTH(TODAY()),1))))*12+MONTH(EDATE(DATE(YEAR(TODAY()),MONTH(TODAY()),1),17))-MONTH(IF(ISNUMBER(Suppliers!F43),Suppliers!F43,DATE(YEAR(TODAY()),MONTH(TODAY()),1))),12)=0,1,0),IF(Suppliers!E43="One-time",IF(17=0,1,0),1)))))),"")</f>
        <v/>
      </c>
      <c r="X45" s="10" t="str">
        <f ca="1">IFERROR(IF(OR(18&gt;=$B$1,Suppliers!A43="",NOT(ISNUMBER(Suppliers!D43)),Suppliers!L43="Expired",Suppliers!L43="Terminate"),"",Suppliers!D43*-1*IF(Suppliers!E43="Monthly",IF(AND(ISNUMBER(Suppliers!G43),(YEAR(EDATE(DATE(YEAR(TODAY()),MONTH(TODAY()),1),18))*12+MONTH(EDATE(DATE(YEAR(TODAY()),MONTH(TODAY()),1),18)))&gt;(YEAR(Suppliers!G43)*12+MONTH(Suppliers!G43))),"",1),IF(Suppliers!E43="Quarterly",IF(MOD((YEAR(EDATE(DATE(YEAR(TODAY()),MONTH(TODAY()),1),18))-YEAR(IF(ISNUMBER(Suppliers!F43),Suppliers!F43,DATE(YEAR(TODAY()),MONTH(TODAY()),1))))*12+MONTH(EDATE(DATE(YEAR(TODAY()),MONTH(TODAY()),1),18))-MONTH(IF(ISNUMBER(Suppliers!F43),Suppliers!F43,DATE(YEAR(TODAY()),MONTH(TODAY()),1))),3)=0,1,0),IF(Suppliers!E43="Semi-annual",IF(MOD((YEAR(EDATE(DATE(YEAR(TODAY()),MONTH(TODAY()),1),18))-YEAR(IF(ISNUMBER(Suppliers!F43),Suppliers!F43,DATE(YEAR(TODAY()),MONTH(TODAY()),1))))*12+MONTH(EDATE(DATE(YEAR(TODAY()),MONTH(TODAY()),1),18))-MONTH(IF(ISNUMBER(Suppliers!F43),Suppliers!F43,DATE(YEAR(TODAY()),MONTH(TODAY()),1))),6)=0,1,0),IF(Suppliers!E43="Annual",IF(MOD((YEAR(EDATE(DATE(YEAR(TODAY()),MONTH(TODAY()),1),18))-YEAR(IF(ISNUMBER(Suppliers!F43),Suppliers!F43,DATE(YEAR(TODAY()),MONTH(TODAY()),1))))*12+MONTH(EDATE(DATE(YEAR(TODAY()),MONTH(TODAY()),1),18))-MONTH(IF(ISNUMBER(Suppliers!F43),Suppliers!F43,DATE(YEAR(TODAY()),MONTH(TODAY()),1))),12)=0,1,0),IF(Suppliers!E43="One-time",IF(18=0,1,0),1)))))),"")</f>
        <v/>
      </c>
      <c r="Y45" s="10" t="str">
        <f ca="1">IFERROR(IF(OR(19&gt;=$B$1,Suppliers!A43="",NOT(ISNUMBER(Suppliers!D43)),Suppliers!L43="Expired",Suppliers!L43="Terminate"),"",Suppliers!D43*-1*IF(Suppliers!E43="Monthly",IF(AND(ISNUMBER(Suppliers!G43),(YEAR(EDATE(DATE(YEAR(TODAY()),MONTH(TODAY()),1),19))*12+MONTH(EDATE(DATE(YEAR(TODAY()),MONTH(TODAY()),1),19)))&gt;(YEAR(Suppliers!G43)*12+MONTH(Suppliers!G43))),"",1),IF(Suppliers!E43="Quarterly",IF(MOD((YEAR(EDATE(DATE(YEAR(TODAY()),MONTH(TODAY()),1),19))-YEAR(IF(ISNUMBER(Suppliers!F43),Suppliers!F43,DATE(YEAR(TODAY()),MONTH(TODAY()),1))))*12+MONTH(EDATE(DATE(YEAR(TODAY()),MONTH(TODAY()),1),19))-MONTH(IF(ISNUMBER(Suppliers!F43),Suppliers!F43,DATE(YEAR(TODAY()),MONTH(TODAY()),1))),3)=0,1,0),IF(Suppliers!E43="Semi-annual",IF(MOD((YEAR(EDATE(DATE(YEAR(TODAY()),MONTH(TODAY()),1),19))-YEAR(IF(ISNUMBER(Suppliers!F43),Suppliers!F43,DATE(YEAR(TODAY()),MONTH(TODAY()),1))))*12+MONTH(EDATE(DATE(YEAR(TODAY()),MONTH(TODAY()),1),19))-MONTH(IF(ISNUMBER(Suppliers!F43),Suppliers!F43,DATE(YEAR(TODAY()),MONTH(TODAY()),1))),6)=0,1,0),IF(Suppliers!E43="Annual",IF(MOD((YEAR(EDATE(DATE(YEAR(TODAY()),MONTH(TODAY()),1),19))-YEAR(IF(ISNUMBER(Suppliers!F43),Suppliers!F43,DATE(YEAR(TODAY()),MONTH(TODAY()),1))))*12+MONTH(EDATE(DATE(YEAR(TODAY()),MONTH(TODAY()),1),19))-MONTH(IF(ISNUMBER(Suppliers!F43),Suppliers!F43,DATE(YEAR(TODAY()),MONTH(TODAY()),1))),12)=0,1,0),IF(Suppliers!E43="One-time",IF(19=0,1,0),1)))))),"")</f>
        <v/>
      </c>
      <c r="Z45" s="10" t="str">
        <f ca="1">IFERROR(IF(OR(20&gt;=$B$1,Suppliers!A43="",NOT(ISNUMBER(Suppliers!D43)),Suppliers!L43="Expired",Suppliers!L43="Terminate"),"",Suppliers!D43*-1*IF(Suppliers!E43="Monthly",IF(AND(ISNUMBER(Suppliers!G43),(YEAR(EDATE(DATE(YEAR(TODAY()),MONTH(TODAY()),1),20))*12+MONTH(EDATE(DATE(YEAR(TODAY()),MONTH(TODAY()),1),20)))&gt;(YEAR(Suppliers!G43)*12+MONTH(Suppliers!G43))),"",1),IF(Suppliers!E43="Quarterly",IF(MOD((YEAR(EDATE(DATE(YEAR(TODAY()),MONTH(TODAY()),1),20))-YEAR(IF(ISNUMBER(Suppliers!F43),Suppliers!F43,DATE(YEAR(TODAY()),MONTH(TODAY()),1))))*12+MONTH(EDATE(DATE(YEAR(TODAY()),MONTH(TODAY()),1),20))-MONTH(IF(ISNUMBER(Suppliers!F43),Suppliers!F43,DATE(YEAR(TODAY()),MONTH(TODAY()),1))),3)=0,1,0),IF(Suppliers!E43="Semi-annual",IF(MOD((YEAR(EDATE(DATE(YEAR(TODAY()),MONTH(TODAY()),1),20))-YEAR(IF(ISNUMBER(Suppliers!F43),Suppliers!F43,DATE(YEAR(TODAY()),MONTH(TODAY()),1))))*12+MONTH(EDATE(DATE(YEAR(TODAY()),MONTH(TODAY()),1),20))-MONTH(IF(ISNUMBER(Suppliers!F43),Suppliers!F43,DATE(YEAR(TODAY()),MONTH(TODAY()),1))),6)=0,1,0),IF(Suppliers!E43="Annual",IF(MOD((YEAR(EDATE(DATE(YEAR(TODAY()),MONTH(TODAY()),1),20))-YEAR(IF(ISNUMBER(Suppliers!F43),Suppliers!F43,DATE(YEAR(TODAY()),MONTH(TODAY()),1))))*12+MONTH(EDATE(DATE(YEAR(TODAY()),MONTH(TODAY()),1),20))-MONTH(IF(ISNUMBER(Suppliers!F43),Suppliers!F43,DATE(YEAR(TODAY()),MONTH(TODAY()),1))),12)=0,1,0),IF(Suppliers!E43="One-time",IF(20=0,1,0),1)))))),"")</f>
        <v/>
      </c>
      <c r="AA45" s="10" t="str">
        <f ca="1">IFERROR(IF(OR(21&gt;=$B$1,Suppliers!A43="",NOT(ISNUMBER(Suppliers!D43)),Suppliers!L43="Expired",Suppliers!L43="Terminate"),"",Suppliers!D43*-1*IF(Suppliers!E43="Monthly",IF(AND(ISNUMBER(Suppliers!G43),(YEAR(EDATE(DATE(YEAR(TODAY()),MONTH(TODAY()),1),21))*12+MONTH(EDATE(DATE(YEAR(TODAY()),MONTH(TODAY()),1),21)))&gt;(YEAR(Suppliers!G43)*12+MONTH(Suppliers!G43))),"",1),IF(Suppliers!E43="Quarterly",IF(MOD((YEAR(EDATE(DATE(YEAR(TODAY()),MONTH(TODAY()),1),21))-YEAR(IF(ISNUMBER(Suppliers!F43),Suppliers!F43,DATE(YEAR(TODAY()),MONTH(TODAY()),1))))*12+MONTH(EDATE(DATE(YEAR(TODAY()),MONTH(TODAY()),1),21))-MONTH(IF(ISNUMBER(Suppliers!F43),Suppliers!F43,DATE(YEAR(TODAY()),MONTH(TODAY()),1))),3)=0,1,0),IF(Suppliers!E43="Semi-annual",IF(MOD((YEAR(EDATE(DATE(YEAR(TODAY()),MONTH(TODAY()),1),21))-YEAR(IF(ISNUMBER(Suppliers!F43),Suppliers!F43,DATE(YEAR(TODAY()),MONTH(TODAY()),1))))*12+MONTH(EDATE(DATE(YEAR(TODAY()),MONTH(TODAY()),1),21))-MONTH(IF(ISNUMBER(Suppliers!F43),Suppliers!F43,DATE(YEAR(TODAY()),MONTH(TODAY()),1))),6)=0,1,0),IF(Suppliers!E43="Annual",IF(MOD((YEAR(EDATE(DATE(YEAR(TODAY()),MONTH(TODAY()),1),21))-YEAR(IF(ISNUMBER(Suppliers!F43),Suppliers!F43,DATE(YEAR(TODAY()),MONTH(TODAY()),1))))*12+MONTH(EDATE(DATE(YEAR(TODAY()),MONTH(TODAY()),1),21))-MONTH(IF(ISNUMBER(Suppliers!F43),Suppliers!F43,DATE(YEAR(TODAY()),MONTH(TODAY()),1))),12)=0,1,0),IF(Suppliers!E43="One-time",IF(21=0,1,0),1)))))),"")</f>
        <v/>
      </c>
      <c r="AB45" s="10" t="str">
        <f ca="1">IFERROR(IF(OR(22&gt;=$B$1,Suppliers!A43="",NOT(ISNUMBER(Suppliers!D43)),Suppliers!L43="Expired",Suppliers!L43="Terminate"),"",Suppliers!D43*-1*IF(Suppliers!E43="Monthly",IF(AND(ISNUMBER(Suppliers!G43),(YEAR(EDATE(DATE(YEAR(TODAY()),MONTH(TODAY()),1),22))*12+MONTH(EDATE(DATE(YEAR(TODAY()),MONTH(TODAY()),1),22)))&gt;(YEAR(Suppliers!G43)*12+MONTH(Suppliers!G43))),"",1),IF(Suppliers!E43="Quarterly",IF(MOD((YEAR(EDATE(DATE(YEAR(TODAY()),MONTH(TODAY()),1),22))-YEAR(IF(ISNUMBER(Suppliers!F43),Suppliers!F43,DATE(YEAR(TODAY()),MONTH(TODAY()),1))))*12+MONTH(EDATE(DATE(YEAR(TODAY()),MONTH(TODAY()),1),22))-MONTH(IF(ISNUMBER(Suppliers!F43),Suppliers!F43,DATE(YEAR(TODAY()),MONTH(TODAY()),1))),3)=0,1,0),IF(Suppliers!E43="Semi-annual",IF(MOD((YEAR(EDATE(DATE(YEAR(TODAY()),MONTH(TODAY()),1),22))-YEAR(IF(ISNUMBER(Suppliers!F43),Suppliers!F43,DATE(YEAR(TODAY()),MONTH(TODAY()),1))))*12+MONTH(EDATE(DATE(YEAR(TODAY()),MONTH(TODAY()),1),22))-MONTH(IF(ISNUMBER(Suppliers!F43),Suppliers!F43,DATE(YEAR(TODAY()),MONTH(TODAY()),1))),6)=0,1,0),IF(Suppliers!E43="Annual",IF(MOD((YEAR(EDATE(DATE(YEAR(TODAY()),MONTH(TODAY()),1),22))-YEAR(IF(ISNUMBER(Suppliers!F43),Suppliers!F43,DATE(YEAR(TODAY()),MONTH(TODAY()),1))))*12+MONTH(EDATE(DATE(YEAR(TODAY()),MONTH(TODAY()),1),22))-MONTH(IF(ISNUMBER(Suppliers!F43),Suppliers!F43,DATE(YEAR(TODAY()),MONTH(TODAY()),1))),12)=0,1,0),IF(Suppliers!E43="One-time",IF(22=0,1,0),1)))))),"")</f>
        <v/>
      </c>
      <c r="AC45" s="10" t="str">
        <f ca="1">IFERROR(IF(OR(23&gt;=$B$1,Suppliers!A43="",NOT(ISNUMBER(Suppliers!D43)),Suppliers!L43="Expired",Suppliers!L43="Terminate"),"",Suppliers!D43*-1*IF(Suppliers!E43="Monthly",IF(AND(ISNUMBER(Suppliers!G43),(YEAR(EDATE(DATE(YEAR(TODAY()),MONTH(TODAY()),1),23))*12+MONTH(EDATE(DATE(YEAR(TODAY()),MONTH(TODAY()),1),23)))&gt;(YEAR(Suppliers!G43)*12+MONTH(Suppliers!G43))),"",1),IF(Suppliers!E43="Quarterly",IF(MOD((YEAR(EDATE(DATE(YEAR(TODAY()),MONTH(TODAY()),1),23))-YEAR(IF(ISNUMBER(Suppliers!F43),Suppliers!F43,DATE(YEAR(TODAY()),MONTH(TODAY()),1))))*12+MONTH(EDATE(DATE(YEAR(TODAY()),MONTH(TODAY()),1),23))-MONTH(IF(ISNUMBER(Suppliers!F43),Suppliers!F43,DATE(YEAR(TODAY()),MONTH(TODAY()),1))),3)=0,1,0),IF(Suppliers!E43="Semi-annual",IF(MOD((YEAR(EDATE(DATE(YEAR(TODAY()),MONTH(TODAY()),1),23))-YEAR(IF(ISNUMBER(Suppliers!F43),Suppliers!F43,DATE(YEAR(TODAY()),MONTH(TODAY()),1))))*12+MONTH(EDATE(DATE(YEAR(TODAY()),MONTH(TODAY()),1),23))-MONTH(IF(ISNUMBER(Suppliers!F43),Suppliers!F43,DATE(YEAR(TODAY()),MONTH(TODAY()),1))),6)=0,1,0),IF(Suppliers!E43="Annual",IF(MOD((YEAR(EDATE(DATE(YEAR(TODAY()),MONTH(TODAY()),1),23))-YEAR(IF(ISNUMBER(Suppliers!F43),Suppliers!F43,DATE(YEAR(TODAY()),MONTH(TODAY()),1))))*12+MONTH(EDATE(DATE(YEAR(TODAY()),MONTH(TODAY()),1),23))-MONTH(IF(ISNUMBER(Suppliers!F43),Suppliers!F43,DATE(YEAR(TODAY()),MONTH(TODAY()),1))),12)=0,1,0),IF(Suppliers!E43="One-time",IF(23=0,1,0),1)))))),"")</f>
        <v/>
      </c>
    </row>
    <row r="46" spans="1:29" ht="15" customHeight="1" x14ac:dyDescent="0.35">
      <c r="A46" s="4" t="s">
        <v>80</v>
      </c>
      <c r="B46" s="4" t="str">
        <f>IF(Suppliers!A44="","",Suppliers!A44)</f>
        <v/>
      </c>
      <c r="C46" s="10" t="str">
        <f>IF(Suppliers!C44="","",Suppliers!C44)</f>
        <v/>
      </c>
      <c r="D46" s="10" t="str">
        <f>IF(Suppliers!D44="","",Suppliers!D44)</f>
        <v/>
      </c>
      <c r="E46" s="4" t="str">
        <f>IF(Suppliers!E44="","",Suppliers!E44)</f>
        <v/>
      </c>
      <c r="F46" s="10" t="str">
        <f ca="1">IFERROR(IF(OR(0&gt;=$B$1,Suppliers!A44="",NOT(ISNUMBER(Suppliers!D44)),Suppliers!L44="Expired",Suppliers!L44="Terminate"),"",Suppliers!D44*-1*IF(Suppliers!E44="Monthly",IF(AND(ISNUMBER(Suppliers!G44),(YEAR(EDATE(DATE(YEAR(TODAY()),MONTH(TODAY()),1),0))*12+MONTH(EDATE(DATE(YEAR(TODAY()),MONTH(TODAY()),1),0)))&gt;(YEAR(Suppliers!G44)*12+MONTH(Suppliers!G44))),"",1),IF(Suppliers!E44="Quarterly",IF(MOD((YEAR(EDATE(DATE(YEAR(TODAY()),MONTH(TODAY()),1),0))-YEAR(IF(ISNUMBER(Suppliers!F44),Suppliers!F44,DATE(YEAR(TODAY()),MONTH(TODAY()),1))))*12+MONTH(EDATE(DATE(YEAR(TODAY()),MONTH(TODAY()),1),0))-MONTH(IF(ISNUMBER(Suppliers!F44),Suppliers!F44,DATE(YEAR(TODAY()),MONTH(TODAY()),1))),3)=0,1,0),IF(Suppliers!E44="Semi-annual",IF(MOD((YEAR(EDATE(DATE(YEAR(TODAY()),MONTH(TODAY()),1),0))-YEAR(IF(ISNUMBER(Suppliers!F44),Suppliers!F44,DATE(YEAR(TODAY()),MONTH(TODAY()),1))))*12+MONTH(EDATE(DATE(YEAR(TODAY()),MONTH(TODAY()),1),0))-MONTH(IF(ISNUMBER(Suppliers!F44),Suppliers!F44,DATE(YEAR(TODAY()),MONTH(TODAY()),1))),6)=0,1,0),IF(Suppliers!E44="Annual",IF(MOD((YEAR(EDATE(DATE(YEAR(TODAY()),MONTH(TODAY()),1),0))-YEAR(IF(ISNUMBER(Suppliers!F44),Suppliers!F44,DATE(YEAR(TODAY()),MONTH(TODAY()),1))))*12+MONTH(EDATE(DATE(YEAR(TODAY()),MONTH(TODAY()),1),0))-MONTH(IF(ISNUMBER(Suppliers!F44),Suppliers!F44,DATE(YEAR(TODAY()),MONTH(TODAY()),1))),12)=0,1,0),IF(Suppliers!E44="One-time",IF(0=0,1,0),1)))))),"")</f>
        <v/>
      </c>
      <c r="G46" s="10" t="str">
        <f ca="1">IFERROR(IF(OR(1&gt;=$B$1,Suppliers!A44="",NOT(ISNUMBER(Suppliers!D44)),Suppliers!L44="Expired",Suppliers!L44="Terminate"),"",Suppliers!D44*-1*IF(Suppliers!E44="Monthly",IF(AND(ISNUMBER(Suppliers!G44),(YEAR(EDATE(DATE(YEAR(TODAY()),MONTH(TODAY()),1),1))*12+MONTH(EDATE(DATE(YEAR(TODAY()),MONTH(TODAY()),1),1)))&gt;(YEAR(Suppliers!G44)*12+MONTH(Suppliers!G44))),"",1),IF(Suppliers!E44="Quarterly",IF(MOD((YEAR(EDATE(DATE(YEAR(TODAY()),MONTH(TODAY()),1),1))-YEAR(IF(ISNUMBER(Suppliers!F44),Suppliers!F44,DATE(YEAR(TODAY()),MONTH(TODAY()),1))))*12+MONTH(EDATE(DATE(YEAR(TODAY()),MONTH(TODAY()),1),1))-MONTH(IF(ISNUMBER(Suppliers!F44),Suppliers!F44,DATE(YEAR(TODAY()),MONTH(TODAY()),1))),3)=0,1,0),IF(Suppliers!E44="Semi-annual",IF(MOD((YEAR(EDATE(DATE(YEAR(TODAY()),MONTH(TODAY()),1),1))-YEAR(IF(ISNUMBER(Suppliers!F44),Suppliers!F44,DATE(YEAR(TODAY()),MONTH(TODAY()),1))))*12+MONTH(EDATE(DATE(YEAR(TODAY()),MONTH(TODAY()),1),1))-MONTH(IF(ISNUMBER(Suppliers!F44),Suppliers!F44,DATE(YEAR(TODAY()),MONTH(TODAY()),1))),6)=0,1,0),IF(Suppliers!E44="Annual",IF(MOD((YEAR(EDATE(DATE(YEAR(TODAY()),MONTH(TODAY()),1),1))-YEAR(IF(ISNUMBER(Suppliers!F44),Suppliers!F44,DATE(YEAR(TODAY()),MONTH(TODAY()),1))))*12+MONTH(EDATE(DATE(YEAR(TODAY()),MONTH(TODAY()),1),1))-MONTH(IF(ISNUMBER(Suppliers!F44),Suppliers!F44,DATE(YEAR(TODAY()),MONTH(TODAY()),1))),12)=0,1,0),IF(Suppliers!E44="One-time",IF(1=0,1,0),1)))))),"")</f>
        <v/>
      </c>
      <c r="H46" s="10" t="str">
        <f ca="1">IFERROR(IF(OR(2&gt;=$B$1,Suppliers!A44="",NOT(ISNUMBER(Suppliers!D44)),Suppliers!L44="Expired",Suppliers!L44="Terminate"),"",Suppliers!D44*-1*IF(Suppliers!E44="Monthly",IF(AND(ISNUMBER(Suppliers!G44),(YEAR(EDATE(DATE(YEAR(TODAY()),MONTH(TODAY()),1),2))*12+MONTH(EDATE(DATE(YEAR(TODAY()),MONTH(TODAY()),1),2)))&gt;(YEAR(Suppliers!G44)*12+MONTH(Suppliers!G44))),"",1),IF(Suppliers!E44="Quarterly",IF(MOD((YEAR(EDATE(DATE(YEAR(TODAY()),MONTH(TODAY()),1),2))-YEAR(IF(ISNUMBER(Suppliers!F44),Suppliers!F44,DATE(YEAR(TODAY()),MONTH(TODAY()),1))))*12+MONTH(EDATE(DATE(YEAR(TODAY()),MONTH(TODAY()),1),2))-MONTH(IF(ISNUMBER(Suppliers!F44),Suppliers!F44,DATE(YEAR(TODAY()),MONTH(TODAY()),1))),3)=0,1,0),IF(Suppliers!E44="Semi-annual",IF(MOD((YEAR(EDATE(DATE(YEAR(TODAY()),MONTH(TODAY()),1),2))-YEAR(IF(ISNUMBER(Suppliers!F44),Suppliers!F44,DATE(YEAR(TODAY()),MONTH(TODAY()),1))))*12+MONTH(EDATE(DATE(YEAR(TODAY()),MONTH(TODAY()),1),2))-MONTH(IF(ISNUMBER(Suppliers!F44),Suppliers!F44,DATE(YEAR(TODAY()),MONTH(TODAY()),1))),6)=0,1,0),IF(Suppliers!E44="Annual",IF(MOD((YEAR(EDATE(DATE(YEAR(TODAY()),MONTH(TODAY()),1),2))-YEAR(IF(ISNUMBER(Suppliers!F44),Suppliers!F44,DATE(YEAR(TODAY()),MONTH(TODAY()),1))))*12+MONTH(EDATE(DATE(YEAR(TODAY()),MONTH(TODAY()),1),2))-MONTH(IF(ISNUMBER(Suppliers!F44),Suppliers!F44,DATE(YEAR(TODAY()),MONTH(TODAY()),1))),12)=0,1,0),IF(Suppliers!E44="One-time",IF(2=0,1,0),1)))))),"")</f>
        <v/>
      </c>
      <c r="I46" s="10" t="str">
        <f ca="1">IFERROR(IF(OR(3&gt;=$B$1,Suppliers!A44="",NOT(ISNUMBER(Suppliers!D44)),Suppliers!L44="Expired",Suppliers!L44="Terminate"),"",Suppliers!D44*-1*IF(Suppliers!E44="Monthly",IF(AND(ISNUMBER(Suppliers!G44),(YEAR(EDATE(DATE(YEAR(TODAY()),MONTH(TODAY()),1),3))*12+MONTH(EDATE(DATE(YEAR(TODAY()),MONTH(TODAY()),1),3)))&gt;(YEAR(Suppliers!G44)*12+MONTH(Suppliers!G44))),"",1),IF(Suppliers!E44="Quarterly",IF(MOD((YEAR(EDATE(DATE(YEAR(TODAY()),MONTH(TODAY()),1),3))-YEAR(IF(ISNUMBER(Suppliers!F44),Suppliers!F44,DATE(YEAR(TODAY()),MONTH(TODAY()),1))))*12+MONTH(EDATE(DATE(YEAR(TODAY()),MONTH(TODAY()),1),3))-MONTH(IF(ISNUMBER(Suppliers!F44),Suppliers!F44,DATE(YEAR(TODAY()),MONTH(TODAY()),1))),3)=0,1,0),IF(Suppliers!E44="Semi-annual",IF(MOD((YEAR(EDATE(DATE(YEAR(TODAY()),MONTH(TODAY()),1),3))-YEAR(IF(ISNUMBER(Suppliers!F44),Suppliers!F44,DATE(YEAR(TODAY()),MONTH(TODAY()),1))))*12+MONTH(EDATE(DATE(YEAR(TODAY()),MONTH(TODAY()),1),3))-MONTH(IF(ISNUMBER(Suppliers!F44),Suppliers!F44,DATE(YEAR(TODAY()),MONTH(TODAY()),1))),6)=0,1,0),IF(Suppliers!E44="Annual",IF(MOD((YEAR(EDATE(DATE(YEAR(TODAY()),MONTH(TODAY()),1),3))-YEAR(IF(ISNUMBER(Suppliers!F44),Suppliers!F44,DATE(YEAR(TODAY()),MONTH(TODAY()),1))))*12+MONTH(EDATE(DATE(YEAR(TODAY()),MONTH(TODAY()),1),3))-MONTH(IF(ISNUMBER(Suppliers!F44),Suppliers!F44,DATE(YEAR(TODAY()),MONTH(TODAY()),1))),12)=0,1,0),IF(Suppliers!E44="One-time",IF(3=0,1,0),1)))))),"")</f>
        <v/>
      </c>
      <c r="J46" s="10" t="str">
        <f ca="1">IFERROR(IF(OR(4&gt;=$B$1,Suppliers!A44="",NOT(ISNUMBER(Suppliers!D44)),Suppliers!L44="Expired",Suppliers!L44="Terminate"),"",Suppliers!D44*-1*IF(Suppliers!E44="Monthly",IF(AND(ISNUMBER(Suppliers!G44),(YEAR(EDATE(DATE(YEAR(TODAY()),MONTH(TODAY()),1),4))*12+MONTH(EDATE(DATE(YEAR(TODAY()),MONTH(TODAY()),1),4)))&gt;(YEAR(Suppliers!G44)*12+MONTH(Suppliers!G44))),"",1),IF(Suppliers!E44="Quarterly",IF(MOD((YEAR(EDATE(DATE(YEAR(TODAY()),MONTH(TODAY()),1),4))-YEAR(IF(ISNUMBER(Suppliers!F44),Suppliers!F44,DATE(YEAR(TODAY()),MONTH(TODAY()),1))))*12+MONTH(EDATE(DATE(YEAR(TODAY()),MONTH(TODAY()),1),4))-MONTH(IF(ISNUMBER(Suppliers!F44),Suppliers!F44,DATE(YEAR(TODAY()),MONTH(TODAY()),1))),3)=0,1,0),IF(Suppliers!E44="Semi-annual",IF(MOD((YEAR(EDATE(DATE(YEAR(TODAY()),MONTH(TODAY()),1),4))-YEAR(IF(ISNUMBER(Suppliers!F44),Suppliers!F44,DATE(YEAR(TODAY()),MONTH(TODAY()),1))))*12+MONTH(EDATE(DATE(YEAR(TODAY()),MONTH(TODAY()),1),4))-MONTH(IF(ISNUMBER(Suppliers!F44),Suppliers!F44,DATE(YEAR(TODAY()),MONTH(TODAY()),1))),6)=0,1,0),IF(Suppliers!E44="Annual",IF(MOD((YEAR(EDATE(DATE(YEAR(TODAY()),MONTH(TODAY()),1),4))-YEAR(IF(ISNUMBER(Suppliers!F44),Suppliers!F44,DATE(YEAR(TODAY()),MONTH(TODAY()),1))))*12+MONTH(EDATE(DATE(YEAR(TODAY()),MONTH(TODAY()),1),4))-MONTH(IF(ISNUMBER(Suppliers!F44),Suppliers!F44,DATE(YEAR(TODAY()),MONTH(TODAY()),1))),12)=0,1,0),IF(Suppliers!E44="One-time",IF(4=0,1,0),1)))))),"")</f>
        <v/>
      </c>
      <c r="K46" s="10" t="str">
        <f ca="1">IFERROR(IF(OR(5&gt;=$B$1,Suppliers!A44="",NOT(ISNUMBER(Suppliers!D44)),Suppliers!L44="Expired",Suppliers!L44="Terminate"),"",Suppliers!D44*-1*IF(Suppliers!E44="Monthly",IF(AND(ISNUMBER(Suppliers!G44),(YEAR(EDATE(DATE(YEAR(TODAY()),MONTH(TODAY()),1),5))*12+MONTH(EDATE(DATE(YEAR(TODAY()),MONTH(TODAY()),1),5)))&gt;(YEAR(Suppliers!G44)*12+MONTH(Suppliers!G44))),"",1),IF(Suppliers!E44="Quarterly",IF(MOD((YEAR(EDATE(DATE(YEAR(TODAY()),MONTH(TODAY()),1),5))-YEAR(IF(ISNUMBER(Suppliers!F44),Suppliers!F44,DATE(YEAR(TODAY()),MONTH(TODAY()),1))))*12+MONTH(EDATE(DATE(YEAR(TODAY()),MONTH(TODAY()),1),5))-MONTH(IF(ISNUMBER(Suppliers!F44),Suppliers!F44,DATE(YEAR(TODAY()),MONTH(TODAY()),1))),3)=0,1,0),IF(Suppliers!E44="Semi-annual",IF(MOD((YEAR(EDATE(DATE(YEAR(TODAY()),MONTH(TODAY()),1),5))-YEAR(IF(ISNUMBER(Suppliers!F44),Suppliers!F44,DATE(YEAR(TODAY()),MONTH(TODAY()),1))))*12+MONTH(EDATE(DATE(YEAR(TODAY()),MONTH(TODAY()),1),5))-MONTH(IF(ISNUMBER(Suppliers!F44),Suppliers!F44,DATE(YEAR(TODAY()),MONTH(TODAY()),1))),6)=0,1,0),IF(Suppliers!E44="Annual",IF(MOD((YEAR(EDATE(DATE(YEAR(TODAY()),MONTH(TODAY()),1),5))-YEAR(IF(ISNUMBER(Suppliers!F44),Suppliers!F44,DATE(YEAR(TODAY()),MONTH(TODAY()),1))))*12+MONTH(EDATE(DATE(YEAR(TODAY()),MONTH(TODAY()),1),5))-MONTH(IF(ISNUMBER(Suppliers!F44),Suppliers!F44,DATE(YEAR(TODAY()),MONTH(TODAY()),1))),12)=0,1,0),IF(Suppliers!E44="One-time",IF(5=0,1,0),1)))))),"")</f>
        <v/>
      </c>
      <c r="L46" s="10" t="str">
        <f ca="1">IFERROR(IF(OR(6&gt;=$B$1,Suppliers!A44="",NOT(ISNUMBER(Suppliers!D44)),Suppliers!L44="Expired",Suppliers!L44="Terminate"),"",Suppliers!D44*-1*IF(Suppliers!E44="Monthly",IF(AND(ISNUMBER(Suppliers!G44),(YEAR(EDATE(DATE(YEAR(TODAY()),MONTH(TODAY()),1),6))*12+MONTH(EDATE(DATE(YEAR(TODAY()),MONTH(TODAY()),1),6)))&gt;(YEAR(Suppliers!G44)*12+MONTH(Suppliers!G44))),"",1),IF(Suppliers!E44="Quarterly",IF(MOD((YEAR(EDATE(DATE(YEAR(TODAY()),MONTH(TODAY()),1),6))-YEAR(IF(ISNUMBER(Suppliers!F44),Suppliers!F44,DATE(YEAR(TODAY()),MONTH(TODAY()),1))))*12+MONTH(EDATE(DATE(YEAR(TODAY()),MONTH(TODAY()),1),6))-MONTH(IF(ISNUMBER(Suppliers!F44),Suppliers!F44,DATE(YEAR(TODAY()),MONTH(TODAY()),1))),3)=0,1,0),IF(Suppliers!E44="Semi-annual",IF(MOD((YEAR(EDATE(DATE(YEAR(TODAY()),MONTH(TODAY()),1),6))-YEAR(IF(ISNUMBER(Suppliers!F44),Suppliers!F44,DATE(YEAR(TODAY()),MONTH(TODAY()),1))))*12+MONTH(EDATE(DATE(YEAR(TODAY()),MONTH(TODAY()),1),6))-MONTH(IF(ISNUMBER(Suppliers!F44),Suppliers!F44,DATE(YEAR(TODAY()),MONTH(TODAY()),1))),6)=0,1,0),IF(Suppliers!E44="Annual",IF(MOD((YEAR(EDATE(DATE(YEAR(TODAY()),MONTH(TODAY()),1),6))-YEAR(IF(ISNUMBER(Suppliers!F44),Suppliers!F44,DATE(YEAR(TODAY()),MONTH(TODAY()),1))))*12+MONTH(EDATE(DATE(YEAR(TODAY()),MONTH(TODAY()),1),6))-MONTH(IF(ISNUMBER(Suppliers!F44),Suppliers!F44,DATE(YEAR(TODAY()),MONTH(TODAY()),1))),12)=0,1,0),IF(Suppliers!E44="One-time",IF(6=0,1,0),1)))))),"")</f>
        <v/>
      </c>
      <c r="M46" s="10" t="str">
        <f ca="1">IFERROR(IF(OR(7&gt;=$B$1,Suppliers!A44="",NOT(ISNUMBER(Suppliers!D44)),Suppliers!L44="Expired",Suppliers!L44="Terminate"),"",Suppliers!D44*-1*IF(Suppliers!E44="Monthly",IF(AND(ISNUMBER(Suppliers!G44),(YEAR(EDATE(DATE(YEAR(TODAY()),MONTH(TODAY()),1),7))*12+MONTH(EDATE(DATE(YEAR(TODAY()),MONTH(TODAY()),1),7)))&gt;(YEAR(Suppliers!G44)*12+MONTH(Suppliers!G44))),"",1),IF(Suppliers!E44="Quarterly",IF(MOD((YEAR(EDATE(DATE(YEAR(TODAY()),MONTH(TODAY()),1),7))-YEAR(IF(ISNUMBER(Suppliers!F44),Suppliers!F44,DATE(YEAR(TODAY()),MONTH(TODAY()),1))))*12+MONTH(EDATE(DATE(YEAR(TODAY()),MONTH(TODAY()),1),7))-MONTH(IF(ISNUMBER(Suppliers!F44),Suppliers!F44,DATE(YEAR(TODAY()),MONTH(TODAY()),1))),3)=0,1,0),IF(Suppliers!E44="Semi-annual",IF(MOD((YEAR(EDATE(DATE(YEAR(TODAY()),MONTH(TODAY()),1),7))-YEAR(IF(ISNUMBER(Suppliers!F44),Suppliers!F44,DATE(YEAR(TODAY()),MONTH(TODAY()),1))))*12+MONTH(EDATE(DATE(YEAR(TODAY()),MONTH(TODAY()),1),7))-MONTH(IF(ISNUMBER(Suppliers!F44),Suppliers!F44,DATE(YEAR(TODAY()),MONTH(TODAY()),1))),6)=0,1,0),IF(Suppliers!E44="Annual",IF(MOD((YEAR(EDATE(DATE(YEAR(TODAY()),MONTH(TODAY()),1),7))-YEAR(IF(ISNUMBER(Suppliers!F44),Suppliers!F44,DATE(YEAR(TODAY()),MONTH(TODAY()),1))))*12+MONTH(EDATE(DATE(YEAR(TODAY()),MONTH(TODAY()),1),7))-MONTH(IF(ISNUMBER(Suppliers!F44),Suppliers!F44,DATE(YEAR(TODAY()),MONTH(TODAY()),1))),12)=0,1,0),IF(Suppliers!E44="One-time",IF(7=0,1,0),1)))))),"")</f>
        <v/>
      </c>
      <c r="N46" s="10" t="str">
        <f ca="1">IFERROR(IF(OR(8&gt;=$B$1,Suppliers!A44="",NOT(ISNUMBER(Suppliers!D44)),Suppliers!L44="Expired",Suppliers!L44="Terminate"),"",Suppliers!D44*-1*IF(Suppliers!E44="Monthly",IF(AND(ISNUMBER(Suppliers!G44),(YEAR(EDATE(DATE(YEAR(TODAY()),MONTH(TODAY()),1),8))*12+MONTH(EDATE(DATE(YEAR(TODAY()),MONTH(TODAY()),1),8)))&gt;(YEAR(Suppliers!G44)*12+MONTH(Suppliers!G44))),"",1),IF(Suppliers!E44="Quarterly",IF(MOD((YEAR(EDATE(DATE(YEAR(TODAY()),MONTH(TODAY()),1),8))-YEAR(IF(ISNUMBER(Suppliers!F44),Suppliers!F44,DATE(YEAR(TODAY()),MONTH(TODAY()),1))))*12+MONTH(EDATE(DATE(YEAR(TODAY()),MONTH(TODAY()),1),8))-MONTH(IF(ISNUMBER(Suppliers!F44),Suppliers!F44,DATE(YEAR(TODAY()),MONTH(TODAY()),1))),3)=0,1,0),IF(Suppliers!E44="Semi-annual",IF(MOD((YEAR(EDATE(DATE(YEAR(TODAY()),MONTH(TODAY()),1),8))-YEAR(IF(ISNUMBER(Suppliers!F44),Suppliers!F44,DATE(YEAR(TODAY()),MONTH(TODAY()),1))))*12+MONTH(EDATE(DATE(YEAR(TODAY()),MONTH(TODAY()),1),8))-MONTH(IF(ISNUMBER(Suppliers!F44),Suppliers!F44,DATE(YEAR(TODAY()),MONTH(TODAY()),1))),6)=0,1,0),IF(Suppliers!E44="Annual",IF(MOD((YEAR(EDATE(DATE(YEAR(TODAY()),MONTH(TODAY()),1),8))-YEAR(IF(ISNUMBER(Suppliers!F44),Suppliers!F44,DATE(YEAR(TODAY()),MONTH(TODAY()),1))))*12+MONTH(EDATE(DATE(YEAR(TODAY()),MONTH(TODAY()),1),8))-MONTH(IF(ISNUMBER(Suppliers!F44),Suppliers!F44,DATE(YEAR(TODAY()),MONTH(TODAY()),1))),12)=0,1,0),IF(Suppliers!E44="One-time",IF(8=0,1,0),1)))))),"")</f>
        <v/>
      </c>
      <c r="O46" s="10" t="str">
        <f ca="1">IFERROR(IF(OR(9&gt;=$B$1,Suppliers!A44="",NOT(ISNUMBER(Suppliers!D44)),Suppliers!L44="Expired",Suppliers!L44="Terminate"),"",Suppliers!D44*-1*IF(Suppliers!E44="Monthly",IF(AND(ISNUMBER(Suppliers!G44),(YEAR(EDATE(DATE(YEAR(TODAY()),MONTH(TODAY()),1),9))*12+MONTH(EDATE(DATE(YEAR(TODAY()),MONTH(TODAY()),1),9)))&gt;(YEAR(Suppliers!G44)*12+MONTH(Suppliers!G44))),"",1),IF(Suppliers!E44="Quarterly",IF(MOD((YEAR(EDATE(DATE(YEAR(TODAY()),MONTH(TODAY()),1),9))-YEAR(IF(ISNUMBER(Suppliers!F44),Suppliers!F44,DATE(YEAR(TODAY()),MONTH(TODAY()),1))))*12+MONTH(EDATE(DATE(YEAR(TODAY()),MONTH(TODAY()),1),9))-MONTH(IF(ISNUMBER(Suppliers!F44),Suppliers!F44,DATE(YEAR(TODAY()),MONTH(TODAY()),1))),3)=0,1,0),IF(Suppliers!E44="Semi-annual",IF(MOD((YEAR(EDATE(DATE(YEAR(TODAY()),MONTH(TODAY()),1),9))-YEAR(IF(ISNUMBER(Suppliers!F44),Suppliers!F44,DATE(YEAR(TODAY()),MONTH(TODAY()),1))))*12+MONTH(EDATE(DATE(YEAR(TODAY()),MONTH(TODAY()),1),9))-MONTH(IF(ISNUMBER(Suppliers!F44),Suppliers!F44,DATE(YEAR(TODAY()),MONTH(TODAY()),1))),6)=0,1,0),IF(Suppliers!E44="Annual",IF(MOD((YEAR(EDATE(DATE(YEAR(TODAY()),MONTH(TODAY()),1),9))-YEAR(IF(ISNUMBER(Suppliers!F44),Suppliers!F44,DATE(YEAR(TODAY()),MONTH(TODAY()),1))))*12+MONTH(EDATE(DATE(YEAR(TODAY()),MONTH(TODAY()),1),9))-MONTH(IF(ISNUMBER(Suppliers!F44),Suppliers!F44,DATE(YEAR(TODAY()),MONTH(TODAY()),1))),12)=0,1,0),IF(Suppliers!E44="One-time",IF(9=0,1,0),1)))))),"")</f>
        <v/>
      </c>
      <c r="P46" s="10" t="str">
        <f ca="1">IFERROR(IF(OR(10&gt;=$B$1,Suppliers!A44="",NOT(ISNUMBER(Suppliers!D44)),Suppliers!L44="Expired",Suppliers!L44="Terminate"),"",Suppliers!D44*-1*IF(Suppliers!E44="Monthly",IF(AND(ISNUMBER(Suppliers!G44),(YEAR(EDATE(DATE(YEAR(TODAY()),MONTH(TODAY()),1),10))*12+MONTH(EDATE(DATE(YEAR(TODAY()),MONTH(TODAY()),1),10)))&gt;(YEAR(Suppliers!G44)*12+MONTH(Suppliers!G44))),"",1),IF(Suppliers!E44="Quarterly",IF(MOD((YEAR(EDATE(DATE(YEAR(TODAY()),MONTH(TODAY()),1),10))-YEAR(IF(ISNUMBER(Suppliers!F44),Suppliers!F44,DATE(YEAR(TODAY()),MONTH(TODAY()),1))))*12+MONTH(EDATE(DATE(YEAR(TODAY()),MONTH(TODAY()),1),10))-MONTH(IF(ISNUMBER(Suppliers!F44),Suppliers!F44,DATE(YEAR(TODAY()),MONTH(TODAY()),1))),3)=0,1,0),IF(Suppliers!E44="Semi-annual",IF(MOD((YEAR(EDATE(DATE(YEAR(TODAY()),MONTH(TODAY()),1),10))-YEAR(IF(ISNUMBER(Suppliers!F44),Suppliers!F44,DATE(YEAR(TODAY()),MONTH(TODAY()),1))))*12+MONTH(EDATE(DATE(YEAR(TODAY()),MONTH(TODAY()),1),10))-MONTH(IF(ISNUMBER(Suppliers!F44),Suppliers!F44,DATE(YEAR(TODAY()),MONTH(TODAY()),1))),6)=0,1,0),IF(Suppliers!E44="Annual",IF(MOD((YEAR(EDATE(DATE(YEAR(TODAY()),MONTH(TODAY()),1),10))-YEAR(IF(ISNUMBER(Suppliers!F44),Suppliers!F44,DATE(YEAR(TODAY()),MONTH(TODAY()),1))))*12+MONTH(EDATE(DATE(YEAR(TODAY()),MONTH(TODAY()),1),10))-MONTH(IF(ISNUMBER(Suppliers!F44),Suppliers!F44,DATE(YEAR(TODAY()),MONTH(TODAY()),1))),12)=0,1,0),IF(Suppliers!E44="One-time",IF(10=0,1,0),1)))))),"")</f>
        <v/>
      </c>
      <c r="Q46" s="10" t="str">
        <f ca="1">IFERROR(IF(OR(11&gt;=$B$1,Suppliers!A44="",NOT(ISNUMBER(Suppliers!D44)),Suppliers!L44="Expired",Suppliers!L44="Terminate"),"",Suppliers!D44*-1*IF(Suppliers!E44="Monthly",IF(AND(ISNUMBER(Suppliers!G44),(YEAR(EDATE(DATE(YEAR(TODAY()),MONTH(TODAY()),1),11))*12+MONTH(EDATE(DATE(YEAR(TODAY()),MONTH(TODAY()),1),11)))&gt;(YEAR(Suppliers!G44)*12+MONTH(Suppliers!G44))),"",1),IF(Suppliers!E44="Quarterly",IF(MOD((YEAR(EDATE(DATE(YEAR(TODAY()),MONTH(TODAY()),1),11))-YEAR(IF(ISNUMBER(Suppliers!F44),Suppliers!F44,DATE(YEAR(TODAY()),MONTH(TODAY()),1))))*12+MONTH(EDATE(DATE(YEAR(TODAY()),MONTH(TODAY()),1),11))-MONTH(IF(ISNUMBER(Suppliers!F44),Suppliers!F44,DATE(YEAR(TODAY()),MONTH(TODAY()),1))),3)=0,1,0),IF(Suppliers!E44="Semi-annual",IF(MOD((YEAR(EDATE(DATE(YEAR(TODAY()),MONTH(TODAY()),1),11))-YEAR(IF(ISNUMBER(Suppliers!F44),Suppliers!F44,DATE(YEAR(TODAY()),MONTH(TODAY()),1))))*12+MONTH(EDATE(DATE(YEAR(TODAY()),MONTH(TODAY()),1),11))-MONTH(IF(ISNUMBER(Suppliers!F44),Suppliers!F44,DATE(YEAR(TODAY()),MONTH(TODAY()),1))),6)=0,1,0),IF(Suppliers!E44="Annual",IF(MOD((YEAR(EDATE(DATE(YEAR(TODAY()),MONTH(TODAY()),1),11))-YEAR(IF(ISNUMBER(Suppliers!F44),Suppliers!F44,DATE(YEAR(TODAY()),MONTH(TODAY()),1))))*12+MONTH(EDATE(DATE(YEAR(TODAY()),MONTH(TODAY()),1),11))-MONTH(IF(ISNUMBER(Suppliers!F44),Suppliers!F44,DATE(YEAR(TODAY()),MONTH(TODAY()),1))),12)=0,1,0),IF(Suppliers!E44="One-time",IF(11=0,1,0),1)))))),"")</f>
        <v/>
      </c>
      <c r="R46" s="10" t="str">
        <f ca="1">IFERROR(IF(OR(12&gt;=$B$1,Suppliers!A44="",NOT(ISNUMBER(Suppliers!D44)),Suppliers!L44="Expired",Suppliers!L44="Terminate"),"",Suppliers!D44*-1*IF(Suppliers!E44="Monthly",IF(AND(ISNUMBER(Suppliers!G44),(YEAR(EDATE(DATE(YEAR(TODAY()),MONTH(TODAY()),1),12))*12+MONTH(EDATE(DATE(YEAR(TODAY()),MONTH(TODAY()),1),12)))&gt;(YEAR(Suppliers!G44)*12+MONTH(Suppliers!G44))),"",1),IF(Suppliers!E44="Quarterly",IF(MOD((YEAR(EDATE(DATE(YEAR(TODAY()),MONTH(TODAY()),1),12))-YEAR(IF(ISNUMBER(Suppliers!F44),Suppliers!F44,DATE(YEAR(TODAY()),MONTH(TODAY()),1))))*12+MONTH(EDATE(DATE(YEAR(TODAY()),MONTH(TODAY()),1),12))-MONTH(IF(ISNUMBER(Suppliers!F44),Suppliers!F44,DATE(YEAR(TODAY()),MONTH(TODAY()),1))),3)=0,1,0),IF(Suppliers!E44="Semi-annual",IF(MOD((YEAR(EDATE(DATE(YEAR(TODAY()),MONTH(TODAY()),1),12))-YEAR(IF(ISNUMBER(Suppliers!F44),Suppliers!F44,DATE(YEAR(TODAY()),MONTH(TODAY()),1))))*12+MONTH(EDATE(DATE(YEAR(TODAY()),MONTH(TODAY()),1),12))-MONTH(IF(ISNUMBER(Suppliers!F44),Suppliers!F44,DATE(YEAR(TODAY()),MONTH(TODAY()),1))),6)=0,1,0),IF(Suppliers!E44="Annual",IF(MOD((YEAR(EDATE(DATE(YEAR(TODAY()),MONTH(TODAY()),1),12))-YEAR(IF(ISNUMBER(Suppliers!F44),Suppliers!F44,DATE(YEAR(TODAY()),MONTH(TODAY()),1))))*12+MONTH(EDATE(DATE(YEAR(TODAY()),MONTH(TODAY()),1),12))-MONTH(IF(ISNUMBER(Suppliers!F44),Suppliers!F44,DATE(YEAR(TODAY()),MONTH(TODAY()),1))),12)=0,1,0),IF(Suppliers!E44="One-time",IF(12=0,1,0),1)))))),"")</f>
        <v/>
      </c>
      <c r="S46" s="10" t="str">
        <f ca="1">IFERROR(IF(OR(13&gt;=$B$1,Suppliers!A44="",NOT(ISNUMBER(Suppliers!D44)),Suppliers!L44="Expired",Suppliers!L44="Terminate"),"",Suppliers!D44*-1*IF(Suppliers!E44="Monthly",IF(AND(ISNUMBER(Suppliers!G44),(YEAR(EDATE(DATE(YEAR(TODAY()),MONTH(TODAY()),1),13))*12+MONTH(EDATE(DATE(YEAR(TODAY()),MONTH(TODAY()),1),13)))&gt;(YEAR(Suppliers!G44)*12+MONTH(Suppliers!G44))),"",1),IF(Suppliers!E44="Quarterly",IF(MOD((YEAR(EDATE(DATE(YEAR(TODAY()),MONTH(TODAY()),1),13))-YEAR(IF(ISNUMBER(Suppliers!F44),Suppliers!F44,DATE(YEAR(TODAY()),MONTH(TODAY()),1))))*12+MONTH(EDATE(DATE(YEAR(TODAY()),MONTH(TODAY()),1),13))-MONTH(IF(ISNUMBER(Suppliers!F44),Suppliers!F44,DATE(YEAR(TODAY()),MONTH(TODAY()),1))),3)=0,1,0),IF(Suppliers!E44="Semi-annual",IF(MOD((YEAR(EDATE(DATE(YEAR(TODAY()),MONTH(TODAY()),1),13))-YEAR(IF(ISNUMBER(Suppliers!F44),Suppliers!F44,DATE(YEAR(TODAY()),MONTH(TODAY()),1))))*12+MONTH(EDATE(DATE(YEAR(TODAY()),MONTH(TODAY()),1),13))-MONTH(IF(ISNUMBER(Suppliers!F44),Suppliers!F44,DATE(YEAR(TODAY()),MONTH(TODAY()),1))),6)=0,1,0),IF(Suppliers!E44="Annual",IF(MOD((YEAR(EDATE(DATE(YEAR(TODAY()),MONTH(TODAY()),1),13))-YEAR(IF(ISNUMBER(Suppliers!F44),Suppliers!F44,DATE(YEAR(TODAY()),MONTH(TODAY()),1))))*12+MONTH(EDATE(DATE(YEAR(TODAY()),MONTH(TODAY()),1),13))-MONTH(IF(ISNUMBER(Suppliers!F44),Suppliers!F44,DATE(YEAR(TODAY()),MONTH(TODAY()),1))),12)=0,1,0),IF(Suppliers!E44="One-time",IF(13=0,1,0),1)))))),"")</f>
        <v/>
      </c>
      <c r="T46" s="10" t="str">
        <f ca="1">IFERROR(IF(OR(14&gt;=$B$1,Suppliers!A44="",NOT(ISNUMBER(Suppliers!D44)),Suppliers!L44="Expired",Suppliers!L44="Terminate"),"",Suppliers!D44*-1*IF(Suppliers!E44="Monthly",IF(AND(ISNUMBER(Suppliers!G44),(YEAR(EDATE(DATE(YEAR(TODAY()),MONTH(TODAY()),1),14))*12+MONTH(EDATE(DATE(YEAR(TODAY()),MONTH(TODAY()),1),14)))&gt;(YEAR(Suppliers!G44)*12+MONTH(Suppliers!G44))),"",1),IF(Suppliers!E44="Quarterly",IF(MOD((YEAR(EDATE(DATE(YEAR(TODAY()),MONTH(TODAY()),1),14))-YEAR(IF(ISNUMBER(Suppliers!F44),Suppliers!F44,DATE(YEAR(TODAY()),MONTH(TODAY()),1))))*12+MONTH(EDATE(DATE(YEAR(TODAY()),MONTH(TODAY()),1),14))-MONTH(IF(ISNUMBER(Suppliers!F44),Suppliers!F44,DATE(YEAR(TODAY()),MONTH(TODAY()),1))),3)=0,1,0),IF(Suppliers!E44="Semi-annual",IF(MOD((YEAR(EDATE(DATE(YEAR(TODAY()),MONTH(TODAY()),1),14))-YEAR(IF(ISNUMBER(Suppliers!F44),Suppliers!F44,DATE(YEAR(TODAY()),MONTH(TODAY()),1))))*12+MONTH(EDATE(DATE(YEAR(TODAY()),MONTH(TODAY()),1),14))-MONTH(IF(ISNUMBER(Suppliers!F44),Suppliers!F44,DATE(YEAR(TODAY()),MONTH(TODAY()),1))),6)=0,1,0),IF(Suppliers!E44="Annual",IF(MOD((YEAR(EDATE(DATE(YEAR(TODAY()),MONTH(TODAY()),1),14))-YEAR(IF(ISNUMBER(Suppliers!F44),Suppliers!F44,DATE(YEAR(TODAY()),MONTH(TODAY()),1))))*12+MONTH(EDATE(DATE(YEAR(TODAY()),MONTH(TODAY()),1),14))-MONTH(IF(ISNUMBER(Suppliers!F44),Suppliers!F44,DATE(YEAR(TODAY()),MONTH(TODAY()),1))),12)=0,1,0),IF(Suppliers!E44="One-time",IF(14=0,1,0),1)))))),"")</f>
        <v/>
      </c>
      <c r="U46" s="10" t="str">
        <f ca="1">IFERROR(IF(OR(15&gt;=$B$1,Suppliers!A44="",NOT(ISNUMBER(Suppliers!D44)),Suppliers!L44="Expired",Suppliers!L44="Terminate"),"",Suppliers!D44*-1*IF(Suppliers!E44="Monthly",IF(AND(ISNUMBER(Suppliers!G44),(YEAR(EDATE(DATE(YEAR(TODAY()),MONTH(TODAY()),1),15))*12+MONTH(EDATE(DATE(YEAR(TODAY()),MONTH(TODAY()),1),15)))&gt;(YEAR(Suppliers!G44)*12+MONTH(Suppliers!G44))),"",1),IF(Suppliers!E44="Quarterly",IF(MOD((YEAR(EDATE(DATE(YEAR(TODAY()),MONTH(TODAY()),1),15))-YEAR(IF(ISNUMBER(Suppliers!F44),Suppliers!F44,DATE(YEAR(TODAY()),MONTH(TODAY()),1))))*12+MONTH(EDATE(DATE(YEAR(TODAY()),MONTH(TODAY()),1),15))-MONTH(IF(ISNUMBER(Suppliers!F44),Suppliers!F44,DATE(YEAR(TODAY()),MONTH(TODAY()),1))),3)=0,1,0),IF(Suppliers!E44="Semi-annual",IF(MOD((YEAR(EDATE(DATE(YEAR(TODAY()),MONTH(TODAY()),1),15))-YEAR(IF(ISNUMBER(Suppliers!F44),Suppliers!F44,DATE(YEAR(TODAY()),MONTH(TODAY()),1))))*12+MONTH(EDATE(DATE(YEAR(TODAY()),MONTH(TODAY()),1),15))-MONTH(IF(ISNUMBER(Suppliers!F44),Suppliers!F44,DATE(YEAR(TODAY()),MONTH(TODAY()),1))),6)=0,1,0),IF(Suppliers!E44="Annual",IF(MOD((YEAR(EDATE(DATE(YEAR(TODAY()),MONTH(TODAY()),1),15))-YEAR(IF(ISNUMBER(Suppliers!F44),Suppliers!F44,DATE(YEAR(TODAY()),MONTH(TODAY()),1))))*12+MONTH(EDATE(DATE(YEAR(TODAY()),MONTH(TODAY()),1),15))-MONTH(IF(ISNUMBER(Suppliers!F44),Suppliers!F44,DATE(YEAR(TODAY()),MONTH(TODAY()),1))),12)=0,1,0),IF(Suppliers!E44="One-time",IF(15=0,1,0),1)))))),"")</f>
        <v/>
      </c>
      <c r="V46" s="10" t="str">
        <f ca="1">IFERROR(IF(OR(16&gt;=$B$1,Suppliers!A44="",NOT(ISNUMBER(Suppliers!D44)),Suppliers!L44="Expired",Suppliers!L44="Terminate"),"",Suppliers!D44*-1*IF(Suppliers!E44="Monthly",IF(AND(ISNUMBER(Suppliers!G44),(YEAR(EDATE(DATE(YEAR(TODAY()),MONTH(TODAY()),1),16))*12+MONTH(EDATE(DATE(YEAR(TODAY()),MONTH(TODAY()),1),16)))&gt;(YEAR(Suppliers!G44)*12+MONTH(Suppliers!G44))),"",1),IF(Suppliers!E44="Quarterly",IF(MOD((YEAR(EDATE(DATE(YEAR(TODAY()),MONTH(TODAY()),1),16))-YEAR(IF(ISNUMBER(Suppliers!F44),Suppliers!F44,DATE(YEAR(TODAY()),MONTH(TODAY()),1))))*12+MONTH(EDATE(DATE(YEAR(TODAY()),MONTH(TODAY()),1),16))-MONTH(IF(ISNUMBER(Suppliers!F44),Suppliers!F44,DATE(YEAR(TODAY()),MONTH(TODAY()),1))),3)=0,1,0),IF(Suppliers!E44="Semi-annual",IF(MOD((YEAR(EDATE(DATE(YEAR(TODAY()),MONTH(TODAY()),1),16))-YEAR(IF(ISNUMBER(Suppliers!F44),Suppliers!F44,DATE(YEAR(TODAY()),MONTH(TODAY()),1))))*12+MONTH(EDATE(DATE(YEAR(TODAY()),MONTH(TODAY()),1),16))-MONTH(IF(ISNUMBER(Suppliers!F44),Suppliers!F44,DATE(YEAR(TODAY()),MONTH(TODAY()),1))),6)=0,1,0),IF(Suppliers!E44="Annual",IF(MOD((YEAR(EDATE(DATE(YEAR(TODAY()),MONTH(TODAY()),1),16))-YEAR(IF(ISNUMBER(Suppliers!F44),Suppliers!F44,DATE(YEAR(TODAY()),MONTH(TODAY()),1))))*12+MONTH(EDATE(DATE(YEAR(TODAY()),MONTH(TODAY()),1),16))-MONTH(IF(ISNUMBER(Suppliers!F44),Suppliers!F44,DATE(YEAR(TODAY()),MONTH(TODAY()),1))),12)=0,1,0),IF(Suppliers!E44="One-time",IF(16=0,1,0),1)))))),"")</f>
        <v/>
      </c>
      <c r="W46" s="10" t="str">
        <f ca="1">IFERROR(IF(OR(17&gt;=$B$1,Suppliers!A44="",NOT(ISNUMBER(Suppliers!D44)),Suppliers!L44="Expired",Suppliers!L44="Terminate"),"",Suppliers!D44*-1*IF(Suppliers!E44="Monthly",IF(AND(ISNUMBER(Suppliers!G44),(YEAR(EDATE(DATE(YEAR(TODAY()),MONTH(TODAY()),1),17))*12+MONTH(EDATE(DATE(YEAR(TODAY()),MONTH(TODAY()),1),17)))&gt;(YEAR(Suppliers!G44)*12+MONTH(Suppliers!G44))),"",1),IF(Suppliers!E44="Quarterly",IF(MOD((YEAR(EDATE(DATE(YEAR(TODAY()),MONTH(TODAY()),1),17))-YEAR(IF(ISNUMBER(Suppliers!F44),Suppliers!F44,DATE(YEAR(TODAY()),MONTH(TODAY()),1))))*12+MONTH(EDATE(DATE(YEAR(TODAY()),MONTH(TODAY()),1),17))-MONTH(IF(ISNUMBER(Suppliers!F44),Suppliers!F44,DATE(YEAR(TODAY()),MONTH(TODAY()),1))),3)=0,1,0),IF(Suppliers!E44="Semi-annual",IF(MOD((YEAR(EDATE(DATE(YEAR(TODAY()),MONTH(TODAY()),1),17))-YEAR(IF(ISNUMBER(Suppliers!F44),Suppliers!F44,DATE(YEAR(TODAY()),MONTH(TODAY()),1))))*12+MONTH(EDATE(DATE(YEAR(TODAY()),MONTH(TODAY()),1),17))-MONTH(IF(ISNUMBER(Suppliers!F44),Suppliers!F44,DATE(YEAR(TODAY()),MONTH(TODAY()),1))),6)=0,1,0),IF(Suppliers!E44="Annual",IF(MOD((YEAR(EDATE(DATE(YEAR(TODAY()),MONTH(TODAY()),1),17))-YEAR(IF(ISNUMBER(Suppliers!F44),Suppliers!F44,DATE(YEAR(TODAY()),MONTH(TODAY()),1))))*12+MONTH(EDATE(DATE(YEAR(TODAY()),MONTH(TODAY()),1),17))-MONTH(IF(ISNUMBER(Suppliers!F44),Suppliers!F44,DATE(YEAR(TODAY()),MONTH(TODAY()),1))),12)=0,1,0),IF(Suppliers!E44="One-time",IF(17=0,1,0),1)))))),"")</f>
        <v/>
      </c>
      <c r="X46" s="10" t="str">
        <f ca="1">IFERROR(IF(OR(18&gt;=$B$1,Suppliers!A44="",NOT(ISNUMBER(Suppliers!D44)),Suppliers!L44="Expired",Suppliers!L44="Terminate"),"",Suppliers!D44*-1*IF(Suppliers!E44="Monthly",IF(AND(ISNUMBER(Suppliers!G44),(YEAR(EDATE(DATE(YEAR(TODAY()),MONTH(TODAY()),1),18))*12+MONTH(EDATE(DATE(YEAR(TODAY()),MONTH(TODAY()),1),18)))&gt;(YEAR(Suppliers!G44)*12+MONTH(Suppliers!G44))),"",1),IF(Suppliers!E44="Quarterly",IF(MOD((YEAR(EDATE(DATE(YEAR(TODAY()),MONTH(TODAY()),1),18))-YEAR(IF(ISNUMBER(Suppliers!F44),Suppliers!F44,DATE(YEAR(TODAY()),MONTH(TODAY()),1))))*12+MONTH(EDATE(DATE(YEAR(TODAY()),MONTH(TODAY()),1),18))-MONTH(IF(ISNUMBER(Suppliers!F44),Suppliers!F44,DATE(YEAR(TODAY()),MONTH(TODAY()),1))),3)=0,1,0),IF(Suppliers!E44="Semi-annual",IF(MOD((YEAR(EDATE(DATE(YEAR(TODAY()),MONTH(TODAY()),1),18))-YEAR(IF(ISNUMBER(Suppliers!F44),Suppliers!F44,DATE(YEAR(TODAY()),MONTH(TODAY()),1))))*12+MONTH(EDATE(DATE(YEAR(TODAY()),MONTH(TODAY()),1),18))-MONTH(IF(ISNUMBER(Suppliers!F44),Suppliers!F44,DATE(YEAR(TODAY()),MONTH(TODAY()),1))),6)=0,1,0),IF(Suppliers!E44="Annual",IF(MOD((YEAR(EDATE(DATE(YEAR(TODAY()),MONTH(TODAY()),1),18))-YEAR(IF(ISNUMBER(Suppliers!F44),Suppliers!F44,DATE(YEAR(TODAY()),MONTH(TODAY()),1))))*12+MONTH(EDATE(DATE(YEAR(TODAY()),MONTH(TODAY()),1),18))-MONTH(IF(ISNUMBER(Suppliers!F44),Suppliers!F44,DATE(YEAR(TODAY()),MONTH(TODAY()),1))),12)=0,1,0),IF(Suppliers!E44="One-time",IF(18=0,1,0),1)))))),"")</f>
        <v/>
      </c>
      <c r="Y46" s="10" t="str">
        <f ca="1">IFERROR(IF(OR(19&gt;=$B$1,Suppliers!A44="",NOT(ISNUMBER(Suppliers!D44)),Suppliers!L44="Expired",Suppliers!L44="Terminate"),"",Suppliers!D44*-1*IF(Suppliers!E44="Monthly",IF(AND(ISNUMBER(Suppliers!G44),(YEAR(EDATE(DATE(YEAR(TODAY()),MONTH(TODAY()),1),19))*12+MONTH(EDATE(DATE(YEAR(TODAY()),MONTH(TODAY()),1),19)))&gt;(YEAR(Suppliers!G44)*12+MONTH(Suppliers!G44))),"",1),IF(Suppliers!E44="Quarterly",IF(MOD((YEAR(EDATE(DATE(YEAR(TODAY()),MONTH(TODAY()),1),19))-YEAR(IF(ISNUMBER(Suppliers!F44),Suppliers!F44,DATE(YEAR(TODAY()),MONTH(TODAY()),1))))*12+MONTH(EDATE(DATE(YEAR(TODAY()),MONTH(TODAY()),1),19))-MONTH(IF(ISNUMBER(Suppliers!F44),Suppliers!F44,DATE(YEAR(TODAY()),MONTH(TODAY()),1))),3)=0,1,0),IF(Suppliers!E44="Semi-annual",IF(MOD((YEAR(EDATE(DATE(YEAR(TODAY()),MONTH(TODAY()),1),19))-YEAR(IF(ISNUMBER(Suppliers!F44),Suppliers!F44,DATE(YEAR(TODAY()),MONTH(TODAY()),1))))*12+MONTH(EDATE(DATE(YEAR(TODAY()),MONTH(TODAY()),1),19))-MONTH(IF(ISNUMBER(Suppliers!F44),Suppliers!F44,DATE(YEAR(TODAY()),MONTH(TODAY()),1))),6)=0,1,0),IF(Suppliers!E44="Annual",IF(MOD((YEAR(EDATE(DATE(YEAR(TODAY()),MONTH(TODAY()),1),19))-YEAR(IF(ISNUMBER(Suppliers!F44),Suppliers!F44,DATE(YEAR(TODAY()),MONTH(TODAY()),1))))*12+MONTH(EDATE(DATE(YEAR(TODAY()),MONTH(TODAY()),1),19))-MONTH(IF(ISNUMBER(Suppliers!F44),Suppliers!F44,DATE(YEAR(TODAY()),MONTH(TODAY()),1))),12)=0,1,0),IF(Suppliers!E44="One-time",IF(19=0,1,0),1)))))),"")</f>
        <v/>
      </c>
      <c r="Z46" s="10" t="str">
        <f ca="1">IFERROR(IF(OR(20&gt;=$B$1,Suppliers!A44="",NOT(ISNUMBER(Suppliers!D44)),Suppliers!L44="Expired",Suppliers!L44="Terminate"),"",Suppliers!D44*-1*IF(Suppliers!E44="Monthly",IF(AND(ISNUMBER(Suppliers!G44),(YEAR(EDATE(DATE(YEAR(TODAY()),MONTH(TODAY()),1),20))*12+MONTH(EDATE(DATE(YEAR(TODAY()),MONTH(TODAY()),1),20)))&gt;(YEAR(Suppliers!G44)*12+MONTH(Suppliers!G44))),"",1),IF(Suppliers!E44="Quarterly",IF(MOD((YEAR(EDATE(DATE(YEAR(TODAY()),MONTH(TODAY()),1),20))-YEAR(IF(ISNUMBER(Suppliers!F44),Suppliers!F44,DATE(YEAR(TODAY()),MONTH(TODAY()),1))))*12+MONTH(EDATE(DATE(YEAR(TODAY()),MONTH(TODAY()),1),20))-MONTH(IF(ISNUMBER(Suppliers!F44),Suppliers!F44,DATE(YEAR(TODAY()),MONTH(TODAY()),1))),3)=0,1,0),IF(Suppliers!E44="Semi-annual",IF(MOD((YEAR(EDATE(DATE(YEAR(TODAY()),MONTH(TODAY()),1),20))-YEAR(IF(ISNUMBER(Suppliers!F44),Suppliers!F44,DATE(YEAR(TODAY()),MONTH(TODAY()),1))))*12+MONTH(EDATE(DATE(YEAR(TODAY()),MONTH(TODAY()),1),20))-MONTH(IF(ISNUMBER(Suppliers!F44),Suppliers!F44,DATE(YEAR(TODAY()),MONTH(TODAY()),1))),6)=0,1,0),IF(Suppliers!E44="Annual",IF(MOD((YEAR(EDATE(DATE(YEAR(TODAY()),MONTH(TODAY()),1),20))-YEAR(IF(ISNUMBER(Suppliers!F44),Suppliers!F44,DATE(YEAR(TODAY()),MONTH(TODAY()),1))))*12+MONTH(EDATE(DATE(YEAR(TODAY()),MONTH(TODAY()),1),20))-MONTH(IF(ISNUMBER(Suppliers!F44),Suppliers!F44,DATE(YEAR(TODAY()),MONTH(TODAY()),1))),12)=0,1,0),IF(Suppliers!E44="One-time",IF(20=0,1,0),1)))))),"")</f>
        <v/>
      </c>
      <c r="AA46" s="10" t="str">
        <f ca="1">IFERROR(IF(OR(21&gt;=$B$1,Suppliers!A44="",NOT(ISNUMBER(Suppliers!D44)),Suppliers!L44="Expired",Suppliers!L44="Terminate"),"",Suppliers!D44*-1*IF(Suppliers!E44="Monthly",IF(AND(ISNUMBER(Suppliers!G44),(YEAR(EDATE(DATE(YEAR(TODAY()),MONTH(TODAY()),1),21))*12+MONTH(EDATE(DATE(YEAR(TODAY()),MONTH(TODAY()),1),21)))&gt;(YEAR(Suppliers!G44)*12+MONTH(Suppliers!G44))),"",1),IF(Suppliers!E44="Quarterly",IF(MOD((YEAR(EDATE(DATE(YEAR(TODAY()),MONTH(TODAY()),1),21))-YEAR(IF(ISNUMBER(Suppliers!F44),Suppliers!F44,DATE(YEAR(TODAY()),MONTH(TODAY()),1))))*12+MONTH(EDATE(DATE(YEAR(TODAY()),MONTH(TODAY()),1),21))-MONTH(IF(ISNUMBER(Suppliers!F44),Suppliers!F44,DATE(YEAR(TODAY()),MONTH(TODAY()),1))),3)=0,1,0),IF(Suppliers!E44="Semi-annual",IF(MOD((YEAR(EDATE(DATE(YEAR(TODAY()),MONTH(TODAY()),1),21))-YEAR(IF(ISNUMBER(Suppliers!F44),Suppliers!F44,DATE(YEAR(TODAY()),MONTH(TODAY()),1))))*12+MONTH(EDATE(DATE(YEAR(TODAY()),MONTH(TODAY()),1),21))-MONTH(IF(ISNUMBER(Suppliers!F44),Suppliers!F44,DATE(YEAR(TODAY()),MONTH(TODAY()),1))),6)=0,1,0),IF(Suppliers!E44="Annual",IF(MOD((YEAR(EDATE(DATE(YEAR(TODAY()),MONTH(TODAY()),1),21))-YEAR(IF(ISNUMBER(Suppliers!F44),Suppliers!F44,DATE(YEAR(TODAY()),MONTH(TODAY()),1))))*12+MONTH(EDATE(DATE(YEAR(TODAY()),MONTH(TODAY()),1),21))-MONTH(IF(ISNUMBER(Suppliers!F44),Suppliers!F44,DATE(YEAR(TODAY()),MONTH(TODAY()),1))),12)=0,1,0),IF(Suppliers!E44="One-time",IF(21=0,1,0),1)))))),"")</f>
        <v/>
      </c>
      <c r="AB46" s="10" t="str">
        <f ca="1">IFERROR(IF(OR(22&gt;=$B$1,Suppliers!A44="",NOT(ISNUMBER(Suppliers!D44)),Suppliers!L44="Expired",Suppliers!L44="Terminate"),"",Suppliers!D44*-1*IF(Suppliers!E44="Monthly",IF(AND(ISNUMBER(Suppliers!G44),(YEAR(EDATE(DATE(YEAR(TODAY()),MONTH(TODAY()),1),22))*12+MONTH(EDATE(DATE(YEAR(TODAY()),MONTH(TODAY()),1),22)))&gt;(YEAR(Suppliers!G44)*12+MONTH(Suppliers!G44))),"",1),IF(Suppliers!E44="Quarterly",IF(MOD((YEAR(EDATE(DATE(YEAR(TODAY()),MONTH(TODAY()),1),22))-YEAR(IF(ISNUMBER(Suppliers!F44),Suppliers!F44,DATE(YEAR(TODAY()),MONTH(TODAY()),1))))*12+MONTH(EDATE(DATE(YEAR(TODAY()),MONTH(TODAY()),1),22))-MONTH(IF(ISNUMBER(Suppliers!F44),Suppliers!F44,DATE(YEAR(TODAY()),MONTH(TODAY()),1))),3)=0,1,0),IF(Suppliers!E44="Semi-annual",IF(MOD((YEAR(EDATE(DATE(YEAR(TODAY()),MONTH(TODAY()),1),22))-YEAR(IF(ISNUMBER(Suppliers!F44),Suppliers!F44,DATE(YEAR(TODAY()),MONTH(TODAY()),1))))*12+MONTH(EDATE(DATE(YEAR(TODAY()),MONTH(TODAY()),1),22))-MONTH(IF(ISNUMBER(Suppliers!F44),Suppliers!F44,DATE(YEAR(TODAY()),MONTH(TODAY()),1))),6)=0,1,0),IF(Suppliers!E44="Annual",IF(MOD((YEAR(EDATE(DATE(YEAR(TODAY()),MONTH(TODAY()),1),22))-YEAR(IF(ISNUMBER(Suppliers!F44),Suppliers!F44,DATE(YEAR(TODAY()),MONTH(TODAY()),1))))*12+MONTH(EDATE(DATE(YEAR(TODAY()),MONTH(TODAY()),1),22))-MONTH(IF(ISNUMBER(Suppliers!F44),Suppliers!F44,DATE(YEAR(TODAY()),MONTH(TODAY()),1))),12)=0,1,0),IF(Suppliers!E44="One-time",IF(22=0,1,0),1)))))),"")</f>
        <v/>
      </c>
      <c r="AC46" s="10" t="str">
        <f ca="1">IFERROR(IF(OR(23&gt;=$B$1,Suppliers!A44="",NOT(ISNUMBER(Suppliers!D44)),Suppliers!L44="Expired",Suppliers!L44="Terminate"),"",Suppliers!D44*-1*IF(Suppliers!E44="Monthly",IF(AND(ISNUMBER(Suppliers!G44),(YEAR(EDATE(DATE(YEAR(TODAY()),MONTH(TODAY()),1),23))*12+MONTH(EDATE(DATE(YEAR(TODAY()),MONTH(TODAY()),1),23)))&gt;(YEAR(Suppliers!G44)*12+MONTH(Suppliers!G44))),"",1),IF(Suppliers!E44="Quarterly",IF(MOD((YEAR(EDATE(DATE(YEAR(TODAY()),MONTH(TODAY()),1),23))-YEAR(IF(ISNUMBER(Suppliers!F44),Suppliers!F44,DATE(YEAR(TODAY()),MONTH(TODAY()),1))))*12+MONTH(EDATE(DATE(YEAR(TODAY()),MONTH(TODAY()),1),23))-MONTH(IF(ISNUMBER(Suppliers!F44),Suppliers!F44,DATE(YEAR(TODAY()),MONTH(TODAY()),1))),3)=0,1,0),IF(Suppliers!E44="Semi-annual",IF(MOD((YEAR(EDATE(DATE(YEAR(TODAY()),MONTH(TODAY()),1),23))-YEAR(IF(ISNUMBER(Suppliers!F44),Suppliers!F44,DATE(YEAR(TODAY()),MONTH(TODAY()),1))))*12+MONTH(EDATE(DATE(YEAR(TODAY()),MONTH(TODAY()),1),23))-MONTH(IF(ISNUMBER(Suppliers!F44),Suppliers!F44,DATE(YEAR(TODAY()),MONTH(TODAY()),1))),6)=0,1,0),IF(Suppliers!E44="Annual",IF(MOD((YEAR(EDATE(DATE(YEAR(TODAY()),MONTH(TODAY()),1),23))-YEAR(IF(ISNUMBER(Suppliers!F44),Suppliers!F44,DATE(YEAR(TODAY()),MONTH(TODAY()),1))))*12+MONTH(EDATE(DATE(YEAR(TODAY()),MONTH(TODAY()),1),23))-MONTH(IF(ISNUMBER(Suppliers!F44),Suppliers!F44,DATE(YEAR(TODAY()),MONTH(TODAY()),1))),12)=0,1,0),IF(Suppliers!E44="One-time",IF(23=0,1,0),1)))))),"")</f>
        <v/>
      </c>
    </row>
    <row r="47" spans="1:29" ht="15" customHeight="1" x14ac:dyDescent="0.35">
      <c r="A47" s="4" t="s">
        <v>80</v>
      </c>
      <c r="B47" s="4" t="str">
        <f>IF(Suppliers!A45="","",Suppliers!A45)</f>
        <v/>
      </c>
      <c r="C47" s="10" t="str">
        <f>IF(Suppliers!C45="","",Suppliers!C45)</f>
        <v/>
      </c>
      <c r="D47" s="10" t="str">
        <f>IF(Suppliers!D45="","",Suppliers!D45)</f>
        <v/>
      </c>
      <c r="E47" s="4" t="str">
        <f>IF(Suppliers!E45="","",Suppliers!E45)</f>
        <v/>
      </c>
      <c r="F47" s="10" t="str">
        <f ca="1">IFERROR(IF(OR(0&gt;=$B$1,Suppliers!A45="",NOT(ISNUMBER(Suppliers!D45)),Suppliers!L45="Expired",Suppliers!L45="Terminate"),"",Suppliers!D45*-1*IF(Suppliers!E45="Monthly",IF(AND(ISNUMBER(Suppliers!G45),(YEAR(EDATE(DATE(YEAR(TODAY()),MONTH(TODAY()),1),0))*12+MONTH(EDATE(DATE(YEAR(TODAY()),MONTH(TODAY()),1),0)))&gt;(YEAR(Suppliers!G45)*12+MONTH(Suppliers!G45))),"",1),IF(Suppliers!E45="Quarterly",IF(MOD((YEAR(EDATE(DATE(YEAR(TODAY()),MONTH(TODAY()),1),0))-YEAR(IF(ISNUMBER(Suppliers!F45),Suppliers!F45,DATE(YEAR(TODAY()),MONTH(TODAY()),1))))*12+MONTH(EDATE(DATE(YEAR(TODAY()),MONTH(TODAY()),1),0))-MONTH(IF(ISNUMBER(Suppliers!F45),Suppliers!F45,DATE(YEAR(TODAY()),MONTH(TODAY()),1))),3)=0,1,0),IF(Suppliers!E45="Semi-annual",IF(MOD((YEAR(EDATE(DATE(YEAR(TODAY()),MONTH(TODAY()),1),0))-YEAR(IF(ISNUMBER(Suppliers!F45),Suppliers!F45,DATE(YEAR(TODAY()),MONTH(TODAY()),1))))*12+MONTH(EDATE(DATE(YEAR(TODAY()),MONTH(TODAY()),1),0))-MONTH(IF(ISNUMBER(Suppliers!F45),Suppliers!F45,DATE(YEAR(TODAY()),MONTH(TODAY()),1))),6)=0,1,0),IF(Suppliers!E45="Annual",IF(MOD((YEAR(EDATE(DATE(YEAR(TODAY()),MONTH(TODAY()),1),0))-YEAR(IF(ISNUMBER(Suppliers!F45),Suppliers!F45,DATE(YEAR(TODAY()),MONTH(TODAY()),1))))*12+MONTH(EDATE(DATE(YEAR(TODAY()),MONTH(TODAY()),1),0))-MONTH(IF(ISNUMBER(Suppliers!F45),Suppliers!F45,DATE(YEAR(TODAY()),MONTH(TODAY()),1))),12)=0,1,0),IF(Suppliers!E45="One-time",IF(0=0,1,0),1)))))),"")</f>
        <v/>
      </c>
      <c r="G47" s="10" t="str">
        <f ca="1">IFERROR(IF(OR(1&gt;=$B$1,Suppliers!A45="",NOT(ISNUMBER(Suppliers!D45)),Suppliers!L45="Expired",Suppliers!L45="Terminate"),"",Suppliers!D45*-1*IF(Suppliers!E45="Monthly",IF(AND(ISNUMBER(Suppliers!G45),(YEAR(EDATE(DATE(YEAR(TODAY()),MONTH(TODAY()),1),1))*12+MONTH(EDATE(DATE(YEAR(TODAY()),MONTH(TODAY()),1),1)))&gt;(YEAR(Suppliers!G45)*12+MONTH(Suppliers!G45))),"",1),IF(Suppliers!E45="Quarterly",IF(MOD((YEAR(EDATE(DATE(YEAR(TODAY()),MONTH(TODAY()),1),1))-YEAR(IF(ISNUMBER(Suppliers!F45),Suppliers!F45,DATE(YEAR(TODAY()),MONTH(TODAY()),1))))*12+MONTH(EDATE(DATE(YEAR(TODAY()),MONTH(TODAY()),1),1))-MONTH(IF(ISNUMBER(Suppliers!F45),Suppliers!F45,DATE(YEAR(TODAY()),MONTH(TODAY()),1))),3)=0,1,0),IF(Suppliers!E45="Semi-annual",IF(MOD((YEAR(EDATE(DATE(YEAR(TODAY()),MONTH(TODAY()),1),1))-YEAR(IF(ISNUMBER(Suppliers!F45),Suppliers!F45,DATE(YEAR(TODAY()),MONTH(TODAY()),1))))*12+MONTH(EDATE(DATE(YEAR(TODAY()),MONTH(TODAY()),1),1))-MONTH(IF(ISNUMBER(Suppliers!F45),Suppliers!F45,DATE(YEAR(TODAY()),MONTH(TODAY()),1))),6)=0,1,0),IF(Suppliers!E45="Annual",IF(MOD((YEAR(EDATE(DATE(YEAR(TODAY()),MONTH(TODAY()),1),1))-YEAR(IF(ISNUMBER(Suppliers!F45),Suppliers!F45,DATE(YEAR(TODAY()),MONTH(TODAY()),1))))*12+MONTH(EDATE(DATE(YEAR(TODAY()),MONTH(TODAY()),1),1))-MONTH(IF(ISNUMBER(Suppliers!F45),Suppliers!F45,DATE(YEAR(TODAY()),MONTH(TODAY()),1))),12)=0,1,0),IF(Suppliers!E45="One-time",IF(1=0,1,0),1)))))),"")</f>
        <v/>
      </c>
      <c r="H47" s="10" t="str">
        <f ca="1">IFERROR(IF(OR(2&gt;=$B$1,Suppliers!A45="",NOT(ISNUMBER(Suppliers!D45)),Suppliers!L45="Expired",Suppliers!L45="Terminate"),"",Suppliers!D45*-1*IF(Suppliers!E45="Monthly",IF(AND(ISNUMBER(Suppliers!G45),(YEAR(EDATE(DATE(YEAR(TODAY()),MONTH(TODAY()),1),2))*12+MONTH(EDATE(DATE(YEAR(TODAY()),MONTH(TODAY()),1),2)))&gt;(YEAR(Suppliers!G45)*12+MONTH(Suppliers!G45))),"",1),IF(Suppliers!E45="Quarterly",IF(MOD((YEAR(EDATE(DATE(YEAR(TODAY()),MONTH(TODAY()),1),2))-YEAR(IF(ISNUMBER(Suppliers!F45),Suppliers!F45,DATE(YEAR(TODAY()),MONTH(TODAY()),1))))*12+MONTH(EDATE(DATE(YEAR(TODAY()),MONTH(TODAY()),1),2))-MONTH(IF(ISNUMBER(Suppliers!F45),Suppliers!F45,DATE(YEAR(TODAY()),MONTH(TODAY()),1))),3)=0,1,0),IF(Suppliers!E45="Semi-annual",IF(MOD((YEAR(EDATE(DATE(YEAR(TODAY()),MONTH(TODAY()),1),2))-YEAR(IF(ISNUMBER(Suppliers!F45),Suppliers!F45,DATE(YEAR(TODAY()),MONTH(TODAY()),1))))*12+MONTH(EDATE(DATE(YEAR(TODAY()),MONTH(TODAY()),1),2))-MONTH(IF(ISNUMBER(Suppliers!F45),Suppliers!F45,DATE(YEAR(TODAY()),MONTH(TODAY()),1))),6)=0,1,0),IF(Suppliers!E45="Annual",IF(MOD((YEAR(EDATE(DATE(YEAR(TODAY()),MONTH(TODAY()),1),2))-YEAR(IF(ISNUMBER(Suppliers!F45),Suppliers!F45,DATE(YEAR(TODAY()),MONTH(TODAY()),1))))*12+MONTH(EDATE(DATE(YEAR(TODAY()),MONTH(TODAY()),1),2))-MONTH(IF(ISNUMBER(Suppliers!F45),Suppliers!F45,DATE(YEAR(TODAY()),MONTH(TODAY()),1))),12)=0,1,0),IF(Suppliers!E45="One-time",IF(2=0,1,0),1)))))),"")</f>
        <v/>
      </c>
      <c r="I47" s="10" t="str">
        <f ca="1">IFERROR(IF(OR(3&gt;=$B$1,Suppliers!A45="",NOT(ISNUMBER(Suppliers!D45)),Suppliers!L45="Expired",Suppliers!L45="Terminate"),"",Suppliers!D45*-1*IF(Suppliers!E45="Monthly",IF(AND(ISNUMBER(Suppliers!G45),(YEAR(EDATE(DATE(YEAR(TODAY()),MONTH(TODAY()),1),3))*12+MONTH(EDATE(DATE(YEAR(TODAY()),MONTH(TODAY()),1),3)))&gt;(YEAR(Suppliers!G45)*12+MONTH(Suppliers!G45))),"",1),IF(Suppliers!E45="Quarterly",IF(MOD((YEAR(EDATE(DATE(YEAR(TODAY()),MONTH(TODAY()),1),3))-YEAR(IF(ISNUMBER(Suppliers!F45),Suppliers!F45,DATE(YEAR(TODAY()),MONTH(TODAY()),1))))*12+MONTH(EDATE(DATE(YEAR(TODAY()),MONTH(TODAY()),1),3))-MONTH(IF(ISNUMBER(Suppliers!F45),Suppliers!F45,DATE(YEAR(TODAY()),MONTH(TODAY()),1))),3)=0,1,0),IF(Suppliers!E45="Semi-annual",IF(MOD((YEAR(EDATE(DATE(YEAR(TODAY()),MONTH(TODAY()),1),3))-YEAR(IF(ISNUMBER(Suppliers!F45),Suppliers!F45,DATE(YEAR(TODAY()),MONTH(TODAY()),1))))*12+MONTH(EDATE(DATE(YEAR(TODAY()),MONTH(TODAY()),1),3))-MONTH(IF(ISNUMBER(Suppliers!F45),Suppliers!F45,DATE(YEAR(TODAY()),MONTH(TODAY()),1))),6)=0,1,0),IF(Suppliers!E45="Annual",IF(MOD((YEAR(EDATE(DATE(YEAR(TODAY()),MONTH(TODAY()),1),3))-YEAR(IF(ISNUMBER(Suppliers!F45),Suppliers!F45,DATE(YEAR(TODAY()),MONTH(TODAY()),1))))*12+MONTH(EDATE(DATE(YEAR(TODAY()),MONTH(TODAY()),1),3))-MONTH(IF(ISNUMBER(Suppliers!F45),Suppliers!F45,DATE(YEAR(TODAY()),MONTH(TODAY()),1))),12)=0,1,0),IF(Suppliers!E45="One-time",IF(3=0,1,0),1)))))),"")</f>
        <v/>
      </c>
      <c r="J47" s="10" t="str">
        <f ca="1">IFERROR(IF(OR(4&gt;=$B$1,Suppliers!A45="",NOT(ISNUMBER(Suppliers!D45)),Suppliers!L45="Expired",Suppliers!L45="Terminate"),"",Suppliers!D45*-1*IF(Suppliers!E45="Monthly",IF(AND(ISNUMBER(Suppliers!G45),(YEAR(EDATE(DATE(YEAR(TODAY()),MONTH(TODAY()),1),4))*12+MONTH(EDATE(DATE(YEAR(TODAY()),MONTH(TODAY()),1),4)))&gt;(YEAR(Suppliers!G45)*12+MONTH(Suppliers!G45))),"",1),IF(Suppliers!E45="Quarterly",IF(MOD((YEAR(EDATE(DATE(YEAR(TODAY()),MONTH(TODAY()),1),4))-YEAR(IF(ISNUMBER(Suppliers!F45),Suppliers!F45,DATE(YEAR(TODAY()),MONTH(TODAY()),1))))*12+MONTH(EDATE(DATE(YEAR(TODAY()),MONTH(TODAY()),1),4))-MONTH(IF(ISNUMBER(Suppliers!F45),Suppliers!F45,DATE(YEAR(TODAY()),MONTH(TODAY()),1))),3)=0,1,0),IF(Suppliers!E45="Semi-annual",IF(MOD((YEAR(EDATE(DATE(YEAR(TODAY()),MONTH(TODAY()),1),4))-YEAR(IF(ISNUMBER(Suppliers!F45),Suppliers!F45,DATE(YEAR(TODAY()),MONTH(TODAY()),1))))*12+MONTH(EDATE(DATE(YEAR(TODAY()),MONTH(TODAY()),1),4))-MONTH(IF(ISNUMBER(Suppliers!F45),Suppliers!F45,DATE(YEAR(TODAY()),MONTH(TODAY()),1))),6)=0,1,0),IF(Suppliers!E45="Annual",IF(MOD((YEAR(EDATE(DATE(YEAR(TODAY()),MONTH(TODAY()),1),4))-YEAR(IF(ISNUMBER(Suppliers!F45),Suppliers!F45,DATE(YEAR(TODAY()),MONTH(TODAY()),1))))*12+MONTH(EDATE(DATE(YEAR(TODAY()),MONTH(TODAY()),1),4))-MONTH(IF(ISNUMBER(Suppliers!F45),Suppliers!F45,DATE(YEAR(TODAY()),MONTH(TODAY()),1))),12)=0,1,0),IF(Suppliers!E45="One-time",IF(4=0,1,0),1)))))),"")</f>
        <v/>
      </c>
      <c r="K47" s="10" t="str">
        <f ca="1">IFERROR(IF(OR(5&gt;=$B$1,Suppliers!A45="",NOT(ISNUMBER(Suppliers!D45)),Suppliers!L45="Expired",Suppliers!L45="Terminate"),"",Suppliers!D45*-1*IF(Suppliers!E45="Monthly",IF(AND(ISNUMBER(Suppliers!G45),(YEAR(EDATE(DATE(YEAR(TODAY()),MONTH(TODAY()),1),5))*12+MONTH(EDATE(DATE(YEAR(TODAY()),MONTH(TODAY()),1),5)))&gt;(YEAR(Suppliers!G45)*12+MONTH(Suppliers!G45))),"",1),IF(Suppliers!E45="Quarterly",IF(MOD((YEAR(EDATE(DATE(YEAR(TODAY()),MONTH(TODAY()),1),5))-YEAR(IF(ISNUMBER(Suppliers!F45),Suppliers!F45,DATE(YEAR(TODAY()),MONTH(TODAY()),1))))*12+MONTH(EDATE(DATE(YEAR(TODAY()),MONTH(TODAY()),1),5))-MONTH(IF(ISNUMBER(Suppliers!F45),Suppliers!F45,DATE(YEAR(TODAY()),MONTH(TODAY()),1))),3)=0,1,0),IF(Suppliers!E45="Semi-annual",IF(MOD((YEAR(EDATE(DATE(YEAR(TODAY()),MONTH(TODAY()),1),5))-YEAR(IF(ISNUMBER(Suppliers!F45),Suppliers!F45,DATE(YEAR(TODAY()),MONTH(TODAY()),1))))*12+MONTH(EDATE(DATE(YEAR(TODAY()),MONTH(TODAY()),1),5))-MONTH(IF(ISNUMBER(Suppliers!F45),Suppliers!F45,DATE(YEAR(TODAY()),MONTH(TODAY()),1))),6)=0,1,0),IF(Suppliers!E45="Annual",IF(MOD((YEAR(EDATE(DATE(YEAR(TODAY()),MONTH(TODAY()),1),5))-YEAR(IF(ISNUMBER(Suppliers!F45),Suppliers!F45,DATE(YEAR(TODAY()),MONTH(TODAY()),1))))*12+MONTH(EDATE(DATE(YEAR(TODAY()),MONTH(TODAY()),1),5))-MONTH(IF(ISNUMBER(Suppliers!F45),Suppliers!F45,DATE(YEAR(TODAY()),MONTH(TODAY()),1))),12)=0,1,0),IF(Suppliers!E45="One-time",IF(5=0,1,0),1)))))),"")</f>
        <v/>
      </c>
      <c r="L47" s="10" t="str">
        <f ca="1">IFERROR(IF(OR(6&gt;=$B$1,Suppliers!A45="",NOT(ISNUMBER(Suppliers!D45)),Suppliers!L45="Expired",Suppliers!L45="Terminate"),"",Suppliers!D45*-1*IF(Suppliers!E45="Monthly",IF(AND(ISNUMBER(Suppliers!G45),(YEAR(EDATE(DATE(YEAR(TODAY()),MONTH(TODAY()),1),6))*12+MONTH(EDATE(DATE(YEAR(TODAY()),MONTH(TODAY()),1),6)))&gt;(YEAR(Suppliers!G45)*12+MONTH(Suppliers!G45))),"",1),IF(Suppliers!E45="Quarterly",IF(MOD((YEAR(EDATE(DATE(YEAR(TODAY()),MONTH(TODAY()),1),6))-YEAR(IF(ISNUMBER(Suppliers!F45),Suppliers!F45,DATE(YEAR(TODAY()),MONTH(TODAY()),1))))*12+MONTH(EDATE(DATE(YEAR(TODAY()),MONTH(TODAY()),1),6))-MONTH(IF(ISNUMBER(Suppliers!F45),Suppliers!F45,DATE(YEAR(TODAY()),MONTH(TODAY()),1))),3)=0,1,0),IF(Suppliers!E45="Semi-annual",IF(MOD((YEAR(EDATE(DATE(YEAR(TODAY()),MONTH(TODAY()),1),6))-YEAR(IF(ISNUMBER(Suppliers!F45),Suppliers!F45,DATE(YEAR(TODAY()),MONTH(TODAY()),1))))*12+MONTH(EDATE(DATE(YEAR(TODAY()),MONTH(TODAY()),1),6))-MONTH(IF(ISNUMBER(Suppliers!F45),Suppliers!F45,DATE(YEAR(TODAY()),MONTH(TODAY()),1))),6)=0,1,0),IF(Suppliers!E45="Annual",IF(MOD((YEAR(EDATE(DATE(YEAR(TODAY()),MONTH(TODAY()),1),6))-YEAR(IF(ISNUMBER(Suppliers!F45),Suppliers!F45,DATE(YEAR(TODAY()),MONTH(TODAY()),1))))*12+MONTH(EDATE(DATE(YEAR(TODAY()),MONTH(TODAY()),1),6))-MONTH(IF(ISNUMBER(Suppliers!F45),Suppliers!F45,DATE(YEAR(TODAY()),MONTH(TODAY()),1))),12)=0,1,0),IF(Suppliers!E45="One-time",IF(6=0,1,0),1)))))),"")</f>
        <v/>
      </c>
      <c r="M47" s="10" t="str">
        <f ca="1">IFERROR(IF(OR(7&gt;=$B$1,Suppliers!A45="",NOT(ISNUMBER(Suppliers!D45)),Suppliers!L45="Expired",Suppliers!L45="Terminate"),"",Suppliers!D45*-1*IF(Suppliers!E45="Monthly",IF(AND(ISNUMBER(Suppliers!G45),(YEAR(EDATE(DATE(YEAR(TODAY()),MONTH(TODAY()),1),7))*12+MONTH(EDATE(DATE(YEAR(TODAY()),MONTH(TODAY()),1),7)))&gt;(YEAR(Suppliers!G45)*12+MONTH(Suppliers!G45))),"",1),IF(Suppliers!E45="Quarterly",IF(MOD((YEAR(EDATE(DATE(YEAR(TODAY()),MONTH(TODAY()),1),7))-YEAR(IF(ISNUMBER(Suppliers!F45),Suppliers!F45,DATE(YEAR(TODAY()),MONTH(TODAY()),1))))*12+MONTH(EDATE(DATE(YEAR(TODAY()),MONTH(TODAY()),1),7))-MONTH(IF(ISNUMBER(Suppliers!F45),Suppliers!F45,DATE(YEAR(TODAY()),MONTH(TODAY()),1))),3)=0,1,0),IF(Suppliers!E45="Semi-annual",IF(MOD((YEAR(EDATE(DATE(YEAR(TODAY()),MONTH(TODAY()),1),7))-YEAR(IF(ISNUMBER(Suppliers!F45),Suppliers!F45,DATE(YEAR(TODAY()),MONTH(TODAY()),1))))*12+MONTH(EDATE(DATE(YEAR(TODAY()),MONTH(TODAY()),1),7))-MONTH(IF(ISNUMBER(Suppliers!F45),Suppliers!F45,DATE(YEAR(TODAY()),MONTH(TODAY()),1))),6)=0,1,0),IF(Suppliers!E45="Annual",IF(MOD((YEAR(EDATE(DATE(YEAR(TODAY()),MONTH(TODAY()),1),7))-YEAR(IF(ISNUMBER(Suppliers!F45),Suppliers!F45,DATE(YEAR(TODAY()),MONTH(TODAY()),1))))*12+MONTH(EDATE(DATE(YEAR(TODAY()),MONTH(TODAY()),1),7))-MONTH(IF(ISNUMBER(Suppliers!F45),Suppliers!F45,DATE(YEAR(TODAY()),MONTH(TODAY()),1))),12)=0,1,0),IF(Suppliers!E45="One-time",IF(7=0,1,0),1)))))),"")</f>
        <v/>
      </c>
      <c r="N47" s="10" t="str">
        <f ca="1">IFERROR(IF(OR(8&gt;=$B$1,Suppliers!A45="",NOT(ISNUMBER(Suppliers!D45)),Suppliers!L45="Expired",Suppliers!L45="Terminate"),"",Suppliers!D45*-1*IF(Suppliers!E45="Monthly",IF(AND(ISNUMBER(Suppliers!G45),(YEAR(EDATE(DATE(YEAR(TODAY()),MONTH(TODAY()),1),8))*12+MONTH(EDATE(DATE(YEAR(TODAY()),MONTH(TODAY()),1),8)))&gt;(YEAR(Suppliers!G45)*12+MONTH(Suppliers!G45))),"",1),IF(Suppliers!E45="Quarterly",IF(MOD((YEAR(EDATE(DATE(YEAR(TODAY()),MONTH(TODAY()),1),8))-YEAR(IF(ISNUMBER(Suppliers!F45),Suppliers!F45,DATE(YEAR(TODAY()),MONTH(TODAY()),1))))*12+MONTH(EDATE(DATE(YEAR(TODAY()),MONTH(TODAY()),1),8))-MONTH(IF(ISNUMBER(Suppliers!F45),Suppliers!F45,DATE(YEAR(TODAY()),MONTH(TODAY()),1))),3)=0,1,0),IF(Suppliers!E45="Semi-annual",IF(MOD((YEAR(EDATE(DATE(YEAR(TODAY()),MONTH(TODAY()),1),8))-YEAR(IF(ISNUMBER(Suppliers!F45),Suppliers!F45,DATE(YEAR(TODAY()),MONTH(TODAY()),1))))*12+MONTH(EDATE(DATE(YEAR(TODAY()),MONTH(TODAY()),1),8))-MONTH(IF(ISNUMBER(Suppliers!F45),Suppliers!F45,DATE(YEAR(TODAY()),MONTH(TODAY()),1))),6)=0,1,0),IF(Suppliers!E45="Annual",IF(MOD((YEAR(EDATE(DATE(YEAR(TODAY()),MONTH(TODAY()),1),8))-YEAR(IF(ISNUMBER(Suppliers!F45),Suppliers!F45,DATE(YEAR(TODAY()),MONTH(TODAY()),1))))*12+MONTH(EDATE(DATE(YEAR(TODAY()),MONTH(TODAY()),1),8))-MONTH(IF(ISNUMBER(Suppliers!F45),Suppliers!F45,DATE(YEAR(TODAY()),MONTH(TODAY()),1))),12)=0,1,0),IF(Suppliers!E45="One-time",IF(8=0,1,0),1)))))),"")</f>
        <v/>
      </c>
      <c r="O47" s="10" t="str">
        <f ca="1">IFERROR(IF(OR(9&gt;=$B$1,Suppliers!A45="",NOT(ISNUMBER(Suppliers!D45)),Suppliers!L45="Expired",Suppliers!L45="Terminate"),"",Suppliers!D45*-1*IF(Suppliers!E45="Monthly",IF(AND(ISNUMBER(Suppliers!G45),(YEAR(EDATE(DATE(YEAR(TODAY()),MONTH(TODAY()),1),9))*12+MONTH(EDATE(DATE(YEAR(TODAY()),MONTH(TODAY()),1),9)))&gt;(YEAR(Suppliers!G45)*12+MONTH(Suppliers!G45))),"",1),IF(Suppliers!E45="Quarterly",IF(MOD((YEAR(EDATE(DATE(YEAR(TODAY()),MONTH(TODAY()),1),9))-YEAR(IF(ISNUMBER(Suppliers!F45),Suppliers!F45,DATE(YEAR(TODAY()),MONTH(TODAY()),1))))*12+MONTH(EDATE(DATE(YEAR(TODAY()),MONTH(TODAY()),1),9))-MONTH(IF(ISNUMBER(Suppliers!F45),Suppliers!F45,DATE(YEAR(TODAY()),MONTH(TODAY()),1))),3)=0,1,0),IF(Suppliers!E45="Semi-annual",IF(MOD((YEAR(EDATE(DATE(YEAR(TODAY()),MONTH(TODAY()),1),9))-YEAR(IF(ISNUMBER(Suppliers!F45),Suppliers!F45,DATE(YEAR(TODAY()),MONTH(TODAY()),1))))*12+MONTH(EDATE(DATE(YEAR(TODAY()),MONTH(TODAY()),1),9))-MONTH(IF(ISNUMBER(Suppliers!F45),Suppliers!F45,DATE(YEAR(TODAY()),MONTH(TODAY()),1))),6)=0,1,0),IF(Suppliers!E45="Annual",IF(MOD((YEAR(EDATE(DATE(YEAR(TODAY()),MONTH(TODAY()),1),9))-YEAR(IF(ISNUMBER(Suppliers!F45),Suppliers!F45,DATE(YEAR(TODAY()),MONTH(TODAY()),1))))*12+MONTH(EDATE(DATE(YEAR(TODAY()),MONTH(TODAY()),1),9))-MONTH(IF(ISNUMBER(Suppliers!F45),Suppliers!F45,DATE(YEAR(TODAY()),MONTH(TODAY()),1))),12)=0,1,0),IF(Suppliers!E45="One-time",IF(9=0,1,0),1)))))),"")</f>
        <v/>
      </c>
      <c r="P47" s="10" t="str">
        <f ca="1">IFERROR(IF(OR(10&gt;=$B$1,Suppliers!A45="",NOT(ISNUMBER(Suppliers!D45)),Suppliers!L45="Expired",Suppliers!L45="Terminate"),"",Suppliers!D45*-1*IF(Suppliers!E45="Monthly",IF(AND(ISNUMBER(Suppliers!G45),(YEAR(EDATE(DATE(YEAR(TODAY()),MONTH(TODAY()),1),10))*12+MONTH(EDATE(DATE(YEAR(TODAY()),MONTH(TODAY()),1),10)))&gt;(YEAR(Suppliers!G45)*12+MONTH(Suppliers!G45))),"",1),IF(Suppliers!E45="Quarterly",IF(MOD((YEAR(EDATE(DATE(YEAR(TODAY()),MONTH(TODAY()),1),10))-YEAR(IF(ISNUMBER(Suppliers!F45),Suppliers!F45,DATE(YEAR(TODAY()),MONTH(TODAY()),1))))*12+MONTH(EDATE(DATE(YEAR(TODAY()),MONTH(TODAY()),1),10))-MONTH(IF(ISNUMBER(Suppliers!F45),Suppliers!F45,DATE(YEAR(TODAY()),MONTH(TODAY()),1))),3)=0,1,0),IF(Suppliers!E45="Semi-annual",IF(MOD((YEAR(EDATE(DATE(YEAR(TODAY()),MONTH(TODAY()),1),10))-YEAR(IF(ISNUMBER(Suppliers!F45),Suppliers!F45,DATE(YEAR(TODAY()),MONTH(TODAY()),1))))*12+MONTH(EDATE(DATE(YEAR(TODAY()),MONTH(TODAY()),1),10))-MONTH(IF(ISNUMBER(Suppliers!F45),Suppliers!F45,DATE(YEAR(TODAY()),MONTH(TODAY()),1))),6)=0,1,0),IF(Suppliers!E45="Annual",IF(MOD((YEAR(EDATE(DATE(YEAR(TODAY()),MONTH(TODAY()),1),10))-YEAR(IF(ISNUMBER(Suppliers!F45),Suppliers!F45,DATE(YEAR(TODAY()),MONTH(TODAY()),1))))*12+MONTH(EDATE(DATE(YEAR(TODAY()),MONTH(TODAY()),1),10))-MONTH(IF(ISNUMBER(Suppliers!F45),Suppliers!F45,DATE(YEAR(TODAY()),MONTH(TODAY()),1))),12)=0,1,0),IF(Suppliers!E45="One-time",IF(10=0,1,0),1)))))),"")</f>
        <v/>
      </c>
      <c r="Q47" s="10" t="str">
        <f ca="1">IFERROR(IF(OR(11&gt;=$B$1,Suppliers!A45="",NOT(ISNUMBER(Suppliers!D45)),Suppliers!L45="Expired",Suppliers!L45="Terminate"),"",Suppliers!D45*-1*IF(Suppliers!E45="Monthly",IF(AND(ISNUMBER(Suppliers!G45),(YEAR(EDATE(DATE(YEAR(TODAY()),MONTH(TODAY()),1),11))*12+MONTH(EDATE(DATE(YEAR(TODAY()),MONTH(TODAY()),1),11)))&gt;(YEAR(Suppliers!G45)*12+MONTH(Suppliers!G45))),"",1),IF(Suppliers!E45="Quarterly",IF(MOD((YEAR(EDATE(DATE(YEAR(TODAY()),MONTH(TODAY()),1),11))-YEAR(IF(ISNUMBER(Suppliers!F45),Suppliers!F45,DATE(YEAR(TODAY()),MONTH(TODAY()),1))))*12+MONTH(EDATE(DATE(YEAR(TODAY()),MONTH(TODAY()),1),11))-MONTH(IF(ISNUMBER(Suppliers!F45),Suppliers!F45,DATE(YEAR(TODAY()),MONTH(TODAY()),1))),3)=0,1,0),IF(Suppliers!E45="Semi-annual",IF(MOD((YEAR(EDATE(DATE(YEAR(TODAY()),MONTH(TODAY()),1),11))-YEAR(IF(ISNUMBER(Suppliers!F45),Suppliers!F45,DATE(YEAR(TODAY()),MONTH(TODAY()),1))))*12+MONTH(EDATE(DATE(YEAR(TODAY()),MONTH(TODAY()),1),11))-MONTH(IF(ISNUMBER(Suppliers!F45),Suppliers!F45,DATE(YEAR(TODAY()),MONTH(TODAY()),1))),6)=0,1,0),IF(Suppliers!E45="Annual",IF(MOD((YEAR(EDATE(DATE(YEAR(TODAY()),MONTH(TODAY()),1),11))-YEAR(IF(ISNUMBER(Suppliers!F45),Suppliers!F45,DATE(YEAR(TODAY()),MONTH(TODAY()),1))))*12+MONTH(EDATE(DATE(YEAR(TODAY()),MONTH(TODAY()),1),11))-MONTH(IF(ISNUMBER(Suppliers!F45),Suppliers!F45,DATE(YEAR(TODAY()),MONTH(TODAY()),1))),12)=0,1,0),IF(Suppliers!E45="One-time",IF(11=0,1,0),1)))))),"")</f>
        <v/>
      </c>
      <c r="R47" s="10" t="str">
        <f ca="1">IFERROR(IF(OR(12&gt;=$B$1,Suppliers!A45="",NOT(ISNUMBER(Suppliers!D45)),Suppliers!L45="Expired",Suppliers!L45="Terminate"),"",Suppliers!D45*-1*IF(Suppliers!E45="Monthly",IF(AND(ISNUMBER(Suppliers!G45),(YEAR(EDATE(DATE(YEAR(TODAY()),MONTH(TODAY()),1),12))*12+MONTH(EDATE(DATE(YEAR(TODAY()),MONTH(TODAY()),1),12)))&gt;(YEAR(Suppliers!G45)*12+MONTH(Suppliers!G45))),"",1),IF(Suppliers!E45="Quarterly",IF(MOD((YEAR(EDATE(DATE(YEAR(TODAY()),MONTH(TODAY()),1),12))-YEAR(IF(ISNUMBER(Suppliers!F45),Suppliers!F45,DATE(YEAR(TODAY()),MONTH(TODAY()),1))))*12+MONTH(EDATE(DATE(YEAR(TODAY()),MONTH(TODAY()),1),12))-MONTH(IF(ISNUMBER(Suppliers!F45),Suppliers!F45,DATE(YEAR(TODAY()),MONTH(TODAY()),1))),3)=0,1,0),IF(Suppliers!E45="Semi-annual",IF(MOD((YEAR(EDATE(DATE(YEAR(TODAY()),MONTH(TODAY()),1),12))-YEAR(IF(ISNUMBER(Suppliers!F45),Suppliers!F45,DATE(YEAR(TODAY()),MONTH(TODAY()),1))))*12+MONTH(EDATE(DATE(YEAR(TODAY()),MONTH(TODAY()),1),12))-MONTH(IF(ISNUMBER(Suppliers!F45),Suppliers!F45,DATE(YEAR(TODAY()),MONTH(TODAY()),1))),6)=0,1,0),IF(Suppliers!E45="Annual",IF(MOD((YEAR(EDATE(DATE(YEAR(TODAY()),MONTH(TODAY()),1),12))-YEAR(IF(ISNUMBER(Suppliers!F45),Suppliers!F45,DATE(YEAR(TODAY()),MONTH(TODAY()),1))))*12+MONTH(EDATE(DATE(YEAR(TODAY()),MONTH(TODAY()),1),12))-MONTH(IF(ISNUMBER(Suppliers!F45),Suppliers!F45,DATE(YEAR(TODAY()),MONTH(TODAY()),1))),12)=0,1,0),IF(Suppliers!E45="One-time",IF(12=0,1,0),1)))))),"")</f>
        <v/>
      </c>
      <c r="S47" s="10" t="str">
        <f ca="1">IFERROR(IF(OR(13&gt;=$B$1,Suppliers!A45="",NOT(ISNUMBER(Suppliers!D45)),Suppliers!L45="Expired",Suppliers!L45="Terminate"),"",Suppliers!D45*-1*IF(Suppliers!E45="Monthly",IF(AND(ISNUMBER(Suppliers!G45),(YEAR(EDATE(DATE(YEAR(TODAY()),MONTH(TODAY()),1),13))*12+MONTH(EDATE(DATE(YEAR(TODAY()),MONTH(TODAY()),1),13)))&gt;(YEAR(Suppliers!G45)*12+MONTH(Suppliers!G45))),"",1),IF(Suppliers!E45="Quarterly",IF(MOD((YEAR(EDATE(DATE(YEAR(TODAY()),MONTH(TODAY()),1),13))-YEAR(IF(ISNUMBER(Suppliers!F45),Suppliers!F45,DATE(YEAR(TODAY()),MONTH(TODAY()),1))))*12+MONTH(EDATE(DATE(YEAR(TODAY()),MONTH(TODAY()),1),13))-MONTH(IF(ISNUMBER(Suppliers!F45),Suppliers!F45,DATE(YEAR(TODAY()),MONTH(TODAY()),1))),3)=0,1,0),IF(Suppliers!E45="Semi-annual",IF(MOD((YEAR(EDATE(DATE(YEAR(TODAY()),MONTH(TODAY()),1),13))-YEAR(IF(ISNUMBER(Suppliers!F45),Suppliers!F45,DATE(YEAR(TODAY()),MONTH(TODAY()),1))))*12+MONTH(EDATE(DATE(YEAR(TODAY()),MONTH(TODAY()),1),13))-MONTH(IF(ISNUMBER(Suppliers!F45),Suppliers!F45,DATE(YEAR(TODAY()),MONTH(TODAY()),1))),6)=0,1,0),IF(Suppliers!E45="Annual",IF(MOD((YEAR(EDATE(DATE(YEAR(TODAY()),MONTH(TODAY()),1),13))-YEAR(IF(ISNUMBER(Suppliers!F45),Suppliers!F45,DATE(YEAR(TODAY()),MONTH(TODAY()),1))))*12+MONTH(EDATE(DATE(YEAR(TODAY()),MONTH(TODAY()),1),13))-MONTH(IF(ISNUMBER(Suppliers!F45),Suppliers!F45,DATE(YEAR(TODAY()),MONTH(TODAY()),1))),12)=0,1,0),IF(Suppliers!E45="One-time",IF(13=0,1,0),1)))))),"")</f>
        <v/>
      </c>
      <c r="T47" s="10" t="str">
        <f ca="1">IFERROR(IF(OR(14&gt;=$B$1,Suppliers!A45="",NOT(ISNUMBER(Suppliers!D45)),Suppliers!L45="Expired",Suppliers!L45="Terminate"),"",Suppliers!D45*-1*IF(Suppliers!E45="Monthly",IF(AND(ISNUMBER(Suppliers!G45),(YEAR(EDATE(DATE(YEAR(TODAY()),MONTH(TODAY()),1),14))*12+MONTH(EDATE(DATE(YEAR(TODAY()),MONTH(TODAY()),1),14)))&gt;(YEAR(Suppliers!G45)*12+MONTH(Suppliers!G45))),"",1),IF(Suppliers!E45="Quarterly",IF(MOD((YEAR(EDATE(DATE(YEAR(TODAY()),MONTH(TODAY()),1),14))-YEAR(IF(ISNUMBER(Suppliers!F45),Suppliers!F45,DATE(YEAR(TODAY()),MONTH(TODAY()),1))))*12+MONTH(EDATE(DATE(YEAR(TODAY()),MONTH(TODAY()),1),14))-MONTH(IF(ISNUMBER(Suppliers!F45),Suppliers!F45,DATE(YEAR(TODAY()),MONTH(TODAY()),1))),3)=0,1,0),IF(Suppliers!E45="Semi-annual",IF(MOD((YEAR(EDATE(DATE(YEAR(TODAY()),MONTH(TODAY()),1),14))-YEAR(IF(ISNUMBER(Suppliers!F45),Suppliers!F45,DATE(YEAR(TODAY()),MONTH(TODAY()),1))))*12+MONTH(EDATE(DATE(YEAR(TODAY()),MONTH(TODAY()),1),14))-MONTH(IF(ISNUMBER(Suppliers!F45),Suppliers!F45,DATE(YEAR(TODAY()),MONTH(TODAY()),1))),6)=0,1,0),IF(Suppliers!E45="Annual",IF(MOD((YEAR(EDATE(DATE(YEAR(TODAY()),MONTH(TODAY()),1),14))-YEAR(IF(ISNUMBER(Suppliers!F45),Suppliers!F45,DATE(YEAR(TODAY()),MONTH(TODAY()),1))))*12+MONTH(EDATE(DATE(YEAR(TODAY()),MONTH(TODAY()),1),14))-MONTH(IF(ISNUMBER(Suppliers!F45),Suppliers!F45,DATE(YEAR(TODAY()),MONTH(TODAY()),1))),12)=0,1,0),IF(Suppliers!E45="One-time",IF(14=0,1,0),1)))))),"")</f>
        <v/>
      </c>
      <c r="U47" s="10" t="str">
        <f ca="1">IFERROR(IF(OR(15&gt;=$B$1,Suppliers!A45="",NOT(ISNUMBER(Suppliers!D45)),Suppliers!L45="Expired",Suppliers!L45="Terminate"),"",Suppliers!D45*-1*IF(Suppliers!E45="Monthly",IF(AND(ISNUMBER(Suppliers!G45),(YEAR(EDATE(DATE(YEAR(TODAY()),MONTH(TODAY()),1),15))*12+MONTH(EDATE(DATE(YEAR(TODAY()),MONTH(TODAY()),1),15)))&gt;(YEAR(Suppliers!G45)*12+MONTH(Suppliers!G45))),"",1),IF(Suppliers!E45="Quarterly",IF(MOD((YEAR(EDATE(DATE(YEAR(TODAY()),MONTH(TODAY()),1),15))-YEAR(IF(ISNUMBER(Suppliers!F45),Suppliers!F45,DATE(YEAR(TODAY()),MONTH(TODAY()),1))))*12+MONTH(EDATE(DATE(YEAR(TODAY()),MONTH(TODAY()),1),15))-MONTH(IF(ISNUMBER(Suppliers!F45),Suppliers!F45,DATE(YEAR(TODAY()),MONTH(TODAY()),1))),3)=0,1,0),IF(Suppliers!E45="Semi-annual",IF(MOD((YEAR(EDATE(DATE(YEAR(TODAY()),MONTH(TODAY()),1),15))-YEAR(IF(ISNUMBER(Suppliers!F45),Suppliers!F45,DATE(YEAR(TODAY()),MONTH(TODAY()),1))))*12+MONTH(EDATE(DATE(YEAR(TODAY()),MONTH(TODAY()),1),15))-MONTH(IF(ISNUMBER(Suppliers!F45),Suppliers!F45,DATE(YEAR(TODAY()),MONTH(TODAY()),1))),6)=0,1,0),IF(Suppliers!E45="Annual",IF(MOD((YEAR(EDATE(DATE(YEAR(TODAY()),MONTH(TODAY()),1),15))-YEAR(IF(ISNUMBER(Suppliers!F45),Suppliers!F45,DATE(YEAR(TODAY()),MONTH(TODAY()),1))))*12+MONTH(EDATE(DATE(YEAR(TODAY()),MONTH(TODAY()),1),15))-MONTH(IF(ISNUMBER(Suppliers!F45),Suppliers!F45,DATE(YEAR(TODAY()),MONTH(TODAY()),1))),12)=0,1,0),IF(Suppliers!E45="One-time",IF(15=0,1,0),1)))))),"")</f>
        <v/>
      </c>
      <c r="V47" s="10" t="str">
        <f ca="1">IFERROR(IF(OR(16&gt;=$B$1,Suppliers!A45="",NOT(ISNUMBER(Suppliers!D45)),Suppliers!L45="Expired",Suppliers!L45="Terminate"),"",Suppliers!D45*-1*IF(Suppliers!E45="Monthly",IF(AND(ISNUMBER(Suppliers!G45),(YEAR(EDATE(DATE(YEAR(TODAY()),MONTH(TODAY()),1),16))*12+MONTH(EDATE(DATE(YEAR(TODAY()),MONTH(TODAY()),1),16)))&gt;(YEAR(Suppliers!G45)*12+MONTH(Suppliers!G45))),"",1),IF(Suppliers!E45="Quarterly",IF(MOD((YEAR(EDATE(DATE(YEAR(TODAY()),MONTH(TODAY()),1),16))-YEAR(IF(ISNUMBER(Suppliers!F45),Suppliers!F45,DATE(YEAR(TODAY()),MONTH(TODAY()),1))))*12+MONTH(EDATE(DATE(YEAR(TODAY()),MONTH(TODAY()),1),16))-MONTH(IF(ISNUMBER(Suppliers!F45),Suppliers!F45,DATE(YEAR(TODAY()),MONTH(TODAY()),1))),3)=0,1,0),IF(Suppliers!E45="Semi-annual",IF(MOD((YEAR(EDATE(DATE(YEAR(TODAY()),MONTH(TODAY()),1),16))-YEAR(IF(ISNUMBER(Suppliers!F45),Suppliers!F45,DATE(YEAR(TODAY()),MONTH(TODAY()),1))))*12+MONTH(EDATE(DATE(YEAR(TODAY()),MONTH(TODAY()),1),16))-MONTH(IF(ISNUMBER(Suppliers!F45),Suppliers!F45,DATE(YEAR(TODAY()),MONTH(TODAY()),1))),6)=0,1,0),IF(Suppliers!E45="Annual",IF(MOD((YEAR(EDATE(DATE(YEAR(TODAY()),MONTH(TODAY()),1),16))-YEAR(IF(ISNUMBER(Suppliers!F45),Suppliers!F45,DATE(YEAR(TODAY()),MONTH(TODAY()),1))))*12+MONTH(EDATE(DATE(YEAR(TODAY()),MONTH(TODAY()),1),16))-MONTH(IF(ISNUMBER(Suppliers!F45),Suppliers!F45,DATE(YEAR(TODAY()),MONTH(TODAY()),1))),12)=0,1,0),IF(Suppliers!E45="One-time",IF(16=0,1,0),1)))))),"")</f>
        <v/>
      </c>
      <c r="W47" s="10" t="str">
        <f ca="1">IFERROR(IF(OR(17&gt;=$B$1,Suppliers!A45="",NOT(ISNUMBER(Suppliers!D45)),Suppliers!L45="Expired",Suppliers!L45="Terminate"),"",Suppliers!D45*-1*IF(Suppliers!E45="Monthly",IF(AND(ISNUMBER(Suppliers!G45),(YEAR(EDATE(DATE(YEAR(TODAY()),MONTH(TODAY()),1),17))*12+MONTH(EDATE(DATE(YEAR(TODAY()),MONTH(TODAY()),1),17)))&gt;(YEAR(Suppliers!G45)*12+MONTH(Suppliers!G45))),"",1),IF(Suppliers!E45="Quarterly",IF(MOD((YEAR(EDATE(DATE(YEAR(TODAY()),MONTH(TODAY()),1),17))-YEAR(IF(ISNUMBER(Suppliers!F45),Suppliers!F45,DATE(YEAR(TODAY()),MONTH(TODAY()),1))))*12+MONTH(EDATE(DATE(YEAR(TODAY()),MONTH(TODAY()),1),17))-MONTH(IF(ISNUMBER(Suppliers!F45),Suppliers!F45,DATE(YEAR(TODAY()),MONTH(TODAY()),1))),3)=0,1,0),IF(Suppliers!E45="Semi-annual",IF(MOD((YEAR(EDATE(DATE(YEAR(TODAY()),MONTH(TODAY()),1),17))-YEAR(IF(ISNUMBER(Suppliers!F45),Suppliers!F45,DATE(YEAR(TODAY()),MONTH(TODAY()),1))))*12+MONTH(EDATE(DATE(YEAR(TODAY()),MONTH(TODAY()),1),17))-MONTH(IF(ISNUMBER(Suppliers!F45),Suppliers!F45,DATE(YEAR(TODAY()),MONTH(TODAY()),1))),6)=0,1,0),IF(Suppliers!E45="Annual",IF(MOD((YEAR(EDATE(DATE(YEAR(TODAY()),MONTH(TODAY()),1),17))-YEAR(IF(ISNUMBER(Suppliers!F45),Suppliers!F45,DATE(YEAR(TODAY()),MONTH(TODAY()),1))))*12+MONTH(EDATE(DATE(YEAR(TODAY()),MONTH(TODAY()),1),17))-MONTH(IF(ISNUMBER(Suppliers!F45),Suppliers!F45,DATE(YEAR(TODAY()),MONTH(TODAY()),1))),12)=0,1,0),IF(Suppliers!E45="One-time",IF(17=0,1,0),1)))))),"")</f>
        <v/>
      </c>
      <c r="X47" s="10" t="str">
        <f ca="1">IFERROR(IF(OR(18&gt;=$B$1,Suppliers!A45="",NOT(ISNUMBER(Suppliers!D45)),Suppliers!L45="Expired",Suppliers!L45="Terminate"),"",Suppliers!D45*-1*IF(Suppliers!E45="Monthly",IF(AND(ISNUMBER(Suppliers!G45),(YEAR(EDATE(DATE(YEAR(TODAY()),MONTH(TODAY()),1),18))*12+MONTH(EDATE(DATE(YEAR(TODAY()),MONTH(TODAY()),1),18)))&gt;(YEAR(Suppliers!G45)*12+MONTH(Suppliers!G45))),"",1),IF(Suppliers!E45="Quarterly",IF(MOD((YEAR(EDATE(DATE(YEAR(TODAY()),MONTH(TODAY()),1),18))-YEAR(IF(ISNUMBER(Suppliers!F45),Suppliers!F45,DATE(YEAR(TODAY()),MONTH(TODAY()),1))))*12+MONTH(EDATE(DATE(YEAR(TODAY()),MONTH(TODAY()),1),18))-MONTH(IF(ISNUMBER(Suppliers!F45),Suppliers!F45,DATE(YEAR(TODAY()),MONTH(TODAY()),1))),3)=0,1,0),IF(Suppliers!E45="Semi-annual",IF(MOD((YEAR(EDATE(DATE(YEAR(TODAY()),MONTH(TODAY()),1),18))-YEAR(IF(ISNUMBER(Suppliers!F45),Suppliers!F45,DATE(YEAR(TODAY()),MONTH(TODAY()),1))))*12+MONTH(EDATE(DATE(YEAR(TODAY()),MONTH(TODAY()),1),18))-MONTH(IF(ISNUMBER(Suppliers!F45),Suppliers!F45,DATE(YEAR(TODAY()),MONTH(TODAY()),1))),6)=0,1,0),IF(Suppliers!E45="Annual",IF(MOD((YEAR(EDATE(DATE(YEAR(TODAY()),MONTH(TODAY()),1),18))-YEAR(IF(ISNUMBER(Suppliers!F45),Suppliers!F45,DATE(YEAR(TODAY()),MONTH(TODAY()),1))))*12+MONTH(EDATE(DATE(YEAR(TODAY()),MONTH(TODAY()),1),18))-MONTH(IF(ISNUMBER(Suppliers!F45),Suppliers!F45,DATE(YEAR(TODAY()),MONTH(TODAY()),1))),12)=0,1,0),IF(Suppliers!E45="One-time",IF(18=0,1,0),1)))))),"")</f>
        <v/>
      </c>
      <c r="Y47" s="10" t="str">
        <f ca="1">IFERROR(IF(OR(19&gt;=$B$1,Suppliers!A45="",NOT(ISNUMBER(Suppliers!D45)),Suppliers!L45="Expired",Suppliers!L45="Terminate"),"",Suppliers!D45*-1*IF(Suppliers!E45="Monthly",IF(AND(ISNUMBER(Suppliers!G45),(YEAR(EDATE(DATE(YEAR(TODAY()),MONTH(TODAY()),1),19))*12+MONTH(EDATE(DATE(YEAR(TODAY()),MONTH(TODAY()),1),19)))&gt;(YEAR(Suppliers!G45)*12+MONTH(Suppliers!G45))),"",1),IF(Suppliers!E45="Quarterly",IF(MOD((YEAR(EDATE(DATE(YEAR(TODAY()),MONTH(TODAY()),1),19))-YEAR(IF(ISNUMBER(Suppliers!F45),Suppliers!F45,DATE(YEAR(TODAY()),MONTH(TODAY()),1))))*12+MONTH(EDATE(DATE(YEAR(TODAY()),MONTH(TODAY()),1),19))-MONTH(IF(ISNUMBER(Suppliers!F45),Suppliers!F45,DATE(YEAR(TODAY()),MONTH(TODAY()),1))),3)=0,1,0),IF(Suppliers!E45="Semi-annual",IF(MOD((YEAR(EDATE(DATE(YEAR(TODAY()),MONTH(TODAY()),1),19))-YEAR(IF(ISNUMBER(Suppliers!F45),Suppliers!F45,DATE(YEAR(TODAY()),MONTH(TODAY()),1))))*12+MONTH(EDATE(DATE(YEAR(TODAY()),MONTH(TODAY()),1),19))-MONTH(IF(ISNUMBER(Suppliers!F45),Suppliers!F45,DATE(YEAR(TODAY()),MONTH(TODAY()),1))),6)=0,1,0),IF(Suppliers!E45="Annual",IF(MOD((YEAR(EDATE(DATE(YEAR(TODAY()),MONTH(TODAY()),1),19))-YEAR(IF(ISNUMBER(Suppliers!F45),Suppliers!F45,DATE(YEAR(TODAY()),MONTH(TODAY()),1))))*12+MONTH(EDATE(DATE(YEAR(TODAY()),MONTH(TODAY()),1),19))-MONTH(IF(ISNUMBER(Suppliers!F45),Suppliers!F45,DATE(YEAR(TODAY()),MONTH(TODAY()),1))),12)=0,1,0),IF(Suppliers!E45="One-time",IF(19=0,1,0),1)))))),"")</f>
        <v/>
      </c>
      <c r="Z47" s="10" t="str">
        <f ca="1">IFERROR(IF(OR(20&gt;=$B$1,Suppliers!A45="",NOT(ISNUMBER(Suppliers!D45)),Suppliers!L45="Expired",Suppliers!L45="Terminate"),"",Suppliers!D45*-1*IF(Suppliers!E45="Monthly",IF(AND(ISNUMBER(Suppliers!G45),(YEAR(EDATE(DATE(YEAR(TODAY()),MONTH(TODAY()),1),20))*12+MONTH(EDATE(DATE(YEAR(TODAY()),MONTH(TODAY()),1),20)))&gt;(YEAR(Suppliers!G45)*12+MONTH(Suppliers!G45))),"",1),IF(Suppliers!E45="Quarterly",IF(MOD((YEAR(EDATE(DATE(YEAR(TODAY()),MONTH(TODAY()),1),20))-YEAR(IF(ISNUMBER(Suppliers!F45),Suppliers!F45,DATE(YEAR(TODAY()),MONTH(TODAY()),1))))*12+MONTH(EDATE(DATE(YEAR(TODAY()),MONTH(TODAY()),1),20))-MONTH(IF(ISNUMBER(Suppliers!F45),Suppliers!F45,DATE(YEAR(TODAY()),MONTH(TODAY()),1))),3)=0,1,0),IF(Suppliers!E45="Semi-annual",IF(MOD((YEAR(EDATE(DATE(YEAR(TODAY()),MONTH(TODAY()),1),20))-YEAR(IF(ISNUMBER(Suppliers!F45),Suppliers!F45,DATE(YEAR(TODAY()),MONTH(TODAY()),1))))*12+MONTH(EDATE(DATE(YEAR(TODAY()),MONTH(TODAY()),1),20))-MONTH(IF(ISNUMBER(Suppliers!F45),Suppliers!F45,DATE(YEAR(TODAY()),MONTH(TODAY()),1))),6)=0,1,0),IF(Suppliers!E45="Annual",IF(MOD((YEAR(EDATE(DATE(YEAR(TODAY()),MONTH(TODAY()),1),20))-YEAR(IF(ISNUMBER(Suppliers!F45),Suppliers!F45,DATE(YEAR(TODAY()),MONTH(TODAY()),1))))*12+MONTH(EDATE(DATE(YEAR(TODAY()),MONTH(TODAY()),1),20))-MONTH(IF(ISNUMBER(Suppliers!F45),Suppliers!F45,DATE(YEAR(TODAY()),MONTH(TODAY()),1))),12)=0,1,0),IF(Suppliers!E45="One-time",IF(20=0,1,0),1)))))),"")</f>
        <v/>
      </c>
      <c r="AA47" s="10" t="str">
        <f ca="1">IFERROR(IF(OR(21&gt;=$B$1,Suppliers!A45="",NOT(ISNUMBER(Suppliers!D45)),Suppliers!L45="Expired",Suppliers!L45="Terminate"),"",Suppliers!D45*-1*IF(Suppliers!E45="Monthly",IF(AND(ISNUMBER(Suppliers!G45),(YEAR(EDATE(DATE(YEAR(TODAY()),MONTH(TODAY()),1),21))*12+MONTH(EDATE(DATE(YEAR(TODAY()),MONTH(TODAY()),1),21)))&gt;(YEAR(Suppliers!G45)*12+MONTH(Suppliers!G45))),"",1),IF(Suppliers!E45="Quarterly",IF(MOD((YEAR(EDATE(DATE(YEAR(TODAY()),MONTH(TODAY()),1),21))-YEAR(IF(ISNUMBER(Suppliers!F45),Suppliers!F45,DATE(YEAR(TODAY()),MONTH(TODAY()),1))))*12+MONTH(EDATE(DATE(YEAR(TODAY()),MONTH(TODAY()),1),21))-MONTH(IF(ISNUMBER(Suppliers!F45),Suppliers!F45,DATE(YEAR(TODAY()),MONTH(TODAY()),1))),3)=0,1,0),IF(Suppliers!E45="Semi-annual",IF(MOD((YEAR(EDATE(DATE(YEAR(TODAY()),MONTH(TODAY()),1),21))-YEAR(IF(ISNUMBER(Suppliers!F45),Suppliers!F45,DATE(YEAR(TODAY()),MONTH(TODAY()),1))))*12+MONTH(EDATE(DATE(YEAR(TODAY()),MONTH(TODAY()),1),21))-MONTH(IF(ISNUMBER(Suppliers!F45),Suppliers!F45,DATE(YEAR(TODAY()),MONTH(TODAY()),1))),6)=0,1,0),IF(Suppliers!E45="Annual",IF(MOD((YEAR(EDATE(DATE(YEAR(TODAY()),MONTH(TODAY()),1),21))-YEAR(IF(ISNUMBER(Suppliers!F45),Suppliers!F45,DATE(YEAR(TODAY()),MONTH(TODAY()),1))))*12+MONTH(EDATE(DATE(YEAR(TODAY()),MONTH(TODAY()),1),21))-MONTH(IF(ISNUMBER(Suppliers!F45),Suppliers!F45,DATE(YEAR(TODAY()),MONTH(TODAY()),1))),12)=0,1,0),IF(Suppliers!E45="One-time",IF(21=0,1,0),1)))))),"")</f>
        <v/>
      </c>
      <c r="AB47" s="10" t="str">
        <f ca="1">IFERROR(IF(OR(22&gt;=$B$1,Suppliers!A45="",NOT(ISNUMBER(Suppliers!D45)),Suppliers!L45="Expired",Suppliers!L45="Terminate"),"",Suppliers!D45*-1*IF(Suppliers!E45="Monthly",IF(AND(ISNUMBER(Suppliers!G45),(YEAR(EDATE(DATE(YEAR(TODAY()),MONTH(TODAY()),1),22))*12+MONTH(EDATE(DATE(YEAR(TODAY()),MONTH(TODAY()),1),22)))&gt;(YEAR(Suppliers!G45)*12+MONTH(Suppliers!G45))),"",1),IF(Suppliers!E45="Quarterly",IF(MOD((YEAR(EDATE(DATE(YEAR(TODAY()),MONTH(TODAY()),1),22))-YEAR(IF(ISNUMBER(Suppliers!F45),Suppliers!F45,DATE(YEAR(TODAY()),MONTH(TODAY()),1))))*12+MONTH(EDATE(DATE(YEAR(TODAY()),MONTH(TODAY()),1),22))-MONTH(IF(ISNUMBER(Suppliers!F45),Suppliers!F45,DATE(YEAR(TODAY()),MONTH(TODAY()),1))),3)=0,1,0),IF(Suppliers!E45="Semi-annual",IF(MOD((YEAR(EDATE(DATE(YEAR(TODAY()),MONTH(TODAY()),1),22))-YEAR(IF(ISNUMBER(Suppliers!F45),Suppliers!F45,DATE(YEAR(TODAY()),MONTH(TODAY()),1))))*12+MONTH(EDATE(DATE(YEAR(TODAY()),MONTH(TODAY()),1),22))-MONTH(IF(ISNUMBER(Suppliers!F45),Suppliers!F45,DATE(YEAR(TODAY()),MONTH(TODAY()),1))),6)=0,1,0),IF(Suppliers!E45="Annual",IF(MOD((YEAR(EDATE(DATE(YEAR(TODAY()),MONTH(TODAY()),1),22))-YEAR(IF(ISNUMBER(Suppliers!F45),Suppliers!F45,DATE(YEAR(TODAY()),MONTH(TODAY()),1))))*12+MONTH(EDATE(DATE(YEAR(TODAY()),MONTH(TODAY()),1),22))-MONTH(IF(ISNUMBER(Suppliers!F45),Suppliers!F45,DATE(YEAR(TODAY()),MONTH(TODAY()),1))),12)=0,1,0),IF(Suppliers!E45="One-time",IF(22=0,1,0),1)))))),"")</f>
        <v/>
      </c>
      <c r="AC47" s="10" t="str">
        <f ca="1">IFERROR(IF(OR(23&gt;=$B$1,Suppliers!A45="",NOT(ISNUMBER(Suppliers!D45)),Suppliers!L45="Expired",Suppliers!L45="Terminate"),"",Suppliers!D45*-1*IF(Suppliers!E45="Monthly",IF(AND(ISNUMBER(Suppliers!G45),(YEAR(EDATE(DATE(YEAR(TODAY()),MONTH(TODAY()),1),23))*12+MONTH(EDATE(DATE(YEAR(TODAY()),MONTH(TODAY()),1),23)))&gt;(YEAR(Suppliers!G45)*12+MONTH(Suppliers!G45))),"",1),IF(Suppliers!E45="Quarterly",IF(MOD((YEAR(EDATE(DATE(YEAR(TODAY()),MONTH(TODAY()),1),23))-YEAR(IF(ISNUMBER(Suppliers!F45),Suppliers!F45,DATE(YEAR(TODAY()),MONTH(TODAY()),1))))*12+MONTH(EDATE(DATE(YEAR(TODAY()),MONTH(TODAY()),1),23))-MONTH(IF(ISNUMBER(Suppliers!F45),Suppliers!F45,DATE(YEAR(TODAY()),MONTH(TODAY()),1))),3)=0,1,0),IF(Suppliers!E45="Semi-annual",IF(MOD((YEAR(EDATE(DATE(YEAR(TODAY()),MONTH(TODAY()),1),23))-YEAR(IF(ISNUMBER(Suppliers!F45),Suppliers!F45,DATE(YEAR(TODAY()),MONTH(TODAY()),1))))*12+MONTH(EDATE(DATE(YEAR(TODAY()),MONTH(TODAY()),1),23))-MONTH(IF(ISNUMBER(Suppliers!F45),Suppliers!F45,DATE(YEAR(TODAY()),MONTH(TODAY()),1))),6)=0,1,0),IF(Suppliers!E45="Annual",IF(MOD((YEAR(EDATE(DATE(YEAR(TODAY()),MONTH(TODAY()),1),23))-YEAR(IF(ISNUMBER(Suppliers!F45),Suppliers!F45,DATE(YEAR(TODAY()),MONTH(TODAY()),1))))*12+MONTH(EDATE(DATE(YEAR(TODAY()),MONTH(TODAY()),1),23))-MONTH(IF(ISNUMBER(Suppliers!F45),Suppliers!F45,DATE(YEAR(TODAY()),MONTH(TODAY()),1))),12)=0,1,0),IF(Suppliers!E45="One-time",IF(23=0,1,0),1)))))),"")</f>
        <v/>
      </c>
    </row>
    <row r="48" spans="1:29" ht="15" customHeight="1" x14ac:dyDescent="0.35">
      <c r="A48" s="4" t="s">
        <v>80</v>
      </c>
      <c r="B48" s="4" t="str">
        <f>IF(Suppliers!A46="","",Suppliers!A46)</f>
        <v/>
      </c>
      <c r="C48" s="10" t="str">
        <f>IF(Suppliers!C46="","",Suppliers!C46)</f>
        <v/>
      </c>
      <c r="D48" s="10" t="str">
        <f>IF(Suppliers!D46="","",Suppliers!D46)</f>
        <v/>
      </c>
      <c r="E48" s="4" t="str">
        <f>IF(Suppliers!E46="","",Suppliers!E46)</f>
        <v/>
      </c>
      <c r="F48" s="10" t="str">
        <f ca="1">IFERROR(IF(OR(0&gt;=$B$1,Suppliers!A46="",NOT(ISNUMBER(Suppliers!D46)),Suppliers!L46="Expired",Suppliers!L46="Terminate"),"",Suppliers!D46*-1*IF(Suppliers!E46="Monthly",IF(AND(ISNUMBER(Suppliers!G46),(YEAR(EDATE(DATE(YEAR(TODAY()),MONTH(TODAY()),1),0))*12+MONTH(EDATE(DATE(YEAR(TODAY()),MONTH(TODAY()),1),0)))&gt;(YEAR(Suppliers!G46)*12+MONTH(Suppliers!G46))),"",1),IF(Suppliers!E46="Quarterly",IF(MOD((YEAR(EDATE(DATE(YEAR(TODAY()),MONTH(TODAY()),1),0))-YEAR(IF(ISNUMBER(Suppliers!F46),Suppliers!F46,DATE(YEAR(TODAY()),MONTH(TODAY()),1))))*12+MONTH(EDATE(DATE(YEAR(TODAY()),MONTH(TODAY()),1),0))-MONTH(IF(ISNUMBER(Suppliers!F46),Suppliers!F46,DATE(YEAR(TODAY()),MONTH(TODAY()),1))),3)=0,1,0),IF(Suppliers!E46="Semi-annual",IF(MOD((YEAR(EDATE(DATE(YEAR(TODAY()),MONTH(TODAY()),1),0))-YEAR(IF(ISNUMBER(Suppliers!F46),Suppliers!F46,DATE(YEAR(TODAY()),MONTH(TODAY()),1))))*12+MONTH(EDATE(DATE(YEAR(TODAY()),MONTH(TODAY()),1),0))-MONTH(IF(ISNUMBER(Suppliers!F46),Suppliers!F46,DATE(YEAR(TODAY()),MONTH(TODAY()),1))),6)=0,1,0),IF(Suppliers!E46="Annual",IF(MOD((YEAR(EDATE(DATE(YEAR(TODAY()),MONTH(TODAY()),1),0))-YEAR(IF(ISNUMBER(Suppliers!F46),Suppliers!F46,DATE(YEAR(TODAY()),MONTH(TODAY()),1))))*12+MONTH(EDATE(DATE(YEAR(TODAY()),MONTH(TODAY()),1),0))-MONTH(IF(ISNUMBER(Suppliers!F46),Suppliers!F46,DATE(YEAR(TODAY()),MONTH(TODAY()),1))),12)=0,1,0),IF(Suppliers!E46="One-time",IF(0=0,1,0),1)))))),"")</f>
        <v/>
      </c>
      <c r="G48" s="10" t="str">
        <f ca="1">IFERROR(IF(OR(1&gt;=$B$1,Suppliers!A46="",NOT(ISNUMBER(Suppliers!D46)),Suppliers!L46="Expired",Suppliers!L46="Terminate"),"",Suppliers!D46*-1*IF(Suppliers!E46="Monthly",IF(AND(ISNUMBER(Suppliers!G46),(YEAR(EDATE(DATE(YEAR(TODAY()),MONTH(TODAY()),1),1))*12+MONTH(EDATE(DATE(YEAR(TODAY()),MONTH(TODAY()),1),1)))&gt;(YEAR(Suppliers!G46)*12+MONTH(Suppliers!G46))),"",1),IF(Suppliers!E46="Quarterly",IF(MOD((YEAR(EDATE(DATE(YEAR(TODAY()),MONTH(TODAY()),1),1))-YEAR(IF(ISNUMBER(Suppliers!F46),Suppliers!F46,DATE(YEAR(TODAY()),MONTH(TODAY()),1))))*12+MONTH(EDATE(DATE(YEAR(TODAY()),MONTH(TODAY()),1),1))-MONTH(IF(ISNUMBER(Suppliers!F46),Suppliers!F46,DATE(YEAR(TODAY()),MONTH(TODAY()),1))),3)=0,1,0),IF(Suppliers!E46="Semi-annual",IF(MOD((YEAR(EDATE(DATE(YEAR(TODAY()),MONTH(TODAY()),1),1))-YEAR(IF(ISNUMBER(Suppliers!F46),Suppliers!F46,DATE(YEAR(TODAY()),MONTH(TODAY()),1))))*12+MONTH(EDATE(DATE(YEAR(TODAY()),MONTH(TODAY()),1),1))-MONTH(IF(ISNUMBER(Suppliers!F46),Suppliers!F46,DATE(YEAR(TODAY()),MONTH(TODAY()),1))),6)=0,1,0),IF(Suppliers!E46="Annual",IF(MOD((YEAR(EDATE(DATE(YEAR(TODAY()),MONTH(TODAY()),1),1))-YEAR(IF(ISNUMBER(Suppliers!F46),Suppliers!F46,DATE(YEAR(TODAY()),MONTH(TODAY()),1))))*12+MONTH(EDATE(DATE(YEAR(TODAY()),MONTH(TODAY()),1),1))-MONTH(IF(ISNUMBER(Suppliers!F46),Suppliers!F46,DATE(YEAR(TODAY()),MONTH(TODAY()),1))),12)=0,1,0),IF(Suppliers!E46="One-time",IF(1=0,1,0),1)))))),"")</f>
        <v/>
      </c>
      <c r="H48" s="10" t="str">
        <f ca="1">IFERROR(IF(OR(2&gt;=$B$1,Suppliers!A46="",NOT(ISNUMBER(Suppliers!D46)),Suppliers!L46="Expired",Suppliers!L46="Terminate"),"",Suppliers!D46*-1*IF(Suppliers!E46="Monthly",IF(AND(ISNUMBER(Suppliers!G46),(YEAR(EDATE(DATE(YEAR(TODAY()),MONTH(TODAY()),1),2))*12+MONTH(EDATE(DATE(YEAR(TODAY()),MONTH(TODAY()),1),2)))&gt;(YEAR(Suppliers!G46)*12+MONTH(Suppliers!G46))),"",1),IF(Suppliers!E46="Quarterly",IF(MOD((YEAR(EDATE(DATE(YEAR(TODAY()),MONTH(TODAY()),1),2))-YEAR(IF(ISNUMBER(Suppliers!F46),Suppliers!F46,DATE(YEAR(TODAY()),MONTH(TODAY()),1))))*12+MONTH(EDATE(DATE(YEAR(TODAY()),MONTH(TODAY()),1),2))-MONTH(IF(ISNUMBER(Suppliers!F46),Suppliers!F46,DATE(YEAR(TODAY()),MONTH(TODAY()),1))),3)=0,1,0),IF(Suppliers!E46="Semi-annual",IF(MOD((YEAR(EDATE(DATE(YEAR(TODAY()),MONTH(TODAY()),1),2))-YEAR(IF(ISNUMBER(Suppliers!F46),Suppliers!F46,DATE(YEAR(TODAY()),MONTH(TODAY()),1))))*12+MONTH(EDATE(DATE(YEAR(TODAY()),MONTH(TODAY()),1),2))-MONTH(IF(ISNUMBER(Suppliers!F46),Suppliers!F46,DATE(YEAR(TODAY()),MONTH(TODAY()),1))),6)=0,1,0),IF(Suppliers!E46="Annual",IF(MOD((YEAR(EDATE(DATE(YEAR(TODAY()),MONTH(TODAY()),1),2))-YEAR(IF(ISNUMBER(Suppliers!F46),Suppliers!F46,DATE(YEAR(TODAY()),MONTH(TODAY()),1))))*12+MONTH(EDATE(DATE(YEAR(TODAY()),MONTH(TODAY()),1),2))-MONTH(IF(ISNUMBER(Suppliers!F46),Suppliers!F46,DATE(YEAR(TODAY()),MONTH(TODAY()),1))),12)=0,1,0),IF(Suppliers!E46="One-time",IF(2=0,1,0),1)))))),"")</f>
        <v/>
      </c>
      <c r="I48" s="10" t="str">
        <f ca="1">IFERROR(IF(OR(3&gt;=$B$1,Suppliers!A46="",NOT(ISNUMBER(Suppliers!D46)),Suppliers!L46="Expired",Suppliers!L46="Terminate"),"",Suppliers!D46*-1*IF(Suppliers!E46="Monthly",IF(AND(ISNUMBER(Suppliers!G46),(YEAR(EDATE(DATE(YEAR(TODAY()),MONTH(TODAY()),1),3))*12+MONTH(EDATE(DATE(YEAR(TODAY()),MONTH(TODAY()),1),3)))&gt;(YEAR(Suppliers!G46)*12+MONTH(Suppliers!G46))),"",1),IF(Suppliers!E46="Quarterly",IF(MOD((YEAR(EDATE(DATE(YEAR(TODAY()),MONTH(TODAY()),1),3))-YEAR(IF(ISNUMBER(Suppliers!F46),Suppliers!F46,DATE(YEAR(TODAY()),MONTH(TODAY()),1))))*12+MONTH(EDATE(DATE(YEAR(TODAY()),MONTH(TODAY()),1),3))-MONTH(IF(ISNUMBER(Suppliers!F46),Suppliers!F46,DATE(YEAR(TODAY()),MONTH(TODAY()),1))),3)=0,1,0),IF(Suppliers!E46="Semi-annual",IF(MOD((YEAR(EDATE(DATE(YEAR(TODAY()),MONTH(TODAY()),1),3))-YEAR(IF(ISNUMBER(Suppliers!F46),Suppliers!F46,DATE(YEAR(TODAY()),MONTH(TODAY()),1))))*12+MONTH(EDATE(DATE(YEAR(TODAY()),MONTH(TODAY()),1),3))-MONTH(IF(ISNUMBER(Suppliers!F46),Suppliers!F46,DATE(YEAR(TODAY()),MONTH(TODAY()),1))),6)=0,1,0),IF(Suppliers!E46="Annual",IF(MOD((YEAR(EDATE(DATE(YEAR(TODAY()),MONTH(TODAY()),1),3))-YEAR(IF(ISNUMBER(Suppliers!F46),Suppliers!F46,DATE(YEAR(TODAY()),MONTH(TODAY()),1))))*12+MONTH(EDATE(DATE(YEAR(TODAY()),MONTH(TODAY()),1),3))-MONTH(IF(ISNUMBER(Suppliers!F46),Suppliers!F46,DATE(YEAR(TODAY()),MONTH(TODAY()),1))),12)=0,1,0),IF(Suppliers!E46="One-time",IF(3=0,1,0),1)))))),"")</f>
        <v/>
      </c>
      <c r="J48" s="10" t="str">
        <f ca="1">IFERROR(IF(OR(4&gt;=$B$1,Suppliers!A46="",NOT(ISNUMBER(Suppliers!D46)),Suppliers!L46="Expired",Suppliers!L46="Terminate"),"",Suppliers!D46*-1*IF(Suppliers!E46="Monthly",IF(AND(ISNUMBER(Suppliers!G46),(YEAR(EDATE(DATE(YEAR(TODAY()),MONTH(TODAY()),1),4))*12+MONTH(EDATE(DATE(YEAR(TODAY()),MONTH(TODAY()),1),4)))&gt;(YEAR(Suppliers!G46)*12+MONTH(Suppliers!G46))),"",1),IF(Suppliers!E46="Quarterly",IF(MOD((YEAR(EDATE(DATE(YEAR(TODAY()),MONTH(TODAY()),1),4))-YEAR(IF(ISNUMBER(Suppliers!F46),Suppliers!F46,DATE(YEAR(TODAY()),MONTH(TODAY()),1))))*12+MONTH(EDATE(DATE(YEAR(TODAY()),MONTH(TODAY()),1),4))-MONTH(IF(ISNUMBER(Suppliers!F46),Suppliers!F46,DATE(YEAR(TODAY()),MONTH(TODAY()),1))),3)=0,1,0),IF(Suppliers!E46="Semi-annual",IF(MOD((YEAR(EDATE(DATE(YEAR(TODAY()),MONTH(TODAY()),1),4))-YEAR(IF(ISNUMBER(Suppliers!F46),Suppliers!F46,DATE(YEAR(TODAY()),MONTH(TODAY()),1))))*12+MONTH(EDATE(DATE(YEAR(TODAY()),MONTH(TODAY()),1),4))-MONTH(IF(ISNUMBER(Suppliers!F46),Suppliers!F46,DATE(YEAR(TODAY()),MONTH(TODAY()),1))),6)=0,1,0),IF(Suppliers!E46="Annual",IF(MOD((YEAR(EDATE(DATE(YEAR(TODAY()),MONTH(TODAY()),1),4))-YEAR(IF(ISNUMBER(Suppliers!F46),Suppliers!F46,DATE(YEAR(TODAY()),MONTH(TODAY()),1))))*12+MONTH(EDATE(DATE(YEAR(TODAY()),MONTH(TODAY()),1),4))-MONTH(IF(ISNUMBER(Suppliers!F46),Suppliers!F46,DATE(YEAR(TODAY()),MONTH(TODAY()),1))),12)=0,1,0),IF(Suppliers!E46="One-time",IF(4=0,1,0),1)))))),"")</f>
        <v/>
      </c>
      <c r="K48" s="10" t="str">
        <f ca="1">IFERROR(IF(OR(5&gt;=$B$1,Suppliers!A46="",NOT(ISNUMBER(Suppliers!D46)),Suppliers!L46="Expired",Suppliers!L46="Terminate"),"",Suppliers!D46*-1*IF(Suppliers!E46="Monthly",IF(AND(ISNUMBER(Suppliers!G46),(YEAR(EDATE(DATE(YEAR(TODAY()),MONTH(TODAY()),1),5))*12+MONTH(EDATE(DATE(YEAR(TODAY()),MONTH(TODAY()),1),5)))&gt;(YEAR(Suppliers!G46)*12+MONTH(Suppliers!G46))),"",1),IF(Suppliers!E46="Quarterly",IF(MOD((YEAR(EDATE(DATE(YEAR(TODAY()),MONTH(TODAY()),1),5))-YEAR(IF(ISNUMBER(Suppliers!F46),Suppliers!F46,DATE(YEAR(TODAY()),MONTH(TODAY()),1))))*12+MONTH(EDATE(DATE(YEAR(TODAY()),MONTH(TODAY()),1),5))-MONTH(IF(ISNUMBER(Suppliers!F46),Suppliers!F46,DATE(YEAR(TODAY()),MONTH(TODAY()),1))),3)=0,1,0),IF(Suppliers!E46="Semi-annual",IF(MOD((YEAR(EDATE(DATE(YEAR(TODAY()),MONTH(TODAY()),1),5))-YEAR(IF(ISNUMBER(Suppliers!F46),Suppliers!F46,DATE(YEAR(TODAY()),MONTH(TODAY()),1))))*12+MONTH(EDATE(DATE(YEAR(TODAY()),MONTH(TODAY()),1),5))-MONTH(IF(ISNUMBER(Suppliers!F46),Suppliers!F46,DATE(YEAR(TODAY()),MONTH(TODAY()),1))),6)=0,1,0),IF(Suppliers!E46="Annual",IF(MOD((YEAR(EDATE(DATE(YEAR(TODAY()),MONTH(TODAY()),1),5))-YEAR(IF(ISNUMBER(Suppliers!F46),Suppliers!F46,DATE(YEAR(TODAY()),MONTH(TODAY()),1))))*12+MONTH(EDATE(DATE(YEAR(TODAY()),MONTH(TODAY()),1),5))-MONTH(IF(ISNUMBER(Suppliers!F46),Suppliers!F46,DATE(YEAR(TODAY()),MONTH(TODAY()),1))),12)=0,1,0),IF(Suppliers!E46="One-time",IF(5=0,1,0),1)))))),"")</f>
        <v/>
      </c>
      <c r="L48" s="10" t="str">
        <f ca="1">IFERROR(IF(OR(6&gt;=$B$1,Suppliers!A46="",NOT(ISNUMBER(Suppliers!D46)),Suppliers!L46="Expired",Suppliers!L46="Terminate"),"",Suppliers!D46*-1*IF(Suppliers!E46="Monthly",IF(AND(ISNUMBER(Suppliers!G46),(YEAR(EDATE(DATE(YEAR(TODAY()),MONTH(TODAY()),1),6))*12+MONTH(EDATE(DATE(YEAR(TODAY()),MONTH(TODAY()),1),6)))&gt;(YEAR(Suppliers!G46)*12+MONTH(Suppliers!G46))),"",1),IF(Suppliers!E46="Quarterly",IF(MOD((YEAR(EDATE(DATE(YEAR(TODAY()),MONTH(TODAY()),1),6))-YEAR(IF(ISNUMBER(Suppliers!F46),Suppliers!F46,DATE(YEAR(TODAY()),MONTH(TODAY()),1))))*12+MONTH(EDATE(DATE(YEAR(TODAY()),MONTH(TODAY()),1),6))-MONTH(IF(ISNUMBER(Suppliers!F46),Suppliers!F46,DATE(YEAR(TODAY()),MONTH(TODAY()),1))),3)=0,1,0),IF(Suppliers!E46="Semi-annual",IF(MOD((YEAR(EDATE(DATE(YEAR(TODAY()),MONTH(TODAY()),1),6))-YEAR(IF(ISNUMBER(Suppliers!F46),Suppliers!F46,DATE(YEAR(TODAY()),MONTH(TODAY()),1))))*12+MONTH(EDATE(DATE(YEAR(TODAY()),MONTH(TODAY()),1),6))-MONTH(IF(ISNUMBER(Suppliers!F46),Suppliers!F46,DATE(YEAR(TODAY()),MONTH(TODAY()),1))),6)=0,1,0),IF(Suppliers!E46="Annual",IF(MOD((YEAR(EDATE(DATE(YEAR(TODAY()),MONTH(TODAY()),1),6))-YEAR(IF(ISNUMBER(Suppliers!F46),Suppliers!F46,DATE(YEAR(TODAY()),MONTH(TODAY()),1))))*12+MONTH(EDATE(DATE(YEAR(TODAY()),MONTH(TODAY()),1),6))-MONTH(IF(ISNUMBER(Suppliers!F46),Suppliers!F46,DATE(YEAR(TODAY()),MONTH(TODAY()),1))),12)=0,1,0),IF(Suppliers!E46="One-time",IF(6=0,1,0),1)))))),"")</f>
        <v/>
      </c>
      <c r="M48" s="10" t="str">
        <f ca="1">IFERROR(IF(OR(7&gt;=$B$1,Suppliers!A46="",NOT(ISNUMBER(Suppliers!D46)),Suppliers!L46="Expired",Suppliers!L46="Terminate"),"",Suppliers!D46*-1*IF(Suppliers!E46="Monthly",IF(AND(ISNUMBER(Suppliers!G46),(YEAR(EDATE(DATE(YEAR(TODAY()),MONTH(TODAY()),1),7))*12+MONTH(EDATE(DATE(YEAR(TODAY()),MONTH(TODAY()),1),7)))&gt;(YEAR(Suppliers!G46)*12+MONTH(Suppliers!G46))),"",1),IF(Suppliers!E46="Quarterly",IF(MOD((YEAR(EDATE(DATE(YEAR(TODAY()),MONTH(TODAY()),1),7))-YEAR(IF(ISNUMBER(Suppliers!F46),Suppliers!F46,DATE(YEAR(TODAY()),MONTH(TODAY()),1))))*12+MONTH(EDATE(DATE(YEAR(TODAY()),MONTH(TODAY()),1),7))-MONTH(IF(ISNUMBER(Suppliers!F46),Suppliers!F46,DATE(YEAR(TODAY()),MONTH(TODAY()),1))),3)=0,1,0),IF(Suppliers!E46="Semi-annual",IF(MOD((YEAR(EDATE(DATE(YEAR(TODAY()),MONTH(TODAY()),1),7))-YEAR(IF(ISNUMBER(Suppliers!F46),Suppliers!F46,DATE(YEAR(TODAY()),MONTH(TODAY()),1))))*12+MONTH(EDATE(DATE(YEAR(TODAY()),MONTH(TODAY()),1),7))-MONTH(IF(ISNUMBER(Suppliers!F46),Suppliers!F46,DATE(YEAR(TODAY()),MONTH(TODAY()),1))),6)=0,1,0),IF(Suppliers!E46="Annual",IF(MOD((YEAR(EDATE(DATE(YEAR(TODAY()),MONTH(TODAY()),1),7))-YEAR(IF(ISNUMBER(Suppliers!F46),Suppliers!F46,DATE(YEAR(TODAY()),MONTH(TODAY()),1))))*12+MONTH(EDATE(DATE(YEAR(TODAY()),MONTH(TODAY()),1),7))-MONTH(IF(ISNUMBER(Suppliers!F46),Suppliers!F46,DATE(YEAR(TODAY()),MONTH(TODAY()),1))),12)=0,1,0),IF(Suppliers!E46="One-time",IF(7=0,1,0),1)))))),"")</f>
        <v/>
      </c>
      <c r="N48" s="10" t="str">
        <f ca="1">IFERROR(IF(OR(8&gt;=$B$1,Suppliers!A46="",NOT(ISNUMBER(Suppliers!D46)),Suppliers!L46="Expired",Suppliers!L46="Terminate"),"",Suppliers!D46*-1*IF(Suppliers!E46="Monthly",IF(AND(ISNUMBER(Suppliers!G46),(YEAR(EDATE(DATE(YEAR(TODAY()),MONTH(TODAY()),1),8))*12+MONTH(EDATE(DATE(YEAR(TODAY()),MONTH(TODAY()),1),8)))&gt;(YEAR(Suppliers!G46)*12+MONTH(Suppliers!G46))),"",1),IF(Suppliers!E46="Quarterly",IF(MOD((YEAR(EDATE(DATE(YEAR(TODAY()),MONTH(TODAY()),1),8))-YEAR(IF(ISNUMBER(Suppliers!F46),Suppliers!F46,DATE(YEAR(TODAY()),MONTH(TODAY()),1))))*12+MONTH(EDATE(DATE(YEAR(TODAY()),MONTH(TODAY()),1),8))-MONTH(IF(ISNUMBER(Suppliers!F46),Suppliers!F46,DATE(YEAR(TODAY()),MONTH(TODAY()),1))),3)=0,1,0),IF(Suppliers!E46="Semi-annual",IF(MOD((YEAR(EDATE(DATE(YEAR(TODAY()),MONTH(TODAY()),1),8))-YEAR(IF(ISNUMBER(Suppliers!F46),Suppliers!F46,DATE(YEAR(TODAY()),MONTH(TODAY()),1))))*12+MONTH(EDATE(DATE(YEAR(TODAY()),MONTH(TODAY()),1),8))-MONTH(IF(ISNUMBER(Suppliers!F46),Suppliers!F46,DATE(YEAR(TODAY()),MONTH(TODAY()),1))),6)=0,1,0),IF(Suppliers!E46="Annual",IF(MOD((YEAR(EDATE(DATE(YEAR(TODAY()),MONTH(TODAY()),1),8))-YEAR(IF(ISNUMBER(Suppliers!F46),Suppliers!F46,DATE(YEAR(TODAY()),MONTH(TODAY()),1))))*12+MONTH(EDATE(DATE(YEAR(TODAY()),MONTH(TODAY()),1),8))-MONTH(IF(ISNUMBER(Suppliers!F46),Suppliers!F46,DATE(YEAR(TODAY()),MONTH(TODAY()),1))),12)=0,1,0),IF(Suppliers!E46="One-time",IF(8=0,1,0),1)))))),"")</f>
        <v/>
      </c>
      <c r="O48" s="10" t="str">
        <f ca="1">IFERROR(IF(OR(9&gt;=$B$1,Suppliers!A46="",NOT(ISNUMBER(Suppliers!D46)),Suppliers!L46="Expired",Suppliers!L46="Terminate"),"",Suppliers!D46*-1*IF(Suppliers!E46="Monthly",IF(AND(ISNUMBER(Suppliers!G46),(YEAR(EDATE(DATE(YEAR(TODAY()),MONTH(TODAY()),1),9))*12+MONTH(EDATE(DATE(YEAR(TODAY()),MONTH(TODAY()),1),9)))&gt;(YEAR(Suppliers!G46)*12+MONTH(Suppliers!G46))),"",1),IF(Suppliers!E46="Quarterly",IF(MOD((YEAR(EDATE(DATE(YEAR(TODAY()),MONTH(TODAY()),1),9))-YEAR(IF(ISNUMBER(Suppliers!F46),Suppliers!F46,DATE(YEAR(TODAY()),MONTH(TODAY()),1))))*12+MONTH(EDATE(DATE(YEAR(TODAY()),MONTH(TODAY()),1),9))-MONTH(IF(ISNUMBER(Suppliers!F46),Suppliers!F46,DATE(YEAR(TODAY()),MONTH(TODAY()),1))),3)=0,1,0),IF(Suppliers!E46="Semi-annual",IF(MOD((YEAR(EDATE(DATE(YEAR(TODAY()),MONTH(TODAY()),1),9))-YEAR(IF(ISNUMBER(Suppliers!F46),Suppliers!F46,DATE(YEAR(TODAY()),MONTH(TODAY()),1))))*12+MONTH(EDATE(DATE(YEAR(TODAY()),MONTH(TODAY()),1),9))-MONTH(IF(ISNUMBER(Suppliers!F46),Suppliers!F46,DATE(YEAR(TODAY()),MONTH(TODAY()),1))),6)=0,1,0),IF(Suppliers!E46="Annual",IF(MOD((YEAR(EDATE(DATE(YEAR(TODAY()),MONTH(TODAY()),1),9))-YEAR(IF(ISNUMBER(Suppliers!F46),Suppliers!F46,DATE(YEAR(TODAY()),MONTH(TODAY()),1))))*12+MONTH(EDATE(DATE(YEAR(TODAY()),MONTH(TODAY()),1),9))-MONTH(IF(ISNUMBER(Suppliers!F46),Suppliers!F46,DATE(YEAR(TODAY()),MONTH(TODAY()),1))),12)=0,1,0),IF(Suppliers!E46="One-time",IF(9=0,1,0),1)))))),"")</f>
        <v/>
      </c>
      <c r="P48" s="10" t="str">
        <f ca="1">IFERROR(IF(OR(10&gt;=$B$1,Suppliers!A46="",NOT(ISNUMBER(Suppliers!D46)),Suppliers!L46="Expired",Suppliers!L46="Terminate"),"",Suppliers!D46*-1*IF(Suppliers!E46="Monthly",IF(AND(ISNUMBER(Suppliers!G46),(YEAR(EDATE(DATE(YEAR(TODAY()),MONTH(TODAY()),1),10))*12+MONTH(EDATE(DATE(YEAR(TODAY()),MONTH(TODAY()),1),10)))&gt;(YEAR(Suppliers!G46)*12+MONTH(Suppliers!G46))),"",1),IF(Suppliers!E46="Quarterly",IF(MOD((YEAR(EDATE(DATE(YEAR(TODAY()),MONTH(TODAY()),1),10))-YEAR(IF(ISNUMBER(Suppliers!F46),Suppliers!F46,DATE(YEAR(TODAY()),MONTH(TODAY()),1))))*12+MONTH(EDATE(DATE(YEAR(TODAY()),MONTH(TODAY()),1),10))-MONTH(IF(ISNUMBER(Suppliers!F46),Suppliers!F46,DATE(YEAR(TODAY()),MONTH(TODAY()),1))),3)=0,1,0),IF(Suppliers!E46="Semi-annual",IF(MOD((YEAR(EDATE(DATE(YEAR(TODAY()),MONTH(TODAY()),1),10))-YEAR(IF(ISNUMBER(Suppliers!F46),Suppliers!F46,DATE(YEAR(TODAY()),MONTH(TODAY()),1))))*12+MONTH(EDATE(DATE(YEAR(TODAY()),MONTH(TODAY()),1),10))-MONTH(IF(ISNUMBER(Suppliers!F46),Suppliers!F46,DATE(YEAR(TODAY()),MONTH(TODAY()),1))),6)=0,1,0),IF(Suppliers!E46="Annual",IF(MOD((YEAR(EDATE(DATE(YEAR(TODAY()),MONTH(TODAY()),1),10))-YEAR(IF(ISNUMBER(Suppliers!F46),Suppliers!F46,DATE(YEAR(TODAY()),MONTH(TODAY()),1))))*12+MONTH(EDATE(DATE(YEAR(TODAY()),MONTH(TODAY()),1),10))-MONTH(IF(ISNUMBER(Suppliers!F46),Suppliers!F46,DATE(YEAR(TODAY()),MONTH(TODAY()),1))),12)=0,1,0),IF(Suppliers!E46="One-time",IF(10=0,1,0),1)))))),"")</f>
        <v/>
      </c>
      <c r="Q48" s="10" t="str">
        <f ca="1">IFERROR(IF(OR(11&gt;=$B$1,Suppliers!A46="",NOT(ISNUMBER(Suppliers!D46)),Suppliers!L46="Expired",Suppliers!L46="Terminate"),"",Suppliers!D46*-1*IF(Suppliers!E46="Monthly",IF(AND(ISNUMBER(Suppliers!G46),(YEAR(EDATE(DATE(YEAR(TODAY()),MONTH(TODAY()),1),11))*12+MONTH(EDATE(DATE(YEAR(TODAY()),MONTH(TODAY()),1),11)))&gt;(YEAR(Suppliers!G46)*12+MONTH(Suppliers!G46))),"",1),IF(Suppliers!E46="Quarterly",IF(MOD((YEAR(EDATE(DATE(YEAR(TODAY()),MONTH(TODAY()),1),11))-YEAR(IF(ISNUMBER(Suppliers!F46),Suppliers!F46,DATE(YEAR(TODAY()),MONTH(TODAY()),1))))*12+MONTH(EDATE(DATE(YEAR(TODAY()),MONTH(TODAY()),1),11))-MONTH(IF(ISNUMBER(Suppliers!F46),Suppliers!F46,DATE(YEAR(TODAY()),MONTH(TODAY()),1))),3)=0,1,0),IF(Suppliers!E46="Semi-annual",IF(MOD((YEAR(EDATE(DATE(YEAR(TODAY()),MONTH(TODAY()),1),11))-YEAR(IF(ISNUMBER(Suppliers!F46),Suppliers!F46,DATE(YEAR(TODAY()),MONTH(TODAY()),1))))*12+MONTH(EDATE(DATE(YEAR(TODAY()),MONTH(TODAY()),1),11))-MONTH(IF(ISNUMBER(Suppliers!F46),Suppliers!F46,DATE(YEAR(TODAY()),MONTH(TODAY()),1))),6)=0,1,0),IF(Suppliers!E46="Annual",IF(MOD((YEAR(EDATE(DATE(YEAR(TODAY()),MONTH(TODAY()),1),11))-YEAR(IF(ISNUMBER(Suppliers!F46),Suppliers!F46,DATE(YEAR(TODAY()),MONTH(TODAY()),1))))*12+MONTH(EDATE(DATE(YEAR(TODAY()),MONTH(TODAY()),1),11))-MONTH(IF(ISNUMBER(Suppliers!F46),Suppliers!F46,DATE(YEAR(TODAY()),MONTH(TODAY()),1))),12)=0,1,0),IF(Suppliers!E46="One-time",IF(11=0,1,0),1)))))),"")</f>
        <v/>
      </c>
      <c r="R48" s="10" t="str">
        <f ca="1">IFERROR(IF(OR(12&gt;=$B$1,Suppliers!A46="",NOT(ISNUMBER(Suppliers!D46)),Suppliers!L46="Expired",Suppliers!L46="Terminate"),"",Suppliers!D46*-1*IF(Suppliers!E46="Monthly",IF(AND(ISNUMBER(Suppliers!G46),(YEAR(EDATE(DATE(YEAR(TODAY()),MONTH(TODAY()),1),12))*12+MONTH(EDATE(DATE(YEAR(TODAY()),MONTH(TODAY()),1),12)))&gt;(YEAR(Suppliers!G46)*12+MONTH(Suppliers!G46))),"",1),IF(Suppliers!E46="Quarterly",IF(MOD((YEAR(EDATE(DATE(YEAR(TODAY()),MONTH(TODAY()),1),12))-YEAR(IF(ISNUMBER(Suppliers!F46),Suppliers!F46,DATE(YEAR(TODAY()),MONTH(TODAY()),1))))*12+MONTH(EDATE(DATE(YEAR(TODAY()),MONTH(TODAY()),1),12))-MONTH(IF(ISNUMBER(Suppliers!F46),Suppliers!F46,DATE(YEAR(TODAY()),MONTH(TODAY()),1))),3)=0,1,0),IF(Suppliers!E46="Semi-annual",IF(MOD((YEAR(EDATE(DATE(YEAR(TODAY()),MONTH(TODAY()),1),12))-YEAR(IF(ISNUMBER(Suppliers!F46),Suppliers!F46,DATE(YEAR(TODAY()),MONTH(TODAY()),1))))*12+MONTH(EDATE(DATE(YEAR(TODAY()),MONTH(TODAY()),1),12))-MONTH(IF(ISNUMBER(Suppliers!F46),Suppliers!F46,DATE(YEAR(TODAY()),MONTH(TODAY()),1))),6)=0,1,0),IF(Suppliers!E46="Annual",IF(MOD((YEAR(EDATE(DATE(YEAR(TODAY()),MONTH(TODAY()),1),12))-YEAR(IF(ISNUMBER(Suppliers!F46),Suppliers!F46,DATE(YEAR(TODAY()),MONTH(TODAY()),1))))*12+MONTH(EDATE(DATE(YEAR(TODAY()),MONTH(TODAY()),1),12))-MONTH(IF(ISNUMBER(Suppliers!F46),Suppliers!F46,DATE(YEAR(TODAY()),MONTH(TODAY()),1))),12)=0,1,0),IF(Suppliers!E46="One-time",IF(12=0,1,0),1)))))),"")</f>
        <v/>
      </c>
      <c r="S48" s="10" t="str">
        <f ca="1">IFERROR(IF(OR(13&gt;=$B$1,Suppliers!A46="",NOT(ISNUMBER(Suppliers!D46)),Suppliers!L46="Expired",Suppliers!L46="Terminate"),"",Suppliers!D46*-1*IF(Suppliers!E46="Monthly",IF(AND(ISNUMBER(Suppliers!G46),(YEAR(EDATE(DATE(YEAR(TODAY()),MONTH(TODAY()),1),13))*12+MONTH(EDATE(DATE(YEAR(TODAY()),MONTH(TODAY()),1),13)))&gt;(YEAR(Suppliers!G46)*12+MONTH(Suppliers!G46))),"",1),IF(Suppliers!E46="Quarterly",IF(MOD((YEAR(EDATE(DATE(YEAR(TODAY()),MONTH(TODAY()),1),13))-YEAR(IF(ISNUMBER(Suppliers!F46),Suppliers!F46,DATE(YEAR(TODAY()),MONTH(TODAY()),1))))*12+MONTH(EDATE(DATE(YEAR(TODAY()),MONTH(TODAY()),1),13))-MONTH(IF(ISNUMBER(Suppliers!F46),Suppliers!F46,DATE(YEAR(TODAY()),MONTH(TODAY()),1))),3)=0,1,0),IF(Suppliers!E46="Semi-annual",IF(MOD((YEAR(EDATE(DATE(YEAR(TODAY()),MONTH(TODAY()),1),13))-YEAR(IF(ISNUMBER(Suppliers!F46),Suppliers!F46,DATE(YEAR(TODAY()),MONTH(TODAY()),1))))*12+MONTH(EDATE(DATE(YEAR(TODAY()),MONTH(TODAY()),1),13))-MONTH(IF(ISNUMBER(Suppliers!F46),Suppliers!F46,DATE(YEAR(TODAY()),MONTH(TODAY()),1))),6)=0,1,0),IF(Suppliers!E46="Annual",IF(MOD((YEAR(EDATE(DATE(YEAR(TODAY()),MONTH(TODAY()),1),13))-YEAR(IF(ISNUMBER(Suppliers!F46),Suppliers!F46,DATE(YEAR(TODAY()),MONTH(TODAY()),1))))*12+MONTH(EDATE(DATE(YEAR(TODAY()),MONTH(TODAY()),1),13))-MONTH(IF(ISNUMBER(Suppliers!F46),Suppliers!F46,DATE(YEAR(TODAY()),MONTH(TODAY()),1))),12)=0,1,0),IF(Suppliers!E46="One-time",IF(13=0,1,0),1)))))),"")</f>
        <v/>
      </c>
      <c r="T48" s="10" t="str">
        <f ca="1">IFERROR(IF(OR(14&gt;=$B$1,Suppliers!A46="",NOT(ISNUMBER(Suppliers!D46)),Suppliers!L46="Expired",Suppliers!L46="Terminate"),"",Suppliers!D46*-1*IF(Suppliers!E46="Monthly",IF(AND(ISNUMBER(Suppliers!G46),(YEAR(EDATE(DATE(YEAR(TODAY()),MONTH(TODAY()),1),14))*12+MONTH(EDATE(DATE(YEAR(TODAY()),MONTH(TODAY()),1),14)))&gt;(YEAR(Suppliers!G46)*12+MONTH(Suppliers!G46))),"",1),IF(Suppliers!E46="Quarterly",IF(MOD((YEAR(EDATE(DATE(YEAR(TODAY()),MONTH(TODAY()),1),14))-YEAR(IF(ISNUMBER(Suppliers!F46),Suppliers!F46,DATE(YEAR(TODAY()),MONTH(TODAY()),1))))*12+MONTH(EDATE(DATE(YEAR(TODAY()),MONTH(TODAY()),1),14))-MONTH(IF(ISNUMBER(Suppliers!F46),Suppliers!F46,DATE(YEAR(TODAY()),MONTH(TODAY()),1))),3)=0,1,0),IF(Suppliers!E46="Semi-annual",IF(MOD((YEAR(EDATE(DATE(YEAR(TODAY()),MONTH(TODAY()),1),14))-YEAR(IF(ISNUMBER(Suppliers!F46),Suppliers!F46,DATE(YEAR(TODAY()),MONTH(TODAY()),1))))*12+MONTH(EDATE(DATE(YEAR(TODAY()),MONTH(TODAY()),1),14))-MONTH(IF(ISNUMBER(Suppliers!F46),Suppliers!F46,DATE(YEAR(TODAY()),MONTH(TODAY()),1))),6)=0,1,0),IF(Suppliers!E46="Annual",IF(MOD((YEAR(EDATE(DATE(YEAR(TODAY()),MONTH(TODAY()),1),14))-YEAR(IF(ISNUMBER(Suppliers!F46),Suppliers!F46,DATE(YEAR(TODAY()),MONTH(TODAY()),1))))*12+MONTH(EDATE(DATE(YEAR(TODAY()),MONTH(TODAY()),1),14))-MONTH(IF(ISNUMBER(Suppliers!F46),Suppliers!F46,DATE(YEAR(TODAY()),MONTH(TODAY()),1))),12)=0,1,0),IF(Suppliers!E46="One-time",IF(14=0,1,0),1)))))),"")</f>
        <v/>
      </c>
      <c r="U48" s="10" t="str">
        <f ca="1">IFERROR(IF(OR(15&gt;=$B$1,Suppliers!A46="",NOT(ISNUMBER(Suppliers!D46)),Suppliers!L46="Expired",Suppliers!L46="Terminate"),"",Suppliers!D46*-1*IF(Suppliers!E46="Monthly",IF(AND(ISNUMBER(Suppliers!G46),(YEAR(EDATE(DATE(YEAR(TODAY()),MONTH(TODAY()),1),15))*12+MONTH(EDATE(DATE(YEAR(TODAY()),MONTH(TODAY()),1),15)))&gt;(YEAR(Suppliers!G46)*12+MONTH(Suppliers!G46))),"",1),IF(Suppliers!E46="Quarterly",IF(MOD((YEAR(EDATE(DATE(YEAR(TODAY()),MONTH(TODAY()),1),15))-YEAR(IF(ISNUMBER(Suppliers!F46),Suppliers!F46,DATE(YEAR(TODAY()),MONTH(TODAY()),1))))*12+MONTH(EDATE(DATE(YEAR(TODAY()),MONTH(TODAY()),1),15))-MONTH(IF(ISNUMBER(Suppliers!F46),Suppliers!F46,DATE(YEAR(TODAY()),MONTH(TODAY()),1))),3)=0,1,0),IF(Suppliers!E46="Semi-annual",IF(MOD((YEAR(EDATE(DATE(YEAR(TODAY()),MONTH(TODAY()),1),15))-YEAR(IF(ISNUMBER(Suppliers!F46),Suppliers!F46,DATE(YEAR(TODAY()),MONTH(TODAY()),1))))*12+MONTH(EDATE(DATE(YEAR(TODAY()),MONTH(TODAY()),1),15))-MONTH(IF(ISNUMBER(Suppliers!F46),Suppliers!F46,DATE(YEAR(TODAY()),MONTH(TODAY()),1))),6)=0,1,0),IF(Suppliers!E46="Annual",IF(MOD((YEAR(EDATE(DATE(YEAR(TODAY()),MONTH(TODAY()),1),15))-YEAR(IF(ISNUMBER(Suppliers!F46),Suppliers!F46,DATE(YEAR(TODAY()),MONTH(TODAY()),1))))*12+MONTH(EDATE(DATE(YEAR(TODAY()),MONTH(TODAY()),1),15))-MONTH(IF(ISNUMBER(Suppliers!F46),Suppliers!F46,DATE(YEAR(TODAY()),MONTH(TODAY()),1))),12)=0,1,0),IF(Suppliers!E46="One-time",IF(15=0,1,0),1)))))),"")</f>
        <v/>
      </c>
      <c r="V48" s="10" t="str">
        <f ca="1">IFERROR(IF(OR(16&gt;=$B$1,Suppliers!A46="",NOT(ISNUMBER(Suppliers!D46)),Suppliers!L46="Expired",Suppliers!L46="Terminate"),"",Suppliers!D46*-1*IF(Suppliers!E46="Monthly",IF(AND(ISNUMBER(Suppliers!G46),(YEAR(EDATE(DATE(YEAR(TODAY()),MONTH(TODAY()),1),16))*12+MONTH(EDATE(DATE(YEAR(TODAY()),MONTH(TODAY()),1),16)))&gt;(YEAR(Suppliers!G46)*12+MONTH(Suppliers!G46))),"",1),IF(Suppliers!E46="Quarterly",IF(MOD((YEAR(EDATE(DATE(YEAR(TODAY()),MONTH(TODAY()),1),16))-YEAR(IF(ISNUMBER(Suppliers!F46),Suppliers!F46,DATE(YEAR(TODAY()),MONTH(TODAY()),1))))*12+MONTH(EDATE(DATE(YEAR(TODAY()),MONTH(TODAY()),1),16))-MONTH(IF(ISNUMBER(Suppliers!F46),Suppliers!F46,DATE(YEAR(TODAY()),MONTH(TODAY()),1))),3)=0,1,0),IF(Suppliers!E46="Semi-annual",IF(MOD((YEAR(EDATE(DATE(YEAR(TODAY()),MONTH(TODAY()),1),16))-YEAR(IF(ISNUMBER(Suppliers!F46),Suppliers!F46,DATE(YEAR(TODAY()),MONTH(TODAY()),1))))*12+MONTH(EDATE(DATE(YEAR(TODAY()),MONTH(TODAY()),1),16))-MONTH(IF(ISNUMBER(Suppliers!F46),Suppliers!F46,DATE(YEAR(TODAY()),MONTH(TODAY()),1))),6)=0,1,0),IF(Suppliers!E46="Annual",IF(MOD((YEAR(EDATE(DATE(YEAR(TODAY()),MONTH(TODAY()),1),16))-YEAR(IF(ISNUMBER(Suppliers!F46),Suppliers!F46,DATE(YEAR(TODAY()),MONTH(TODAY()),1))))*12+MONTH(EDATE(DATE(YEAR(TODAY()),MONTH(TODAY()),1),16))-MONTH(IF(ISNUMBER(Suppliers!F46),Suppliers!F46,DATE(YEAR(TODAY()),MONTH(TODAY()),1))),12)=0,1,0),IF(Suppliers!E46="One-time",IF(16=0,1,0),1)))))),"")</f>
        <v/>
      </c>
      <c r="W48" s="10" t="str">
        <f ca="1">IFERROR(IF(OR(17&gt;=$B$1,Suppliers!A46="",NOT(ISNUMBER(Suppliers!D46)),Suppliers!L46="Expired",Suppliers!L46="Terminate"),"",Suppliers!D46*-1*IF(Suppliers!E46="Monthly",IF(AND(ISNUMBER(Suppliers!G46),(YEAR(EDATE(DATE(YEAR(TODAY()),MONTH(TODAY()),1),17))*12+MONTH(EDATE(DATE(YEAR(TODAY()),MONTH(TODAY()),1),17)))&gt;(YEAR(Suppliers!G46)*12+MONTH(Suppliers!G46))),"",1),IF(Suppliers!E46="Quarterly",IF(MOD((YEAR(EDATE(DATE(YEAR(TODAY()),MONTH(TODAY()),1),17))-YEAR(IF(ISNUMBER(Suppliers!F46),Suppliers!F46,DATE(YEAR(TODAY()),MONTH(TODAY()),1))))*12+MONTH(EDATE(DATE(YEAR(TODAY()),MONTH(TODAY()),1),17))-MONTH(IF(ISNUMBER(Suppliers!F46),Suppliers!F46,DATE(YEAR(TODAY()),MONTH(TODAY()),1))),3)=0,1,0),IF(Suppliers!E46="Semi-annual",IF(MOD((YEAR(EDATE(DATE(YEAR(TODAY()),MONTH(TODAY()),1),17))-YEAR(IF(ISNUMBER(Suppliers!F46),Suppliers!F46,DATE(YEAR(TODAY()),MONTH(TODAY()),1))))*12+MONTH(EDATE(DATE(YEAR(TODAY()),MONTH(TODAY()),1),17))-MONTH(IF(ISNUMBER(Suppliers!F46),Suppliers!F46,DATE(YEAR(TODAY()),MONTH(TODAY()),1))),6)=0,1,0),IF(Suppliers!E46="Annual",IF(MOD((YEAR(EDATE(DATE(YEAR(TODAY()),MONTH(TODAY()),1),17))-YEAR(IF(ISNUMBER(Suppliers!F46),Suppliers!F46,DATE(YEAR(TODAY()),MONTH(TODAY()),1))))*12+MONTH(EDATE(DATE(YEAR(TODAY()),MONTH(TODAY()),1),17))-MONTH(IF(ISNUMBER(Suppliers!F46),Suppliers!F46,DATE(YEAR(TODAY()),MONTH(TODAY()),1))),12)=0,1,0),IF(Suppliers!E46="One-time",IF(17=0,1,0),1)))))),"")</f>
        <v/>
      </c>
      <c r="X48" s="10" t="str">
        <f ca="1">IFERROR(IF(OR(18&gt;=$B$1,Suppliers!A46="",NOT(ISNUMBER(Suppliers!D46)),Suppliers!L46="Expired",Suppliers!L46="Terminate"),"",Suppliers!D46*-1*IF(Suppliers!E46="Monthly",IF(AND(ISNUMBER(Suppliers!G46),(YEAR(EDATE(DATE(YEAR(TODAY()),MONTH(TODAY()),1),18))*12+MONTH(EDATE(DATE(YEAR(TODAY()),MONTH(TODAY()),1),18)))&gt;(YEAR(Suppliers!G46)*12+MONTH(Suppliers!G46))),"",1),IF(Suppliers!E46="Quarterly",IF(MOD((YEAR(EDATE(DATE(YEAR(TODAY()),MONTH(TODAY()),1),18))-YEAR(IF(ISNUMBER(Suppliers!F46),Suppliers!F46,DATE(YEAR(TODAY()),MONTH(TODAY()),1))))*12+MONTH(EDATE(DATE(YEAR(TODAY()),MONTH(TODAY()),1),18))-MONTH(IF(ISNUMBER(Suppliers!F46),Suppliers!F46,DATE(YEAR(TODAY()),MONTH(TODAY()),1))),3)=0,1,0),IF(Suppliers!E46="Semi-annual",IF(MOD((YEAR(EDATE(DATE(YEAR(TODAY()),MONTH(TODAY()),1),18))-YEAR(IF(ISNUMBER(Suppliers!F46),Suppliers!F46,DATE(YEAR(TODAY()),MONTH(TODAY()),1))))*12+MONTH(EDATE(DATE(YEAR(TODAY()),MONTH(TODAY()),1),18))-MONTH(IF(ISNUMBER(Suppliers!F46),Suppliers!F46,DATE(YEAR(TODAY()),MONTH(TODAY()),1))),6)=0,1,0),IF(Suppliers!E46="Annual",IF(MOD((YEAR(EDATE(DATE(YEAR(TODAY()),MONTH(TODAY()),1),18))-YEAR(IF(ISNUMBER(Suppliers!F46),Suppliers!F46,DATE(YEAR(TODAY()),MONTH(TODAY()),1))))*12+MONTH(EDATE(DATE(YEAR(TODAY()),MONTH(TODAY()),1),18))-MONTH(IF(ISNUMBER(Suppliers!F46),Suppliers!F46,DATE(YEAR(TODAY()),MONTH(TODAY()),1))),12)=0,1,0),IF(Suppliers!E46="One-time",IF(18=0,1,0),1)))))),"")</f>
        <v/>
      </c>
      <c r="Y48" s="10" t="str">
        <f ca="1">IFERROR(IF(OR(19&gt;=$B$1,Suppliers!A46="",NOT(ISNUMBER(Suppliers!D46)),Suppliers!L46="Expired",Suppliers!L46="Terminate"),"",Suppliers!D46*-1*IF(Suppliers!E46="Monthly",IF(AND(ISNUMBER(Suppliers!G46),(YEAR(EDATE(DATE(YEAR(TODAY()),MONTH(TODAY()),1),19))*12+MONTH(EDATE(DATE(YEAR(TODAY()),MONTH(TODAY()),1),19)))&gt;(YEAR(Suppliers!G46)*12+MONTH(Suppliers!G46))),"",1),IF(Suppliers!E46="Quarterly",IF(MOD((YEAR(EDATE(DATE(YEAR(TODAY()),MONTH(TODAY()),1),19))-YEAR(IF(ISNUMBER(Suppliers!F46),Suppliers!F46,DATE(YEAR(TODAY()),MONTH(TODAY()),1))))*12+MONTH(EDATE(DATE(YEAR(TODAY()),MONTH(TODAY()),1),19))-MONTH(IF(ISNUMBER(Suppliers!F46),Suppliers!F46,DATE(YEAR(TODAY()),MONTH(TODAY()),1))),3)=0,1,0),IF(Suppliers!E46="Semi-annual",IF(MOD((YEAR(EDATE(DATE(YEAR(TODAY()),MONTH(TODAY()),1),19))-YEAR(IF(ISNUMBER(Suppliers!F46),Suppliers!F46,DATE(YEAR(TODAY()),MONTH(TODAY()),1))))*12+MONTH(EDATE(DATE(YEAR(TODAY()),MONTH(TODAY()),1),19))-MONTH(IF(ISNUMBER(Suppliers!F46),Suppliers!F46,DATE(YEAR(TODAY()),MONTH(TODAY()),1))),6)=0,1,0),IF(Suppliers!E46="Annual",IF(MOD((YEAR(EDATE(DATE(YEAR(TODAY()),MONTH(TODAY()),1),19))-YEAR(IF(ISNUMBER(Suppliers!F46),Suppliers!F46,DATE(YEAR(TODAY()),MONTH(TODAY()),1))))*12+MONTH(EDATE(DATE(YEAR(TODAY()),MONTH(TODAY()),1),19))-MONTH(IF(ISNUMBER(Suppliers!F46),Suppliers!F46,DATE(YEAR(TODAY()),MONTH(TODAY()),1))),12)=0,1,0),IF(Suppliers!E46="One-time",IF(19=0,1,0),1)))))),"")</f>
        <v/>
      </c>
      <c r="Z48" s="10" t="str">
        <f ca="1">IFERROR(IF(OR(20&gt;=$B$1,Suppliers!A46="",NOT(ISNUMBER(Suppliers!D46)),Suppliers!L46="Expired",Suppliers!L46="Terminate"),"",Suppliers!D46*-1*IF(Suppliers!E46="Monthly",IF(AND(ISNUMBER(Suppliers!G46),(YEAR(EDATE(DATE(YEAR(TODAY()),MONTH(TODAY()),1),20))*12+MONTH(EDATE(DATE(YEAR(TODAY()),MONTH(TODAY()),1),20)))&gt;(YEAR(Suppliers!G46)*12+MONTH(Suppliers!G46))),"",1),IF(Suppliers!E46="Quarterly",IF(MOD((YEAR(EDATE(DATE(YEAR(TODAY()),MONTH(TODAY()),1),20))-YEAR(IF(ISNUMBER(Suppliers!F46),Suppliers!F46,DATE(YEAR(TODAY()),MONTH(TODAY()),1))))*12+MONTH(EDATE(DATE(YEAR(TODAY()),MONTH(TODAY()),1),20))-MONTH(IF(ISNUMBER(Suppliers!F46),Suppliers!F46,DATE(YEAR(TODAY()),MONTH(TODAY()),1))),3)=0,1,0),IF(Suppliers!E46="Semi-annual",IF(MOD((YEAR(EDATE(DATE(YEAR(TODAY()),MONTH(TODAY()),1),20))-YEAR(IF(ISNUMBER(Suppliers!F46),Suppliers!F46,DATE(YEAR(TODAY()),MONTH(TODAY()),1))))*12+MONTH(EDATE(DATE(YEAR(TODAY()),MONTH(TODAY()),1),20))-MONTH(IF(ISNUMBER(Suppliers!F46),Suppliers!F46,DATE(YEAR(TODAY()),MONTH(TODAY()),1))),6)=0,1,0),IF(Suppliers!E46="Annual",IF(MOD((YEAR(EDATE(DATE(YEAR(TODAY()),MONTH(TODAY()),1),20))-YEAR(IF(ISNUMBER(Suppliers!F46),Suppliers!F46,DATE(YEAR(TODAY()),MONTH(TODAY()),1))))*12+MONTH(EDATE(DATE(YEAR(TODAY()),MONTH(TODAY()),1),20))-MONTH(IF(ISNUMBER(Suppliers!F46),Suppliers!F46,DATE(YEAR(TODAY()),MONTH(TODAY()),1))),12)=0,1,0),IF(Suppliers!E46="One-time",IF(20=0,1,0),1)))))),"")</f>
        <v/>
      </c>
      <c r="AA48" s="10" t="str">
        <f ca="1">IFERROR(IF(OR(21&gt;=$B$1,Suppliers!A46="",NOT(ISNUMBER(Suppliers!D46)),Suppliers!L46="Expired",Suppliers!L46="Terminate"),"",Suppliers!D46*-1*IF(Suppliers!E46="Monthly",IF(AND(ISNUMBER(Suppliers!G46),(YEAR(EDATE(DATE(YEAR(TODAY()),MONTH(TODAY()),1),21))*12+MONTH(EDATE(DATE(YEAR(TODAY()),MONTH(TODAY()),1),21)))&gt;(YEAR(Suppliers!G46)*12+MONTH(Suppliers!G46))),"",1),IF(Suppliers!E46="Quarterly",IF(MOD((YEAR(EDATE(DATE(YEAR(TODAY()),MONTH(TODAY()),1),21))-YEAR(IF(ISNUMBER(Suppliers!F46),Suppliers!F46,DATE(YEAR(TODAY()),MONTH(TODAY()),1))))*12+MONTH(EDATE(DATE(YEAR(TODAY()),MONTH(TODAY()),1),21))-MONTH(IF(ISNUMBER(Suppliers!F46),Suppliers!F46,DATE(YEAR(TODAY()),MONTH(TODAY()),1))),3)=0,1,0),IF(Suppliers!E46="Semi-annual",IF(MOD((YEAR(EDATE(DATE(YEAR(TODAY()),MONTH(TODAY()),1),21))-YEAR(IF(ISNUMBER(Suppliers!F46),Suppliers!F46,DATE(YEAR(TODAY()),MONTH(TODAY()),1))))*12+MONTH(EDATE(DATE(YEAR(TODAY()),MONTH(TODAY()),1),21))-MONTH(IF(ISNUMBER(Suppliers!F46),Suppliers!F46,DATE(YEAR(TODAY()),MONTH(TODAY()),1))),6)=0,1,0),IF(Suppliers!E46="Annual",IF(MOD((YEAR(EDATE(DATE(YEAR(TODAY()),MONTH(TODAY()),1),21))-YEAR(IF(ISNUMBER(Suppliers!F46),Suppliers!F46,DATE(YEAR(TODAY()),MONTH(TODAY()),1))))*12+MONTH(EDATE(DATE(YEAR(TODAY()),MONTH(TODAY()),1),21))-MONTH(IF(ISNUMBER(Suppliers!F46),Suppliers!F46,DATE(YEAR(TODAY()),MONTH(TODAY()),1))),12)=0,1,0),IF(Suppliers!E46="One-time",IF(21=0,1,0),1)))))),"")</f>
        <v/>
      </c>
      <c r="AB48" s="10" t="str">
        <f ca="1">IFERROR(IF(OR(22&gt;=$B$1,Suppliers!A46="",NOT(ISNUMBER(Suppliers!D46)),Suppliers!L46="Expired",Suppliers!L46="Terminate"),"",Suppliers!D46*-1*IF(Suppliers!E46="Monthly",IF(AND(ISNUMBER(Suppliers!G46),(YEAR(EDATE(DATE(YEAR(TODAY()),MONTH(TODAY()),1),22))*12+MONTH(EDATE(DATE(YEAR(TODAY()),MONTH(TODAY()),1),22)))&gt;(YEAR(Suppliers!G46)*12+MONTH(Suppliers!G46))),"",1),IF(Suppliers!E46="Quarterly",IF(MOD((YEAR(EDATE(DATE(YEAR(TODAY()),MONTH(TODAY()),1),22))-YEAR(IF(ISNUMBER(Suppliers!F46),Suppliers!F46,DATE(YEAR(TODAY()),MONTH(TODAY()),1))))*12+MONTH(EDATE(DATE(YEAR(TODAY()),MONTH(TODAY()),1),22))-MONTH(IF(ISNUMBER(Suppliers!F46),Suppliers!F46,DATE(YEAR(TODAY()),MONTH(TODAY()),1))),3)=0,1,0),IF(Suppliers!E46="Semi-annual",IF(MOD((YEAR(EDATE(DATE(YEAR(TODAY()),MONTH(TODAY()),1),22))-YEAR(IF(ISNUMBER(Suppliers!F46),Suppliers!F46,DATE(YEAR(TODAY()),MONTH(TODAY()),1))))*12+MONTH(EDATE(DATE(YEAR(TODAY()),MONTH(TODAY()),1),22))-MONTH(IF(ISNUMBER(Suppliers!F46),Suppliers!F46,DATE(YEAR(TODAY()),MONTH(TODAY()),1))),6)=0,1,0),IF(Suppliers!E46="Annual",IF(MOD((YEAR(EDATE(DATE(YEAR(TODAY()),MONTH(TODAY()),1),22))-YEAR(IF(ISNUMBER(Suppliers!F46),Suppliers!F46,DATE(YEAR(TODAY()),MONTH(TODAY()),1))))*12+MONTH(EDATE(DATE(YEAR(TODAY()),MONTH(TODAY()),1),22))-MONTH(IF(ISNUMBER(Suppliers!F46),Suppliers!F46,DATE(YEAR(TODAY()),MONTH(TODAY()),1))),12)=0,1,0),IF(Suppliers!E46="One-time",IF(22=0,1,0),1)))))),"")</f>
        <v/>
      </c>
      <c r="AC48" s="10" t="str">
        <f ca="1">IFERROR(IF(OR(23&gt;=$B$1,Suppliers!A46="",NOT(ISNUMBER(Suppliers!D46)),Suppliers!L46="Expired",Suppliers!L46="Terminate"),"",Suppliers!D46*-1*IF(Suppliers!E46="Monthly",IF(AND(ISNUMBER(Suppliers!G46),(YEAR(EDATE(DATE(YEAR(TODAY()),MONTH(TODAY()),1),23))*12+MONTH(EDATE(DATE(YEAR(TODAY()),MONTH(TODAY()),1),23)))&gt;(YEAR(Suppliers!G46)*12+MONTH(Suppliers!G46))),"",1),IF(Suppliers!E46="Quarterly",IF(MOD((YEAR(EDATE(DATE(YEAR(TODAY()),MONTH(TODAY()),1),23))-YEAR(IF(ISNUMBER(Suppliers!F46),Suppliers!F46,DATE(YEAR(TODAY()),MONTH(TODAY()),1))))*12+MONTH(EDATE(DATE(YEAR(TODAY()),MONTH(TODAY()),1),23))-MONTH(IF(ISNUMBER(Suppliers!F46),Suppliers!F46,DATE(YEAR(TODAY()),MONTH(TODAY()),1))),3)=0,1,0),IF(Suppliers!E46="Semi-annual",IF(MOD((YEAR(EDATE(DATE(YEAR(TODAY()),MONTH(TODAY()),1),23))-YEAR(IF(ISNUMBER(Suppliers!F46),Suppliers!F46,DATE(YEAR(TODAY()),MONTH(TODAY()),1))))*12+MONTH(EDATE(DATE(YEAR(TODAY()),MONTH(TODAY()),1),23))-MONTH(IF(ISNUMBER(Suppliers!F46),Suppliers!F46,DATE(YEAR(TODAY()),MONTH(TODAY()),1))),6)=0,1,0),IF(Suppliers!E46="Annual",IF(MOD((YEAR(EDATE(DATE(YEAR(TODAY()),MONTH(TODAY()),1),23))-YEAR(IF(ISNUMBER(Suppliers!F46),Suppliers!F46,DATE(YEAR(TODAY()),MONTH(TODAY()),1))))*12+MONTH(EDATE(DATE(YEAR(TODAY()),MONTH(TODAY()),1),23))-MONTH(IF(ISNUMBER(Suppliers!F46),Suppliers!F46,DATE(YEAR(TODAY()),MONTH(TODAY()),1))),12)=0,1,0),IF(Suppliers!E46="One-time",IF(23=0,1,0),1)))))),"")</f>
        <v/>
      </c>
    </row>
    <row r="49" spans="1:30" ht="15" customHeight="1" x14ac:dyDescent="0.35">
      <c r="A49" s="4" t="s">
        <v>80</v>
      </c>
      <c r="B49" s="4" t="str">
        <f>IF(Suppliers!A47="","",Suppliers!A47)</f>
        <v/>
      </c>
      <c r="C49" s="10" t="str">
        <f>IF(Suppliers!C47="","",Suppliers!C47)</f>
        <v/>
      </c>
      <c r="D49" s="10" t="str">
        <f>IF(Suppliers!D47="","",Suppliers!D47)</f>
        <v/>
      </c>
      <c r="E49" s="4" t="str">
        <f>IF(Suppliers!E47="","",Suppliers!E47)</f>
        <v/>
      </c>
      <c r="F49" s="10" t="str">
        <f ca="1">IFERROR(IF(OR(0&gt;=$B$1,Suppliers!A47="",NOT(ISNUMBER(Suppliers!D47)),Suppliers!L47="Expired",Suppliers!L47="Terminate"),"",Suppliers!D47*-1*IF(Suppliers!E47="Monthly",IF(AND(ISNUMBER(Suppliers!G47),(YEAR(EDATE(DATE(YEAR(TODAY()),MONTH(TODAY()),1),0))*12+MONTH(EDATE(DATE(YEAR(TODAY()),MONTH(TODAY()),1),0)))&gt;(YEAR(Suppliers!G47)*12+MONTH(Suppliers!G47))),"",1),IF(Suppliers!E47="Quarterly",IF(MOD((YEAR(EDATE(DATE(YEAR(TODAY()),MONTH(TODAY()),1),0))-YEAR(IF(ISNUMBER(Suppliers!F47),Suppliers!F47,DATE(YEAR(TODAY()),MONTH(TODAY()),1))))*12+MONTH(EDATE(DATE(YEAR(TODAY()),MONTH(TODAY()),1),0))-MONTH(IF(ISNUMBER(Suppliers!F47),Suppliers!F47,DATE(YEAR(TODAY()),MONTH(TODAY()),1))),3)=0,1,0),IF(Suppliers!E47="Semi-annual",IF(MOD((YEAR(EDATE(DATE(YEAR(TODAY()),MONTH(TODAY()),1),0))-YEAR(IF(ISNUMBER(Suppliers!F47),Suppliers!F47,DATE(YEAR(TODAY()),MONTH(TODAY()),1))))*12+MONTH(EDATE(DATE(YEAR(TODAY()),MONTH(TODAY()),1),0))-MONTH(IF(ISNUMBER(Suppliers!F47),Suppliers!F47,DATE(YEAR(TODAY()),MONTH(TODAY()),1))),6)=0,1,0),IF(Suppliers!E47="Annual",IF(MOD((YEAR(EDATE(DATE(YEAR(TODAY()),MONTH(TODAY()),1),0))-YEAR(IF(ISNUMBER(Suppliers!F47),Suppliers!F47,DATE(YEAR(TODAY()),MONTH(TODAY()),1))))*12+MONTH(EDATE(DATE(YEAR(TODAY()),MONTH(TODAY()),1),0))-MONTH(IF(ISNUMBER(Suppliers!F47),Suppliers!F47,DATE(YEAR(TODAY()),MONTH(TODAY()),1))),12)=0,1,0),IF(Suppliers!E47="One-time",IF(0=0,1,0),1)))))),"")</f>
        <v/>
      </c>
      <c r="G49" s="10" t="str">
        <f ca="1">IFERROR(IF(OR(1&gt;=$B$1,Suppliers!A47="",NOT(ISNUMBER(Suppliers!D47)),Suppliers!L47="Expired",Suppliers!L47="Terminate"),"",Suppliers!D47*-1*IF(Suppliers!E47="Monthly",IF(AND(ISNUMBER(Suppliers!G47),(YEAR(EDATE(DATE(YEAR(TODAY()),MONTH(TODAY()),1),1))*12+MONTH(EDATE(DATE(YEAR(TODAY()),MONTH(TODAY()),1),1)))&gt;(YEAR(Suppliers!G47)*12+MONTH(Suppliers!G47))),"",1),IF(Suppliers!E47="Quarterly",IF(MOD((YEAR(EDATE(DATE(YEAR(TODAY()),MONTH(TODAY()),1),1))-YEAR(IF(ISNUMBER(Suppliers!F47),Suppliers!F47,DATE(YEAR(TODAY()),MONTH(TODAY()),1))))*12+MONTH(EDATE(DATE(YEAR(TODAY()),MONTH(TODAY()),1),1))-MONTH(IF(ISNUMBER(Suppliers!F47),Suppliers!F47,DATE(YEAR(TODAY()),MONTH(TODAY()),1))),3)=0,1,0),IF(Suppliers!E47="Semi-annual",IF(MOD((YEAR(EDATE(DATE(YEAR(TODAY()),MONTH(TODAY()),1),1))-YEAR(IF(ISNUMBER(Suppliers!F47),Suppliers!F47,DATE(YEAR(TODAY()),MONTH(TODAY()),1))))*12+MONTH(EDATE(DATE(YEAR(TODAY()),MONTH(TODAY()),1),1))-MONTH(IF(ISNUMBER(Suppliers!F47),Suppliers!F47,DATE(YEAR(TODAY()),MONTH(TODAY()),1))),6)=0,1,0),IF(Suppliers!E47="Annual",IF(MOD((YEAR(EDATE(DATE(YEAR(TODAY()),MONTH(TODAY()),1),1))-YEAR(IF(ISNUMBER(Suppliers!F47),Suppliers!F47,DATE(YEAR(TODAY()),MONTH(TODAY()),1))))*12+MONTH(EDATE(DATE(YEAR(TODAY()),MONTH(TODAY()),1),1))-MONTH(IF(ISNUMBER(Suppliers!F47),Suppliers!F47,DATE(YEAR(TODAY()),MONTH(TODAY()),1))),12)=0,1,0),IF(Suppliers!E47="One-time",IF(1=0,1,0),1)))))),"")</f>
        <v/>
      </c>
      <c r="H49" s="10" t="str">
        <f ca="1">IFERROR(IF(OR(2&gt;=$B$1,Suppliers!A47="",NOT(ISNUMBER(Suppliers!D47)),Suppliers!L47="Expired",Suppliers!L47="Terminate"),"",Suppliers!D47*-1*IF(Suppliers!E47="Monthly",IF(AND(ISNUMBER(Suppliers!G47),(YEAR(EDATE(DATE(YEAR(TODAY()),MONTH(TODAY()),1),2))*12+MONTH(EDATE(DATE(YEAR(TODAY()),MONTH(TODAY()),1),2)))&gt;(YEAR(Suppliers!G47)*12+MONTH(Suppliers!G47))),"",1),IF(Suppliers!E47="Quarterly",IF(MOD((YEAR(EDATE(DATE(YEAR(TODAY()),MONTH(TODAY()),1),2))-YEAR(IF(ISNUMBER(Suppliers!F47),Suppliers!F47,DATE(YEAR(TODAY()),MONTH(TODAY()),1))))*12+MONTH(EDATE(DATE(YEAR(TODAY()),MONTH(TODAY()),1),2))-MONTH(IF(ISNUMBER(Suppliers!F47),Suppliers!F47,DATE(YEAR(TODAY()),MONTH(TODAY()),1))),3)=0,1,0),IF(Suppliers!E47="Semi-annual",IF(MOD((YEAR(EDATE(DATE(YEAR(TODAY()),MONTH(TODAY()),1),2))-YEAR(IF(ISNUMBER(Suppliers!F47),Suppliers!F47,DATE(YEAR(TODAY()),MONTH(TODAY()),1))))*12+MONTH(EDATE(DATE(YEAR(TODAY()),MONTH(TODAY()),1),2))-MONTH(IF(ISNUMBER(Suppliers!F47),Suppliers!F47,DATE(YEAR(TODAY()),MONTH(TODAY()),1))),6)=0,1,0),IF(Suppliers!E47="Annual",IF(MOD((YEAR(EDATE(DATE(YEAR(TODAY()),MONTH(TODAY()),1),2))-YEAR(IF(ISNUMBER(Suppliers!F47),Suppliers!F47,DATE(YEAR(TODAY()),MONTH(TODAY()),1))))*12+MONTH(EDATE(DATE(YEAR(TODAY()),MONTH(TODAY()),1),2))-MONTH(IF(ISNUMBER(Suppliers!F47),Suppliers!F47,DATE(YEAR(TODAY()),MONTH(TODAY()),1))),12)=0,1,0),IF(Suppliers!E47="One-time",IF(2=0,1,0),1)))))),"")</f>
        <v/>
      </c>
      <c r="I49" s="10" t="str">
        <f ca="1">IFERROR(IF(OR(3&gt;=$B$1,Suppliers!A47="",NOT(ISNUMBER(Suppliers!D47)),Suppliers!L47="Expired",Suppliers!L47="Terminate"),"",Suppliers!D47*-1*IF(Suppliers!E47="Monthly",IF(AND(ISNUMBER(Suppliers!G47),(YEAR(EDATE(DATE(YEAR(TODAY()),MONTH(TODAY()),1),3))*12+MONTH(EDATE(DATE(YEAR(TODAY()),MONTH(TODAY()),1),3)))&gt;(YEAR(Suppliers!G47)*12+MONTH(Suppliers!G47))),"",1),IF(Suppliers!E47="Quarterly",IF(MOD((YEAR(EDATE(DATE(YEAR(TODAY()),MONTH(TODAY()),1),3))-YEAR(IF(ISNUMBER(Suppliers!F47),Suppliers!F47,DATE(YEAR(TODAY()),MONTH(TODAY()),1))))*12+MONTH(EDATE(DATE(YEAR(TODAY()),MONTH(TODAY()),1),3))-MONTH(IF(ISNUMBER(Suppliers!F47),Suppliers!F47,DATE(YEAR(TODAY()),MONTH(TODAY()),1))),3)=0,1,0),IF(Suppliers!E47="Semi-annual",IF(MOD((YEAR(EDATE(DATE(YEAR(TODAY()),MONTH(TODAY()),1),3))-YEAR(IF(ISNUMBER(Suppliers!F47),Suppliers!F47,DATE(YEAR(TODAY()),MONTH(TODAY()),1))))*12+MONTH(EDATE(DATE(YEAR(TODAY()),MONTH(TODAY()),1),3))-MONTH(IF(ISNUMBER(Suppliers!F47),Suppliers!F47,DATE(YEAR(TODAY()),MONTH(TODAY()),1))),6)=0,1,0),IF(Suppliers!E47="Annual",IF(MOD((YEAR(EDATE(DATE(YEAR(TODAY()),MONTH(TODAY()),1),3))-YEAR(IF(ISNUMBER(Suppliers!F47),Suppliers!F47,DATE(YEAR(TODAY()),MONTH(TODAY()),1))))*12+MONTH(EDATE(DATE(YEAR(TODAY()),MONTH(TODAY()),1),3))-MONTH(IF(ISNUMBER(Suppliers!F47),Suppliers!F47,DATE(YEAR(TODAY()),MONTH(TODAY()),1))),12)=0,1,0),IF(Suppliers!E47="One-time",IF(3=0,1,0),1)))))),"")</f>
        <v/>
      </c>
      <c r="J49" s="10" t="str">
        <f ca="1">IFERROR(IF(OR(4&gt;=$B$1,Suppliers!A47="",NOT(ISNUMBER(Suppliers!D47)),Suppliers!L47="Expired",Suppliers!L47="Terminate"),"",Suppliers!D47*-1*IF(Suppliers!E47="Monthly",IF(AND(ISNUMBER(Suppliers!G47),(YEAR(EDATE(DATE(YEAR(TODAY()),MONTH(TODAY()),1),4))*12+MONTH(EDATE(DATE(YEAR(TODAY()),MONTH(TODAY()),1),4)))&gt;(YEAR(Suppliers!G47)*12+MONTH(Suppliers!G47))),"",1),IF(Suppliers!E47="Quarterly",IF(MOD((YEAR(EDATE(DATE(YEAR(TODAY()),MONTH(TODAY()),1),4))-YEAR(IF(ISNUMBER(Suppliers!F47),Suppliers!F47,DATE(YEAR(TODAY()),MONTH(TODAY()),1))))*12+MONTH(EDATE(DATE(YEAR(TODAY()),MONTH(TODAY()),1),4))-MONTH(IF(ISNUMBER(Suppliers!F47),Suppliers!F47,DATE(YEAR(TODAY()),MONTH(TODAY()),1))),3)=0,1,0),IF(Suppliers!E47="Semi-annual",IF(MOD((YEAR(EDATE(DATE(YEAR(TODAY()),MONTH(TODAY()),1),4))-YEAR(IF(ISNUMBER(Suppliers!F47),Suppliers!F47,DATE(YEAR(TODAY()),MONTH(TODAY()),1))))*12+MONTH(EDATE(DATE(YEAR(TODAY()),MONTH(TODAY()),1),4))-MONTH(IF(ISNUMBER(Suppliers!F47),Suppliers!F47,DATE(YEAR(TODAY()),MONTH(TODAY()),1))),6)=0,1,0),IF(Suppliers!E47="Annual",IF(MOD((YEAR(EDATE(DATE(YEAR(TODAY()),MONTH(TODAY()),1),4))-YEAR(IF(ISNUMBER(Suppliers!F47),Suppliers!F47,DATE(YEAR(TODAY()),MONTH(TODAY()),1))))*12+MONTH(EDATE(DATE(YEAR(TODAY()),MONTH(TODAY()),1),4))-MONTH(IF(ISNUMBER(Suppliers!F47),Suppliers!F47,DATE(YEAR(TODAY()),MONTH(TODAY()),1))),12)=0,1,0),IF(Suppliers!E47="One-time",IF(4=0,1,0),1)))))),"")</f>
        <v/>
      </c>
      <c r="K49" s="10" t="str">
        <f ca="1">IFERROR(IF(OR(5&gt;=$B$1,Suppliers!A47="",NOT(ISNUMBER(Suppliers!D47)),Suppliers!L47="Expired",Suppliers!L47="Terminate"),"",Suppliers!D47*-1*IF(Suppliers!E47="Monthly",IF(AND(ISNUMBER(Suppliers!G47),(YEAR(EDATE(DATE(YEAR(TODAY()),MONTH(TODAY()),1),5))*12+MONTH(EDATE(DATE(YEAR(TODAY()),MONTH(TODAY()),1),5)))&gt;(YEAR(Suppliers!G47)*12+MONTH(Suppliers!G47))),"",1),IF(Suppliers!E47="Quarterly",IF(MOD((YEAR(EDATE(DATE(YEAR(TODAY()),MONTH(TODAY()),1),5))-YEAR(IF(ISNUMBER(Suppliers!F47),Suppliers!F47,DATE(YEAR(TODAY()),MONTH(TODAY()),1))))*12+MONTH(EDATE(DATE(YEAR(TODAY()),MONTH(TODAY()),1),5))-MONTH(IF(ISNUMBER(Suppliers!F47),Suppliers!F47,DATE(YEAR(TODAY()),MONTH(TODAY()),1))),3)=0,1,0),IF(Suppliers!E47="Semi-annual",IF(MOD((YEAR(EDATE(DATE(YEAR(TODAY()),MONTH(TODAY()),1),5))-YEAR(IF(ISNUMBER(Suppliers!F47),Suppliers!F47,DATE(YEAR(TODAY()),MONTH(TODAY()),1))))*12+MONTH(EDATE(DATE(YEAR(TODAY()),MONTH(TODAY()),1),5))-MONTH(IF(ISNUMBER(Suppliers!F47),Suppliers!F47,DATE(YEAR(TODAY()),MONTH(TODAY()),1))),6)=0,1,0),IF(Suppliers!E47="Annual",IF(MOD((YEAR(EDATE(DATE(YEAR(TODAY()),MONTH(TODAY()),1),5))-YEAR(IF(ISNUMBER(Suppliers!F47),Suppliers!F47,DATE(YEAR(TODAY()),MONTH(TODAY()),1))))*12+MONTH(EDATE(DATE(YEAR(TODAY()),MONTH(TODAY()),1),5))-MONTH(IF(ISNUMBER(Suppliers!F47),Suppliers!F47,DATE(YEAR(TODAY()),MONTH(TODAY()),1))),12)=0,1,0),IF(Suppliers!E47="One-time",IF(5=0,1,0),1)))))),"")</f>
        <v/>
      </c>
      <c r="L49" s="10" t="str">
        <f ca="1">IFERROR(IF(OR(6&gt;=$B$1,Suppliers!A47="",NOT(ISNUMBER(Suppliers!D47)),Suppliers!L47="Expired",Suppliers!L47="Terminate"),"",Suppliers!D47*-1*IF(Suppliers!E47="Monthly",IF(AND(ISNUMBER(Suppliers!G47),(YEAR(EDATE(DATE(YEAR(TODAY()),MONTH(TODAY()),1),6))*12+MONTH(EDATE(DATE(YEAR(TODAY()),MONTH(TODAY()),1),6)))&gt;(YEAR(Suppliers!G47)*12+MONTH(Suppliers!G47))),"",1),IF(Suppliers!E47="Quarterly",IF(MOD((YEAR(EDATE(DATE(YEAR(TODAY()),MONTH(TODAY()),1),6))-YEAR(IF(ISNUMBER(Suppliers!F47),Suppliers!F47,DATE(YEAR(TODAY()),MONTH(TODAY()),1))))*12+MONTH(EDATE(DATE(YEAR(TODAY()),MONTH(TODAY()),1),6))-MONTH(IF(ISNUMBER(Suppliers!F47),Suppliers!F47,DATE(YEAR(TODAY()),MONTH(TODAY()),1))),3)=0,1,0),IF(Suppliers!E47="Semi-annual",IF(MOD((YEAR(EDATE(DATE(YEAR(TODAY()),MONTH(TODAY()),1),6))-YEAR(IF(ISNUMBER(Suppliers!F47),Suppliers!F47,DATE(YEAR(TODAY()),MONTH(TODAY()),1))))*12+MONTH(EDATE(DATE(YEAR(TODAY()),MONTH(TODAY()),1),6))-MONTH(IF(ISNUMBER(Suppliers!F47),Suppliers!F47,DATE(YEAR(TODAY()),MONTH(TODAY()),1))),6)=0,1,0),IF(Suppliers!E47="Annual",IF(MOD((YEAR(EDATE(DATE(YEAR(TODAY()),MONTH(TODAY()),1),6))-YEAR(IF(ISNUMBER(Suppliers!F47),Suppliers!F47,DATE(YEAR(TODAY()),MONTH(TODAY()),1))))*12+MONTH(EDATE(DATE(YEAR(TODAY()),MONTH(TODAY()),1),6))-MONTH(IF(ISNUMBER(Suppliers!F47),Suppliers!F47,DATE(YEAR(TODAY()),MONTH(TODAY()),1))),12)=0,1,0),IF(Suppliers!E47="One-time",IF(6=0,1,0),1)))))),"")</f>
        <v/>
      </c>
      <c r="M49" s="10" t="str">
        <f ca="1">IFERROR(IF(OR(7&gt;=$B$1,Suppliers!A47="",NOT(ISNUMBER(Suppliers!D47)),Suppliers!L47="Expired",Suppliers!L47="Terminate"),"",Suppliers!D47*-1*IF(Suppliers!E47="Monthly",IF(AND(ISNUMBER(Suppliers!G47),(YEAR(EDATE(DATE(YEAR(TODAY()),MONTH(TODAY()),1),7))*12+MONTH(EDATE(DATE(YEAR(TODAY()),MONTH(TODAY()),1),7)))&gt;(YEAR(Suppliers!G47)*12+MONTH(Suppliers!G47))),"",1),IF(Suppliers!E47="Quarterly",IF(MOD((YEAR(EDATE(DATE(YEAR(TODAY()),MONTH(TODAY()),1),7))-YEAR(IF(ISNUMBER(Suppliers!F47),Suppliers!F47,DATE(YEAR(TODAY()),MONTH(TODAY()),1))))*12+MONTH(EDATE(DATE(YEAR(TODAY()),MONTH(TODAY()),1),7))-MONTH(IF(ISNUMBER(Suppliers!F47),Suppliers!F47,DATE(YEAR(TODAY()),MONTH(TODAY()),1))),3)=0,1,0),IF(Suppliers!E47="Semi-annual",IF(MOD((YEAR(EDATE(DATE(YEAR(TODAY()),MONTH(TODAY()),1),7))-YEAR(IF(ISNUMBER(Suppliers!F47),Suppliers!F47,DATE(YEAR(TODAY()),MONTH(TODAY()),1))))*12+MONTH(EDATE(DATE(YEAR(TODAY()),MONTH(TODAY()),1),7))-MONTH(IF(ISNUMBER(Suppliers!F47),Suppliers!F47,DATE(YEAR(TODAY()),MONTH(TODAY()),1))),6)=0,1,0),IF(Suppliers!E47="Annual",IF(MOD((YEAR(EDATE(DATE(YEAR(TODAY()),MONTH(TODAY()),1),7))-YEAR(IF(ISNUMBER(Suppliers!F47),Suppliers!F47,DATE(YEAR(TODAY()),MONTH(TODAY()),1))))*12+MONTH(EDATE(DATE(YEAR(TODAY()),MONTH(TODAY()),1),7))-MONTH(IF(ISNUMBER(Suppliers!F47),Suppliers!F47,DATE(YEAR(TODAY()),MONTH(TODAY()),1))),12)=0,1,0),IF(Suppliers!E47="One-time",IF(7=0,1,0),1)))))),"")</f>
        <v/>
      </c>
      <c r="N49" s="10" t="str">
        <f ca="1">IFERROR(IF(OR(8&gt;=$B$1,Suppliers!A47="",NOT(ISNUMBER(Suppliers!D47)),Suppliers!L47="Expired",Suppliers!L47="Terminate"),"",Suppliers!D47*-1*IF(Suppliers!E47="Monthly",IF(AND(ISNUMBER(Suppliers!G47),(YEAR(EDATE(DATE(YEAR(TODAY()),MONTH(TODAY()),1),8))*12+MONTH(EDATE(DATE(YEAR(TODAY()),MONTH(TODAY()),1),8)))&gt;(YEAR(Suppliers!G47)*12+MONTH(Suppliers!G47))),"",1),IF(Suppliers!E47="Quarterly",IF(MOD((YEAR(EDATE(DATE(YEAR(TODAY()),MONTH(TODAY()),1),8))-YEAR(IF(ISNUMBER(Suppliers!F47),Suppliers!F47,DATE(YEAR(TODAY()),MONTH(TODAY()),1))))*12+MONTH(EDATE(DATE(YEAR(TODAY()),MONTH(TODAY()),1),8))-MONTH(IF(ISNUMBER(Suppliers!F47),Suppliers!F47,DATE(YEAR(TODAY()),MONTH(TODAY()),1))),3)=0,1,0),IF(Suppliers!E47="Semi-annual",IF(MOD((YEAR(EDATE(DATE(YEAR(TODAY()),MONTH(TODAY()),1),8))-YEAR(IF(ISNUMBER(Suppliers!F47),Suppliers!F47,DATE(YEAR(TODAY()),MONTH(TODAY()),1))))*12+MONTH(EDATE(DATE(YEAR(TODAY()),MONTH(TODAY()),1),8))-MONTH(IF(ISNUMBER(Suppliers!F47),Suppliers!F47,DATE(YEAR(TODAY()),MONTH(TODAY()),1))),6)=0,1,0),IF(Suppliers!E47="Annual",IF(MOD((YEAR(EDATE(DATE(YEAR(TODAY()),MONTH(TODAY()),1),8))-YEAR(IF(ISNUMBER(Suppliers!F47),Suppliers!F47,DATE(YEAR(TODAY()),MONTH(TODAY()),1))))*12+MONTH(EDATE(DATE(YEAR(TODAY()),MONTH(TODAY()),1),8))-MONTH(IF(ISNUMBER(Suppliers!F47),Suppliers!F47,DATE(YEAR(TODAY()),MONTH(TODAY()),1))),12)=0,1,0),IF(Suppliers!E47="One-time",IF(8=0,1,0),1)))))),"")</f>
        <v/>
      </c>
      <c r="O49" s="10" t="str">
        <f ca="1">IFERROR(IF(OR(9&gt;=$B$1,Suppliers!A47="",NOT(ISNUMBER(Suppliers!D47)),Suppliers!L47="Expired",Suppliers!L47="Terminate"),"",Suppliers!D47*-1*IF(Suppliers!E47="Monthly",IF(AND(ISNUMBER(Suppliers!G47),(YEAR(EDATE(DATE(YEAR(TODAY()),MONTH(TODAY()),1),9))*12+MONTH(EDATE(DATE(YEAR(TODAY()),MONTH(TODAY()),1),9)))&gt;(YEAR(Suppliers!G47)*12+MONTH(Suppliers!G47))),"",1),IF(Suppliers!E47="Quarterly",IF(MOD((YEAR(EDATE(DATE(YEAR(TODAY()),MONTH(TODAY()),1),9))-YEAR(IF(ISNUMBER(Suppliers!F47),Suppliers!F47,DATE(YEAR(TODAY()),MONTH(TODAY()),1))))*12+MONTH(EDATE(DATE(YEAR(TODAY()),MONTH(TODAY()),1),9))-MONTH(IF(ISNUMBER(Suppliers!F47),Suppliers!F47,DATE(YEAR(TODAY()),MONTH(TODAY()),1))),3)=0,1,0),IF(Suppliers!E47="Semi-annual",IF(MOD((YEAR(EDATE(DATE(YEAR(TODAY()),MONTH(TODAY()),1),9))-YEAR(IF(ISNUMBER(Suppliers!F47),Suppliers!F47,DATE(YEAR(TODAY()),MONTH(TODAY()),1))))*12+MONTH(EDATE(DATE(YEAR(TODAY()),MONTH(TODAY()),1),9))-MONTH(IF(ISNUMBER(Suppliers!F47),Suppliers!F47,DATE(YEAR(TODAY()),MONTH(TODAY()),1))),6)=0,1,0),IF(Suppliers!E47="Annual",IF(MOD((YEAR(EDATE(DATE(YEAR(TODAY()),MONTH(TODAY()),1),9))-YEAR(IF(ISNUMBER(Suppliers!F47),Suppliers!F47,DATE(YEAR(TODAY()),MONTH(TODAY()),1))))*12+MONTH(EDATE(DATE(YEAR(TODAY()),MONTH(TODAY()),1),9))-MONTH(IF(ISNUMBER(Suppliers!F47),Suppliers!F47,DATE(YEAR(TODAY()),MONTH(TODAY()),1))),12)=0,1,0),IF(Suppliers!E47="One-time",IF(9=0,1,0),1)))))),"")</f>
        <v/>
      </c>
      <c r="P49" s="10" t="str">
        <f ca="1">IFERROR(IF(OR(10&gt;=$B$1,Suppliers!A47="",NOT(ISNUMBER(Suppliers!D47)),Suppliers!L47="Expired",Suppliers!L47="Terminate"),"",Suppliers!D47*-1*IF(Suppliers!E47="Monthly",IF(AND(ISNUMBER(Suppliers!G47),(YEAR(EDATE(DATE(YEAR(TODAY()),MONTH(TODAY()),1),10))*12+MONTH(EDATE(DATE(YEAR(TODAY()),MONTH(TODAY()),1),10)))&gt;(YEAR(Suppliers!G47)*12+MONTH(Suppliers!G47))),"",1),IF(Suppliers!E47="Quarterly",IF(MOD((YEAR(EDATE(DATE(YEAR(TODAY()),MONTH(TODAY()),1),10))-YEAR(IF(ISNUMBER(Suppliers!F47),Suppliers!F47,DATE(YEAR(TODAY()),MONTH(TODAY()),1))))*12+MONTH(EDATE(DATE(YEAR(TODAY()),MONTH(TODAY()),1),10))-MONTH(IF(ISNUMBER(Suppliers!F47),Suppliers!F47,DATE(YEAR(TODAY()),MONTH(TODAY()),1))),3)=0,1,0),IF(Suppliers!E47="Semi-annual",IF(MOD((YEAR(EDATE(DATE(YEAR(TODAY()),MONTH(TODAY()),1),10))-YEAR(IF(ISNUMBER(Suppliers!F47),Suppliers!F47,DATE(YEAR(TODAY()),MONTH(TODAY()),1))))*12+MONTH(EDATE(DATE(YEAR(TODAY()),MONTH(TODAY()),1),10))-MONTH(IF(ISNUMBER(Suppliers!F47),Suppliers!F47,DATE(YEAR(TODAY()),MONTH(TODAY()),1))),6)=0,1,0),IF(Suppliers!E47="Annual",IF(MOD((YEAR(EDATE(DATE(YEAR(TODAY()),MONTH(TODAY()),1),10))-YEAR(IF(ISNUMBER(Suppliers!F47),Suppliers!F47,DATE(YEAR(TODAY()),MONTH(TODAY()),1))))*12+MONTH(EDATE(DATE(YEAR(TODAY()),MONTH(TODAY()),1),10))-MONTH(IF(ISNUMBER(Suppliers!F47),Suppliers!F47,DATE(YEAR(TODAY()),MONTH(TODAY()),1))),12)=0,1,0),IF(Suppliers!E47="One-time",IF(10=0,1,0),1)))))),"")</f>
        <v/>
      </c>
      <c r="Q49" s="10" t="str">
        <f ca="1">IFERROR(IF(OR(11&gt;=$B$1,Suppliers!A47="",NOT(ISNUMBER(Suppliers!D47)),Suppliers!L47="Expired",Suppliers!L47="Terminate"),"",Suppliers!D47*-1*IF(Suppliers!E47="Monthly",IF(AND(ISNUMBER(Suppliers!G47),(YEAR(EDATE(DATE(YEAR(TODAY()),MONTH(TODAY()),1),11))*12+MONTH(EDATE(DATE(YEAR(TODAY()),MONTH(TODAY()),1),11)))&gt;(YEAR(Suppliers!G47)*12+MONTH(Suppliers!G47))),"",1),IF(Suppliers!E47="Quarterly",IF(MOD((YEAR(EDATE(DATE(YEAR(TODAY()),MONTH(TODAY()),1),11))-YEAR(IF(ISNUMBER(Suppliers!F47),Suppliers!F47,DATE(YEAR(TODAY()),MONTH(TODAY()),1))))*12+MONTH(EDATE(DATE(YEAR(TODAY()),MONTH(TODAY()),1),11))-MONTH(IF(ISNUMBER(Suppliers!F47),Suppliers!F47,DATE(YEAR(TODAY()),MONTH(TODAY()),1))),3)=0,1,0),IF(Suppliers!E47="Semi-annual",IF(MOD((YEAR(EDATE(DATE(YEAR(TODAY()),MONTH(TODAY()),1),11))-YEAR(IF(ISNUMBER(Suppliers!F47),Suppliers!F47,DATE(YEAR(TODAY()),MONTH(TODAY()),1))))*12+MONTH(EDATE(DATE(YEAR(TODAY()),MONTH(TODAY()),1),11))-MONTH(IF(ISNUMBER(Suppliers!F47),Suppliers!F47,DATE(YEAR(TODAY()),MONTH(TODAY()),1))),6)=0,1,0),IF(Suppliers!E47="Annual",IF(MOD((YEAR(EDATE(DATE(YEAR(TODAY()),MONTH(TODAY()),1),11))-YEAR(IF(ISNUMBER(Suppliers!F47),Suppliers!F47,DATE(YEAR(TODAY()),MONTH(TODAY()),1))))*12+MONTH(EDATE(DATE(YEAR(TODAY()),MONTH(TODAY()),1),11))-MONTH(IF(ISNUMBER(Suppliers!F47),Suppliers!F47,DATE(YEAR(TODAY()),MONTH(TODAY()),1))),12)=0,1,0),IF(Suppliers!E47="One-time",IF(11=0,1,0),1)))))),"")</f>
        <v/>
      </c>
      <c r="R49" s="10" t="str">
        <f ca="1">IFERROR(IF(OR(12&gt;=$B$1,Suppliers!A47="",NOT(ISNUMBER(Suppliers!D47)),Suppliers!L47="Expired",Suppliers!L47="Terminate"),"",Suppliers!D47*-1*IF(Suppliers!E47="Monthly",IF(AND(ISNUMBER(Suppliers!G47),(YEAR(EDATE(DATE(YEAR(TODAY()),MONTH(TODAY()),1),12))*12+MONTH(EDATE(DATE(YEAR(TODAY()),MONTH(TODAY()),1),12)))&gt;(YEAR(Suppliers!G47)*12+MONTH(Suppliers!G47))),"",1),IF(Suppliers!E47="Quarterly",IF(MOD((YEAR(EDATE(DATE(YEAR(TODAY()),MONTH(TODAY()),1),12))-YEAR(IF(ISNUMBER(Suppliers!F47),Suppliers!F47,DATE(YEAR(TODAY()),MONTH(TODAY()),1))))*12+MONTH(EDATE(DATE(YEAR(TODAY()),MONTH(TODAY()),1),12))-MONTH(IF(ISNUMBER(Suppliers!F47),Suppliers!F47,DATE(YEAR(TODAY()),MONTH(TODAY()),1))),3)=0,1,0),IF(Suppliers!E47="Semi-annual",IF(MOD((YEAR(EDATE(DATE(YEAR(TODAY()),MONTH(TODAY()),1),12))-YEAR(IF(ISNUMBER(Suppliers!F47),Suppliers!F47,DATE(YEAR(TODAY()),MONTH(TODAY()),1))))*12+MONTH(EDATE(DATE(YEAR(TODAY()),MONTH(TODAY()),1),12))-MONTH(IF(ISNUMBER(Suppliers!F47),Suppliers!F47,DATE(YEAR(TODAY()),MONTH(TODAY()),1))),6)=0,1,0),IF(Suppliers!E47="Annual",IF(MOD((YEAR(EDATE(DATE(YEAR(TODAY()),MONTH(TODAY()),1),12))-YEAR(IF(ISNUMBER(Suppliers!F47),Suppliers!F47,DATE(YEAR(TODAY()),MONTH(TODAY()),1))))*12+MONTH(EDATE(DATE(YEAR(TODAY()),MONTH(TODAY()),1),12))-MONTH(IF(ISNUMBER(Suppliers!F47),Suppliers!F47,DATE(YEAR(TODAY()),MONTH(TODAY()),1))),12)=0,1,0),IF(Suppliers!E47="One-time",IF(12=0,1,0),1)))))),"")</f>
        <v/>
      </c>
      <c r="S49" s="10" t="str">
        <f ca="1">IFERROR(IF(OR(13&gt;=$B$1,Suppliers!A47="",NOT(ISNUMBER(Suppliers!D47)),Suppliers!L47="Expired",Suppliers!L47="Terminate"),"",Suppliers!D47*-1*IF(Suppliers!E47="Monthly",IF(AND(ISNUMBER(Suppliers!G47),(YEAR(EDATE(DATE(YEAR(TODAY()),MONTH(TODAY()),1),13))*12+MONTH(EDATE(DATE(YEAR(TODAY()),MONTH(TODAY()),1),13)))&gt;(YEAR(Suppliers!G47)*12+MONTH(Suppliers!G47))),"",1),IF(Suppliers!E47="Quarterly",IF(MOD((YEAR(EDATE(DATE(YEAR(TODAY()),MONTH(TODAY()),1),13))-YEAR(IF(ISNUMBER(Suppliers!F47),Suppliers!F47,DATE(YEAR(TODAY()),MONTH(TODAY()),1))))*12+MONTH(EDATE(DATE(YEAR(TODAY()),MONTH(TODAY()),1),13))-MONTH(IF(ISNUMBER(Suppliers!F47),Suppliers!F47,DATE(YEAR(TODAY()),MONTH(TODAY()),1))),3)=0,1,0),IF(Suppliers!E47="Semi-annual",IF(MOD((YEAR(EDATE(DATE(YEAR(TODAY()),MONTH(TODAY()),1),13))-YEAR(IF(ISNUMBER(Suppliers!F47),Suppliers!F47,DATE(YEAR(TODAY()),MONTH(TODAY()),1))))*12+MONTH(EDATE(DATE(YEAR(TODAY()),MONTH(TODAY()),1),13))-MONTH(IF(ISNUMBER(Suppliers!F47),Suppliers!F47,DATE(YEAR(TODAY()),MONTH(TODAY()),1))),6)=0,1,0),IF(Suppliers!E47="Annual",IF(MOD((YEAR(EDATE(DATE(YEAR(TODAY()),MONTH(TODAY()),1),13))-YEAR(IF(ISNUMBER(Suppliers!F47),Suppliers!F47,DATE(YEAR(TODAY()),MONTH(TODAY()),1))))*12+MONTH(EDATE(DATE(YEAR(TODAY()),MONTH(TODAY()),1),13))-MONTH(IF(ISNUMBER(Suppliers!F47),Suppliers!F47,DATE(YEAR(TODAY()),MONTH(TODAY()),1))),12)=0,1,0),IF(Suppliers!E47="One-time",IF(13=0,1,0),1)))))),"")</f>
        <v/>
      </c>
      <c r="T49" s="10" t="str">
        <f ca="1">IFERROR(IF(OR(14&gt;=$B$1,Suppliers!A47="",NOT(ISNUMBER(Suppliers!D47)),Suppliers!L47="Expired",Suppliers!L47="Terminate"),"",Suppliers!D47*-1*IF(Suppliers!E47="Monthly",IF(AND(ISNUMBER(Suppliers!G47),(YEAR(EDATE(DATE(YEAR(TODAY()),MONTH(TODAY()),1),14))*12+MONTH(EDATE(DATE(YEAR(TODAY()),MONTH(TODAY()),1),14)))&gt;(YEAR(Suppliers!G47)*12+MONTH(Suppliers!G47))),"",1),IF(Suppliers!E47="Quarterly",IF(MOD((YEAR(EDATE(DATE(YEAR(TODAY()),MONTH(TODAY()),1),14))-YEAR(IF(ISNUMBER(Suppliers!F47),Suppliers!F47,DATE(YEAR(TODAY()),MONTH(TODAY()),1))))*12+MONTH(EDATE(DATE(YEAR(TODAY()),MONTH(TODAY()),1),14))-MONTH(IF(ISNUMBER(Suppliers!F47),Suppliers!F47,DATE(YEAR(TODAY()),MONTH(TODAY()),1))),3)=0,1,0),IF(Suppliers!E47="Semi-annual",IF(MOD((YEAR(EDATE(DATE(YEAR(TODAY()),MONTH(TODAY()),1),14))-YEAR(IF(ISNUMBER(Suppliers!F47),Suppliers!F47,DATE(YEAR(TODAY()),MONTH(TODAY()),1))))*12+MONTH(EDATE(DATE(YEAR(TODAY()),MONTH(TODAY()),1),14))-MONTH(IF(ISNUMBER(Suppliers!F47),Suppliers!F47,DATE(YEAR(TODAY()),MONTH(TODAY()),1))),6)=0,1,0),IF(Suppliers!E47="Annual",IF(MOD((YEAR(EDATE(DATE(YEAR(TODAY()),MONTH(TODAY()),1),14))-YEAR(IF(ISNUMBER(Suppliers!F47),Suppliers!F47,DATE(YEAR(TODAY()),MONTH(TODAY()),1))))*12+MONTH(EDATE(DATE(YEAR(TODAY()),MONTH(TODAY()),1),14))-MONTH(IF(ISNUMBER(Suppliers!F47),Suppliers!F47,DATE(YEAR(TODAY()),MONTH(TODAY()),1))),12)=0,1,0),IF(Suppliers!E47="One-time",IF(14=0,1,0),1)))))),"")</f>
        <v/>
      </c>
      <c r="U49" s="10" t="str">
        <f ca="1">IFERROR(IF(OR(15&gt;=$B$1,Suppliers!A47="",NOT(ISNUMBER(Suppliers!D47)),Suppliers!L47="Expired",Suppliers!L47="Terminate"),"",Suppliers!D47*-1*IF(Suppliers!E47="Monthly",IF(AND(ISNUMBER(Suppliers!G47),(YEAR(EDATE(DATE(YEAR(TODAY()),MONTH(TODAY()),1),15))*12+MONTH(EDATE(DATE(YEAR(TODAY()),MONTH(TODAY()),1),15)))&gt;(YEAR(Suppliers!G47)*12+MONTH(Suppliers!G47))),"",1),IF(Suppliers!E47="Quarterly",IF(MOD((YEAR(EDATE(DATE(YEAR(TODAY()),MONTH(TODAY()),1),15))-YEAR(IF(ISNUMBER(Suppliers!F47),Suppliers!F47,DATE(YEAR(TODAY()),MONTH(TODAY()),1))))*12+MONTH(EDATE(DATE(YEAR(TODAY()),MONTH(TODAY()),1),15))-MONTH(IF(ISNUMBER(Suppliers!F47),Suppliers!F47,DATE(YEAR(TODAY()),MONTH(TODAY()),1))),3)=0,1,0),IF(Suppliers!E47="Semi-annual",IF(MOD((YEAR(EDATE(DATE(YEAR(TODAY()),MONTH(TODAY()),1),15))-YEAR(IF(ISNUMBER(Suppliers!F47),Suppliers!F47,DATE(YEAR(TODAY()),MONTH(TODAY()),1))))*12+MONTH(EDATE(DATE(YEAR(TODAY()),MONTH(TODAY()),1),15))-MONTH(IF(ISNUMBER(Suppliers!F47),Suppliers!F47,DATE(YEAR(TODAY()),MONTH(TODAY()),1))),6)=0,1,0),IF(Suppliers!E47="Annual",IF(MOD((YEAR(EDATE(DATE(YEAR(TODAY()),MONTH(TODAY()),1),15))-YEAR(IF(ISNUMBER(Suppliers!F47),Suppliers!F47,DATE(YEAR(TODAY()),MONTH(TODAY()),1))))*12+MONTH(EDATE(DATE(YEAR(TODAY()),MONTH(TODAY()),1),15))-MONTH(IF(ISNUMBER(Suppliers!F47),Suppliers!F47,DATE(YEAR(TODAY()),MONTH(TODAY()),1))),12)=0,1,0),IF(Suppliers!E47="One-time",IF(15=0,1,0),1)))))),"")</f>
        <v/>
      </c>
      <c r="V49" s="10" t="str">
        <f ca="1">IFERROR(IF(OR(16&gt;=$B$1,Suppliers!A47="",NOT(ISNUMBER(Suppliers!D47)),Suppliers!L47="Expired",Suppliers!L47="Terminate"),"",Suppliers!D47*-1*IF(Suppliers!E47="Monthly",IF(AND(ISNUMBER(Suppliers!G47),(YEAR(EDATE(DATE(YEAR(TODAY()),MONTH(TODAY()),1),16))*12+MONTH(EDATE(DATE(YEAR(TODAY()),MONTH(TODAY()),1),16)))&gt;(YEAR(Suppliers!G47)*12+MONTH(Suppliers!G47))),"",1),IF(Suppliers!E47="Quarterly",IF(MOD((YEAR(EDATE(DATE(YEAR(TODAY()),MONTH(TODAY()),1),16))-YEAR(IF(ISNUMBER(Suppliers!F47),Suppliers!F47,DATE(YEAR(TODAY()),MONTH(TODAY()),1))))*12+MONTH(EDATE(DATE(YEAR(TODAY()),MONTH(TODAY()),1),16))-MONTH(IF(ISNUMBER(Suppliers!F47),Suppliers!F47,DATE(YEAR(TODAY()),MONTH(TODAY()),1))),3)=0,1,0),IF(Suppliers!E47="Semi-annual",IF(MOD((YEAR(EDATE(DATE(YEAR(TODAY()),MONTH(TODAY()),1),16))-YEAR(IF(ISNUMBER(Suppliers!F47),Suppliers!F47,DATE(YEAR(TODAY()),MONTH(TODAY()),1))))*12+MONTH(EDATE(DATE(YEAR(TODAY()),MONTH(TODAY()),1),16))-MONTH(IF(ISNUMBER(Suppliers!F47),Suppliers!F47,DATE(YEAR(TODAY()),MONTH(TODAY()),1))),6)=0,1,0),IF(Suppliers!E47="Annual",IF(MOD((YEAR(EDATE(DATE(YEAR(TODAY()),MONTH(TODAY()),1),16))-YEAR(IF(ISNUMBER(Suppliers!F47),Suppliers!F47,DATE(YEAR(TODAY()),MONTH(TODAY()),1))))*12+MONTH(EDATE(DATE(YEAR(TODAY()),MONTH(TODAY()),1),16))-MONTH(IF(ISNUMBER(Suppliers!F47),Suppliers!F47,DATE(YEAR(TODAY()),MONTH(TODAY()),1))),12)=0,1,0),IF(Suppliers!E47="One-time",IF(16=0,1,0),1)))))),"")</f>
        <v/>
      </c>
      <c r="W49" s="10" t="str">
        <f ca="1">IFERROR(IF(OR(17&gt;=$B$1,Suppliers!A47="",NOT(ISNUMBER(Suppliers!D47)),Suppliers!L47="Expired",Suppliers!L47="Terminate"),"",Suppliers!D47*-1*IF(Suppliers!E47="Monthly",IF(AND(ISNUMBER(Suppliers!G47),(YEAR(EDATE(DATE(YEAR(TODAY()),MONTH(TODAY()),1),17))*12+MONTH(EDATE(DATE(YEAR(TODAY()),MONTH(TODAY()),1),17)))&gt;(YEAR(Suppliers!G47)*12+MONTH(Suppliers!G47))),"",1),IF(Suppliers!E47="Quarterly",IF(MOD((YEAR(EDATE(DATE(YEAR(TODAY()),MONTH(TODAY()),1),17))-YEAR(IF(ISNUMBER(Suppliers!F47),Suppliers!F47,DATE(YEAR(TODAY()),MONTH(TODAY()),1))))*12+MONTH(EDATE(DATE(YEAR(TODAY()),MONTH(TODAY()),1),17))-MONTH(IF(ISNUMBER(Suppliers!F47),Suppliers!F47,DATE(YEAR(TODAY()),MONTH(TODAY()),1))),3)=0,1,0),IF(Suppliers!E47="Semi-annual",IF(MOD((YEAR(EDATE(DATE(YEAR(TODAY()),MONTH(TODAY()),1),17))-YEAR(IF(ISNUMBER(Suppliers!F47),Suppliers!F47,DATE(YEAR(TODAY()),MONTH(TODAY()),1))))*12+MONTH(EDATE(DATE(YEAR(TODAY()),MONTH(TODAY()),1),17))-MONTH(IF(ISNUMBER(Suppliers!F47),Suppliers!F47,DATE(YEAR(TODAY()),MONTH(TODAY()),1))),6)=0,1,0),IF(Suppliers!E47="Annual",IF(MOD((YEAR(EDATE(DATE(YEAR(TODAY()),MONTH(TODAY()),1),17))-YEAR(IF(ISNUMBER(Suppliers!F47),Suppliers!F47,DATE(YEAR(TODAY()),MONTH(TODAY()),1))))*12+MONTH(EDATE(DATE(YEAR(TODAY()),MONTH(TODAY()),1),17))-MONTH(IF(ISNUMBER(Suppliers!F47),Suppliers!F47,DATE(YEAR(TODAY()),MONTH(TODAY()),1))),12)=0,1,0),IF(Suppliers!E47="One-time",IF(17=0,1,0),1)))))),"")</f>
        <v/>
      </c>
      <c r="X49" s="10" t="str">
        <f ca="1">IFERROR(IF(OR(18&gt;=$B$1,Suppliers!A47="",NOT(ISNUMBER(Suppliers!D47)),Suppliers!L47="Expired",Suppliers!L47="Terminate"),"",Suppliers!D47*-1*IF(Suppliers!E47="Monthly",IF(AND(ISNUMBER(Suppliers!G47),(YEAR(EDATE(DATE(YEAR(TODAY()),MONTH(TODAY()),1),18))*12+MONTH(EDATE(DATE(YEAR(TODAY()),MONTH(TODAY()),1),18)))&gt;(YEAR(Suppliers!G47)*12+MONTH(Suppliers!G47))),"",1),IF(Suppliers!E47="Quarterly",IF(MOD((YEAR(EDATE(DATE(YEAR(TODAY()),MONTH(TODAY()),1),18))-YEAR(IF(ISNUMBER(Suppliers!F47),Suppliers!F47,DATE(YEAR(TODAY()),MONTH(TODAY()),1))))*12+MONTH(EDATE(DATE(YEAR(TODAY()),MONTH(TODAY()),1),18))-MONTH(IF(ISNUMBER(Suppliers!F47),Suppliers!F47,DATE(YEAR(TODAY()),MONTH(TODAY()),1))),3)=0,1,0),IF(Suppliers!E47="Semi-annual",IF(MOD((YEAR(EDATE(DATE(YEAR(TODAY()),MONTH(TODAY()),1),18))-YEAR(IF(ISNUMBER(Suppliers!F47),Suppliers!F47,DATE(YEAR(TODAY()),MONTH(TODAY()),1))))*12+MONTH(EDATE(DATE(YEAR(TODAY()),MONTH(TODAY()),1),18))-MONTH(IF(ISNUMBER(Suppliers!F47),Suppliers!F47,DATE(YEAR(TODAY()),MONTH(TODAY()),1))),6)=0,1,0),IF(Suppliers!E47="Annual",IF(MOD((YEAR(EDATE(DATE(YEAR(TODAY()),MONTH(TODAY()),1),18))-YEAR(IF(ISNUMBER(Suppliers!F47),Suppliers!F47,DATE(YEAR(TODAY()),MONTH(TODAY()),1))))*12+MONTH(EDATE(DATE(YEAR(TODAY()),MONTH(TODAY()),1),18))-MONTH(IF(ISNUMBER(Suppliers!F47),Suppliers!F47,DATE(YEAR(TODAY()),MONTH(TODAY()),1))),12)=0,1,0),IF(Suppliers!E47="One-time",IF(18=0,1,0),1)))))),"")</f>
        <v/>
      </c>
      <c r="Y49" s="10" t="str">
        <f ca="1">IFERROR(IF(OR(19&gt;=$B$1,Suppliers!A47="",NOT(ISNUMBER(Suppliers!D47)),Suppliers!L47="Expired",Suppliers!L47="Terminate"),"",Suppliers!D47*-1*IF(Suppliers!E47="Monthly",IF(AND(ISNUMBER(Suppliers!G47),(YEAR(EDATE(DATE(YEAR(TODAY()),MONTH(TODAY()),1),19))*12+MONTH(EDATE(DATE(YEAR(TODAY()),MONTH(TODAY()),1),19)))&gt;(YEAR(Suppliers!G47)*12+MONTH(Suppliers!G47))),"",1),IF(Suppliers!E47="Quarterly",IF(MOD((YEAR(EDATE(DATE(YEAR(TODAY()),MONTH(TODAY()),1),19))-YEAR(IF(ISNUMBER(Suppliers!F47),Suppliers!F47,DATE(YEAR(TODAY()),MONTH(TODAY()),1))))*12+MONTH(EDATE(DATE(YEAR(TODAY()),MONTH(TODAY()),1),19))-MONTH(IF(ISNUMBER(Suppliers!F47),Suppliers!F47,DATE(YEAR(TODAY()),MONTH(TODAY()),1))),3)=0,1,0),IF(Suppliers!E47="Semi-annual",IF(MOD((YEAR(EDATE(DATE(YEAR(TODAY()),MONTH(TODAY()),1),19))-YEAR(IF(ISNUMBER(Suppliers!F47),Suppliers!F47,DATE(YEAR(TODAY()),MONTH(TODAY()),1))))*12+MONTH(EDATE(DATE(YEAR(TODAY()),MONTH(TODAY()),1),19))-MONTH(IF(ISNUMBER(Suppliers!F47),Suppliers!F47,DATE(YEAR(TODAY()),MONTH(TODAY()),1))),6)=0,1,0),IF(Suppliers!E47="Annual",IF(MOD((YEAR(EDATE(DATE(YEAR(TODAY()),MONTH(TODAY()),1),19))-YEAR(IF(ISNUMBER(Suppliers!F47),Suppliers!F47,DATE(YEAR(TODAY()),MONTH(TODAY()),1))))*12+MONTH(EDATE(DATE(YEAR(TODAY()),MONTH(TODAY()),1),19))-MONTH(IF(ISNUMBER(Suppliers!F47),Suppliers!F47,DATE(YEAR(TODAY()),MONTH(TODAY()),1))),12)=0,1,0),IF(Suppliers!E47="One-time",IF(19=0,1,0),1)))))),"")</f>
        <v/>
      </c>
      <c r="Z49" s="10" t="str">
        <f ca="1">IFERROR(IF(OR(20&gt;=$B$1,Suppliers!A47="",NOT(ISNUMBER(Suppliers!D47)),Suppliers!L47="Expired",Suppliers!L47="Terminate"),"",Suppliers!D47*-1*IF(Suppliers!E47="Monthly",IF(AND(ISNUMBER(Suppliers!G47),(YEAR(EDATE(DATE(YEAR(TODAY()),MONTH(TODAY()),1),20))*12+MONTH(EDATE(DATE(YEAR(TODAY()),MONTH(TODAY()),1),20)))&gt;(YEAR(Suppliers!G47)*12+MONTH(Suppliers!G47))),"",1),IF(Suppliers!E47="Quarterly",IF(MOD((YEAR(EDATE(DATE(YEAR(TODAY()),MONTH(TODAY()),1),20))-YEAR(IF(ISNUMBER(Suppliers!F47),Suppliers!F47,DATE(YEAR(TODAY()),MONTH(TODAY()),1))))*12+MONTH(EDATE(DATE(YEAR(TODAY()),MONTH(TODAY()),1),20))-MONTH(IF(ISNUMBER(Suppliers!F47),Suppliers!F47,DATE(YEAR(TODAY()),MONTH(TODAY()),1))),3)=0,1,0),IF(Suppliers!E47="Semi-annual",IF(MOD((YEAR(EDATE(DATE(YEAR(TODAY()),MONTH(TODAY()),1),20))-YEAR(IF(ISNUMBER(Suppliers!F47),Suppliers!F47,DATE(YEAR(TODAY()),MONTH(TODAY()),1))))*12+MONTH(EDATE(DATE(YEAR(TODAY()),MONTH(TODAY()),1),20))-MONTH(IF(ISNUMBER(Suppliers!F47),Suppliers!F47,DATE(YEAR(TODAY()),MONTH(TODAY()),1))),6)=0,1,0),IF(Suppliers!E47="Annual",IF(MOD((YEAR(EDATE(DATE(YEAR(TODAY()),MONTH(TODAY()),1),20))-YEAR(IF(ISNUMBER(Suppliers!F47),Suppliers!F47,DATE(YEAR(TODAY()),MONTH(TODAY()),1))))*12+MONTH(EDATE(DATE(YEAR(TODAY()),MONTH(TODAY()),1),20))-MONTH(IF(ISNUMBER(Suppliers!F47),Suppliers!F47,DATE(YEAR(TODAY()),MONTH(TODAY()),1))),12)=0,1,0),IF(Suppliers!E47="One-time",IF(20=0,1,0),1)))))),"")</f>
        <v/>
      </c>
      <c r="AA49" s="10" t="str">
        <f ca="1">IFERROR(IF(OR(21&gt;=$B$1,Suppliers!A47="",NOT(ISNUMBER(Suppliers!D47)),Suppliers!L47="Expired",Suppliers!L47="Terminate"),"",Suppliers!D47*-1*IF(Suppliers!E47="Monthly",IF(AND(ISNUMBER(Suppliers!G47),(YEAR(EDATE(DATE(YEAR(TODAY()),MONTH(TODAY()),1),21))*12+MONTH(EDATE(DATE(YEAR(TODAY()),MONTH(TODAY()),1),21)))&gt;(YEAR(Suppliers!G47)*12+MONTH(Suppliers!G47))),"",1),IF(Suppliers!E47="Quarterly",IF(MOD((YEAR(EDATE(DATE(YEAR(TODAY()),MONTH(TODAY()),1),21))-YEAR(IF(ISNUMBER(Suppliers!F47),Suppliers!F47,DATE(YEAR(TODAY()),MONTH(TODAY()),1))))*12+MONTH(EDATE(DATE(YEAR(TODAY()),MONTH(TODAY()),1),21))-MONTH(IF(ISNUMBER(Suppliers!F47),Suppliers!F47,DATE(YEAR(TODAY()),MONTH(TODAY()),1))),3)=0,1,0),IF(Suppliers!E47="Semi-annual",IF(MOD((YEAR(EDATE(DATE(YEAR(TODAY()),MONTH(TODAY()),1),21))-YEAR(IF(ISNUMBER(Suppliers!F47),Suppliers!F47,DATE(YEAR(TODAY()),MONTH(TODAY()),1))))*12+MONTH(EDATE(DATE(YEAR(TODAY()),MONTH(TODAY()),1),21))-MONTH(IF(ISNUMBER(Suppliers!F47),Suppliers!F47,DATE(YEAR(TODAY()),MONTH(TODAY()),1))),6)=0,1,0),IF(Suppliers!E47="Annual",IF(MOD((YEAR(EDATE(DATE(YEAR(TODAY()),MONTH(TODAY()),1),21))-YEAR(IF(ISNUMBER(Suppliers!F47),Suppliers!F47,DATE(YEAR(TODAY()),MONTH(TODAY()),1))))*12+MONTH(EDATE(DATE(YEAR(TODAY()),MONTH(TODAY()),1),21))-MONTH(IF(ISNUMBER(Suppliers!F47),Suppliers!F47,DATE(YEAR(TODAY()),MONTH(TODAY()),1))),12)=0,1,0),IF(Suppliers!E47="One-time",IF(21=0,1,0),1)))))),"")</f>
        <v/>
      </c>
      <c r="AB49" s="10" t="str">
        <f ca="1">IFERROR(IF(OR(22&gt;=$B$1,Suppliers!A47="",NOT(ISNUMBER(Suppliers!D47)),Suppliers!L47="Expired",Suppliers!L47="Terminate"),"",Suppliers!D47*-1*IF(Suppliers!E47="Monthly",IF(AND(ISNUMBER(Suppliers!G47),(YEAR(EDATE(DATE(YEAR(TODAY()),MONTH(TODAY()),1),22))*12+MONTH(EDATE(DATE(YEAR(TODAY()),MONTH(TODAY()),1),22)))&gt;(YEAR(Suppliers!G47)*12+MONTH(Suppliers!G47))),"",1),IF(Suppliers!E47="Quarterly",IF(MOD((YEAR(EDATE(DATE(YEAR(TODAY()),MONTH(TODAY()),1),22))-YEAR(IF(ISNUMBER(Suppliers!F47),Suppliers!F47,DATE(YEAR(TODAY()),MONTH(TODAY()),1))))*12+MONTH(EDATE(DATE(YEAR(TODAY()),MONTH(TODAY()),1),22))-MONTH(IF(ISNUMBER(Suppliers!F47),Suppliers!F47,DATE(YEAR(TODAY()),MONTH(TODAY()),1))),3)=0,1,0),IF(Suppliers!E47="Semi-annual",IF(MOD((YEAR(EDATE(DATE(YEAR(TODAY()),MONTH(TODAY()),1),22))-YEAR(IF(ISNUMBER(Suppliers!F47),Suppliers!F47,DATE(YEAR(TODAY()),MONTH(TODAY()),1))))*12+MONTH(EDATE(DATE(YEAR(TODAY()),MONTH(TODAY()),1),22))-MONTH(IF(ISNUMBER(Suppliers!F47),Suppliers!F47,DATE(YEAR(TODAY()),MONTH(TODAY()),1))),6)=0,1,0),IF(Suppliers!E47="Annual",IF(MOD((YEAR(EDATE(DATE(YEAR(TODAY()),MONTH(TODAY()),1),22))-YEAR(IF(ISNUMBER(Suppliers!F47),Suppliers!F47,DATE(YEAR(TODAY()),MONTH(TODAY()),1))))*12+MONTH(EDATE(DATE(YEAR(TODAY()),MONTH(TODAY()),1),22))-MONTH(IF(ISNUMBER(Suppliers!F47),Suppliers!F47,DATE(YEAR(TODAY()),MONTH(TODAY()),1))),12)=0,1,0),IF(Suppliers!E47="One-time",IF(22=0,1,0),1)))))),"")</f>
        <v/>
      </c>
      <c r="AC49" s="10" t="str">
        <f ca="1">IFERROR(IF(OR(23&gt;=$B$1,Suppliers!A47="",NOT(ISNUMBER(Suppliers!D47)),Suppliers!L47="Expired",Suppliers!L47="Terminate"),"",Suppliers!D47*-1*IF(Suppliers!E47="Monthly",IF(AND(ISNUMBER(Suppliers!G47),(YEAR(EDATE(DATE(YEAR(TODAY()),MONTH(TODAY()),1),23))*12+MONTH(EDATE(DATE(YEAR(TODAY()),MONTH(TODAY()),1),23)))&gt;(YEAR(Suppliers!G47)*12+MONTH(Suppliers!G47))),"",1),IF(Suppliers!E47="Quarterly",IF(MOD((YEAR(EDATE(DATE(YEAR(TODAY()),MONTH(TODAY()),1),23))-YEAR(IF(ISNUMBER(Suppliers!F47),Suppliers!F47,DATE(YEAR(TODAY()),MONTH(TODAY()),1))))*12+MONTH(EDATE(DATE(YEAR(TODAY()),MONTH(TODAY()),1),23))-MONTH(IF(ISNUMBER(Suppliers!F47),Suppliers!F47,DATE(YEAR(TODAY()),MONTH(TODAY()),1))),3)=0,1,0),IF(Suppliers!E47="Semi-annual",IF(MOD((YEAR(EDATE(DATE(YEAR(TODAY()),MONTH(TODAY()),1),23))-YEAR(IF(ISNUMBER(Suppliers!F47),Suppliers!F47,DATE(YEAR(TODAY()),MONTH(TODAY()),1))))*12+MONTH(EDATE(DATE(YEAR(TODAY()),MONTH(TODAY()),1),23))-MONTH(IF(ISNUMBER(Suppliers!F47),Suppliers!F47,DATE(YEAR(TODAY()),MONTH(TODAY()),1))),6)=0,1,0),IF(Suppliers!E47="Annual",IF(MOD((YEAR(EDATE(DATE(YEAR(TODAY()),MONTH(TODAY()),1),23))-YEAR(IF(ISNUMBER(Suppliers!F47),Suppliers!F47,DATE(YEAR(TODAY()),MONTH(TODAY()),1))))*12+MONTH(EDATE(DATE(YEAR(TODAY()),MONTH(TODAY()),1),23))-MONTH(IF(ISNUMBER(Suppliers!F47),Suppliers!F47,DATE(YEAR(TODAY()),MONTH(TODAY()),1))),12)=0,1,0),IF(Suppliers!E47="One-time",IF(23=0,1,0),1)))))),"")</f>
        <v/>
      </c>
    </row>
    <row r="50" spans="1:30" ht="15" customHeight="1" x14ac:dyDescent="0.35">
      <c r="A50" s="4" t="s">
        <v>80</v>
      </c>
      <c r="B50" s="4" t="str">
        <f>IF(Suppliers!A48="","",Suppliers!A48)</f>
        <v/>
      </c>
      <c r="C50" s="10" t="str">
        <f>IF(Suppliers!C48="","",Suppliers!C48)</f>
        <v/>
      </c>
      <c r="D50" s="10" t="str">
        <f>IF(Suppliers!D48="","",Suppliers!D48)</f>
        <v/>
      </c>
      <c r="E50" s="4" t="str">
        <f>IF(Suppliers!E48="","",Suppliers!E48)</f>
        <v/>
      </c>
      <c r="F50" s="10" t="str">
        <f ca="1">IFERROR(IF(OR(0&gt;=$B$1,Suppliers!A48="",NOT(ISNUMBER(Suppliers!D48)),Suppliers!L48="Expired",Suppliers!L48="Terminate"),"",Suppliers!D48*-1*IF(Suppliers!E48="Monthly",IF(AND(ISNUMBER(Suppliers!G48),(YEAR(EDATE(DATE(YEAR(TODAY()),MONTH(TODAY()),1),0))*12+MONTH(EDATE(DATE(YEAR(TODAY()),MONTH(TODAY()),1),0)))&gt;(YEAR(Suppliers!G48)*12+MONTH(Suppliers!G48))),"",1),IF(Suppliers!E48="Quarterly",IF(MOD((YEAR(EDATE(DATE(YEAR(TODAY()),MONTH(TODAY()),1),0))-YEAR(IF(ISNUMBER(Suppliers!F48),Suppliers!F48,DATE(YEAR(TODAY()),MONTH(TODAY()),1))))*12+MONTH(EDATE(DATE(YEAR(TODAY()),MONTH(TODAY()),1),0))-MONTH(IF(ISNUMBER(Suppliers!F48),Suppliers!F48,DATE(YEAR(TODAY()),MONTH(TODAY()),1))),3)=0,1,0),IF(Suppliers!E48="Semi-annual",IF(MOD((YEAR(EDATE(DATE(YEAR(TODAY()),MONTH(TODAY()),1),0))-YEAR(IF(ISNUMBER(Suppliers!F48),Suppliers!F48,DATE(YEAR(TODAY()),MONTH(TODAY()),1))))*12+MONTH(EDATE(DATE(YEAR(TODAY()),MONTH(TODAY()),1),0))-MONTH(IF(ISNUMBER(Suppliers!F48),Suppliers!F48,DATE(YEAR(TODAY()),MONTH(TODAY()),1))),6)=0,1,0),IF(Suppliers!E48="Annual",IF(MOD((YEAR(EDATE(DATE(YEAR(TODAY()),MONTH(TODAY()),1),0))-YEAR(IF(ISNUMBER(Suppliers!F48),Suppliers!F48,DATE(YEAR(TODAY()),MONTH(TODAY()),1))))*12+MONTH(EDATE(DATE(YEAR(TODAY()),MONTH(TODAY()),1),0))-MONTH(IF(ISNUMBER(Suppliers!F48),Suppliers!F48,DATE(YEAR(TODAY()),MONTH(TODAY()),1))),12)=0,1,0),IF(Suppliers!E48="One-time",IF(0=0,1,0),1)))))),"")</f>
        <v/>
      </c>
      <c r="G50" s="10" t="str">
        <f ca="1">IFERROR(IF(OR(1&gt;=$B$1,Suppliers!A48="",NOT(ISNUMBER(Suppliers!D48)),Suppliers!L48="Expired",Suppliers!L48="Terminate"),"",Suppliers!D48*-1*IF(Suppliers!E48="Monthly",IF(AND(ISNUMBER(Suppliers!G48),(YEAR(EDATE(DATE(YEAR(TODAY()),MONTH(TODAY()),1),1))*12+MONTH(EDATE(DATE(YEAR(TODAY()),MONTH(TODAY()),1),1)))&gt;(YEAR(Suppliers!G48)*12+MONTH(Suppliers!G48))),"",1),IF(Suppliers!E48="Quarterly",IF(MOD((YEAR(EDATE(DATE(YEAR(TODAY()),MONTH(TODAY()),1),1))-YEAR(IF(ISNUMBER(Suppliers!F48),Suppliers!F48,DATE(YEAR(TODAY()),MONTH(TODAY()),1))))*12+MONTH(EDATE(DATE(YEAR(TODAY()),MONTH(TODAY()),1),1))-MONTH(IF(ISNUMBER(Suppliers!F48),Suppliers!F48,DATE(YEAR(TODAY()),MONTH(TODAY()),1))),3)=0,1,0),IF(Suppliers!E48="Semi-annual",IF(MOD((YEAR(EDATE(DATE(YEAR(TODAY()),MONTH(TODAY()),1),1))-YEAR(IF(ISNUMBER(Suppliers!F48),Suppliers!F48,DATE(YEAR(TODAY()),MONTH(TODAY()),1))))*12+MONTH(EDATE(DATE(YEAR(TODAY()),MONTH(TODAY()),1),1))-MONTH(IF(ISNUMBER(Suppliers!F48),Suppliers!F48,DATE(YEAR(TODAY()),MONTH(TODAY()),1))),6)=0,1,0),IF(Suppliers!E48="Annual",IF(MOD((YEAR(EDATE(DATE(YEAR(TODAY()),MONTH(TODAY()),1),1))-YEAR(IF(ISNUMBER(Suppliers!F48),Suppliers!F48,DATE(YEAR(TODAY()),MONTH(TODAY()),1))))*12+MONTH(EDATE(DATE(YEAR(TODAY()),MONTH(TODAY()),1),1))-MONTH(IF(ISNUMBER(Suppliers!F48),Suppliers!F48,DATE(YEAR(TODAY()),MONTH(TODAY()),1))),12)=0,1,0),IF(Suppliers!E48="One-time",IF(1=0,1,0),1)))))),"")</f>
        <v/>
      </c>
      <c r="H50" s="10" t="str">
        <f ca="1">IFERROR(IF(OR(2&gt;=$B$1,Suppliers!A48="",NOT(ISNUMBER(Suppliers!D48)),Suppliers!L48="Expired",Suppliers!L48="Terminate"),"",Suppliers!D48*-1*IF(Suppliers!E48="Monthly",IF(AND(ISNUMBER(Suppliers!G48),(YEAR(EDATE(DATE(YEAR(TODAY()),MONTH(TODAY()),1),2))*12+MONTH(EDATE(DATE(YEAR(TODAY()),MONTH(TODAY()),1),2)))&gt;(YEAR(Suppliers!G48)*12+MONTH(Suppliers!G48))),"",1),IF(Suppliers!E48="Quarterly",IF(MOD((YEAR(EDATE(DATE(YEAR(TODAY()),MONTH(TODAY()),1),2))-YEAR(IF(ISNUMBER(Suppliers!F48),Suppliers!F48,DATE(YEAR(TODAY()),MONTH(TODAY()),1))))*12+MONTH(EDATE(DATE(YEAR(TODAY()),MONTH(TODAY()),1),2))-MONTH(IF(ISNUMBER(Suppliers!F48),Suppliers!F48,DATE(YEAR(TODAY()),MONTH(TODAY()),1))),3)=0,1,0),IF(Suppliers!E48="Semi-annual",IF(MOD((YEAR(EDATE(DATE(YEAR(TODAY()),MONTH(TODAY()),1),2))-YEAR(IF(ISNUMBER(Suppliers!F48),Suppliers!F48,DATE(YEAR(TODAY()),MONTH(TODAY()),1))))*12+MONTH(EDATE(DATE(YEAR(TODAY()),MONTH(TODAY()),1),2))-MONTH(IF(ISNUMBER(Suppliers!F48),Suppliers!F48,DATE(YEAR(TODAY()),MONTH(TODAY()),1))),6)=0,1,0),IF(Suppliers!E48="Annual",IF(MOD((YEAR(EDATE(DATE(YEAR(TODAY()),MONTH(TODAY()),1),2))-YEAR(IF(ISNUMBER(Suppliers!F48),Suppliers!F48,DATE(YEAR(TODAY()),MONTH(TODAY()),1))))*12+MONTH(EDATE(DATE(YEAR(TODAY()),MONTH(TODAY()),1),2))-MONTH(IF(ISNUMBER(Suppliers!F48),Suppliers!F48,DATE(YEAR(TODAY()),MONTH(TODAY()),1))),12)=0,1,0),IF(Suppliers!E48="One-time",IF(2=0,1,0),1)))))),"")</f>
        <v/>
      </c>
      <c r="I50" s="10" t="str">
        <f ca="1">IFERROR(IF(OR(3&gt;=$B$1,Suppliers!A48="",NOT(ISNUMBER(Suppliers!D48)),Suppliers!L48="Expired",Suppliers!L48="Terminate"),"",Suppliers!D48*-1*IF(Suppliers!E48="Monthly",IF(AND(ISNUMBER(Suppliers!G48),(YEAR(EDATE(DATE(YEAR(TODAY()),MONTH(TODAY()),1),3))*12+MONTH(EDATE(DATE(YEAR(TODAY()),MONTH(TODAY()),1),3)))&gt;(YEAR(Suppliers!G48)*12+MONTH(Suppliers!G48))),"",1),IF(Suppliers!E48="Quarterly",IF(MOD((YEAR(EDATE(DATE(YEAR(TODAY()),MONTH(TODAY()),1),3))-YEAR(IF(ISNUMBER(Suppliers!F48),Suppliers!F48,DATE(YEAR(TODAY()),MONTH(TODAY()),1))))*12+MONTH(EDATE(DATE(YEAR(TODAY()),MONTH(TODAY()),1),3))-MONTH(IF(ISNUMBER(Suppliers!F48),Suppliers!F48,DATE(YEAR(TODAY()),MONTH(TODAY()),1))),3)=0,1,0),IF(Suppliers!E48="Semi-annual",IF(MOD((YEAR(EDATE(DATE(YEAR(TODAY()),MONTH(TODAY()),1),3))-YEAR(IF(ISNUMBER(Suppliers!F48),Suppliers!F48,DATE(YEAR(TODAY()),MONTH(TODAY()),1))))*12+MONTH(EDATE(DATE(YEAR(TODAY()),MONTH(TODAY()),1),3))-MONTH(IF(ISNUMBER(Suppliers!F48),Suppliers!F48,DATE(YEAR(TODAY()),MONTH(TODAY()),1))),6)=0,1,0),IF(Suppliers!E48="Annual",IF(MOD((YEAR(EDATE(DATE(YEAR(TODAY()),MONTH(TODAY()),1),3))-YEAR(IF(ISNUMBER(Suppliers!F48),Suppliers!F48,DATE(YEAR(TODAY()),MONTH(TODAY()),1))))*12+MONTH(EDATE(DATE(YEAR(TODAY()),MONTH(TODAY()),1),3))-MONTH(IF(ISNUMBER(Suppliers!F48),Suppliers!F48,DATE(YEAR(TODAY()),MONTH(TODAY()),1))),12)=0,1,0),IF(Suppliers!E48="One-time",IF(3=0,1,0),1)))))),"")</f>
        <v/>
      </c>
      <c r="J50" s="10" t="str">
        <f ca="1">IFERROR(IF(OR(4&gt;=$B$1,Suppliers!A48="",NOT(ISNUMBER(Suppliers!D48)),Suppliers!L48="Expired",Suppliers!L48="Terminate"),"",Suppliers!D48*-1*IF(Suppliers!E48="Monthly",IF(AND(ISNUMBER(Suppliers!G48),(YEAR(EDATE(DATE(YEAR(TODAY()),MONTH(TODAY()),1),4))*12+MONTH(EDATE(DATE(YEAR(TODAY()),MONTH(TODAY()),1),4)))&gt;(YEAR(Suppliers!G48)*12+MONTH(Suppliers!G48))),"",1),IF(Suppliers!E48="Quarterly",IF(MOD((YEAR(EDATE(DATE(YEAR(TODAY()),MONTH(TODAY()),1),4))-YEAR(IF(ISNUMBER(Suppliers!F48),Suppliers!F48,DATE(YEAR(TODAY()),MONTH(TODAY()),1))))*12+MONTH(EDATE(DATE(YEAR(TODAY()),MONTH(TODAY()),1),4))-MONTH(IF(ISNUMBER(Suppliers!F48),Suppliers!F48,DATE(YEAR(TODAY()),MONTH(TODAY()),1))),3)=0,1,0),IF(Suppliers!E48="Semi-annual",IF(MOD((YEAR(EDATE(DATE(YEAR(TODAY()),MONTH(TODAY()),1),4))-YEAR(IF(ISNUMBER(Suppliers!F48),Suppliers!F48,DATE(YEAR(TODAY()),MONTH(TODAY()),1))))*12+MONTH(EDATE(DATE(YEAR(TODAY()),MONTH(TODAY()),1),4))-MONTH(IF(ISNUMBER(Suppliers!F48),Suppliers!F48,DATE(YEAR(TODAY()),MONTH(TODAY()),1))),6)=0,1,0),IF(Suppliers!E48="Annual",IF(MOD((YEAR(EDATE(DATE(YEAR(TODAY()),MONTH(TODAY()),1),4))-YEAR(IF(ISNUMBER(Suppliers!F48),Suppliers!F48,DATE(YEAR(TODAY()),MONTH(TODAY()),1))))*12+MONTH(EDATE(DATE(YEAR(TODAY()),MONTH(TODAY()),1),4))-MONTH(IF(ISNUMBER(Suppliers!F48),Suppliers!F48,DATE(YEAR(TODAY()),MONTH(TODAY()),1))),12)=0,1,0),IF(Suppliers!E48="One-time",IF(4=0,1,0),1)))))),"")</f>
        <v/>
      </c>
      <c r="K50" s="10" t="str">
        <f ca="1">IFERROR(IF(OR(5&gt;=$B$1,Suppliers!A48="",NOT(ISNUMBER(Suppliers!D48)),Suppliers!L48="Expired",Suppliers!L48="Terminate"),"",Suppliers!D48*-1*IF(Suppliers!E48="Monthly",IF(AND(ISNUMBER(Suppliers!G48),(YEAR(EDATE(DATE(YEAR(TODAY()),MONTH(TODAY()),1),5))*12+MONTH(EDATE(DATE(YEAR(TODAY()),MONTH(TODAY()),1),5)))&gt;(YEAR(Suppliers!G48)*12+MONTH(Suppliers!G48))),"",1),IF(Suppliers!E48="Quarterly",IF(MOD((YEAR(EDATE(DATE(YEAR(TODAY()),MONTH(TODAY()),1),5))-YEAR(IF(ISNUMBER(Suppliers!F48),Suppliers!F48,DATE(YEAR(TODAY()),MONTH(TODAY()),1))))*12+MONTH(EDATE(DATE(YEAR(TODAY()),MONTH(TODAY()),1),5))-MONTH(IF(ISNUMBER(Suppliers!F48),Suppliers!F48,DATE(YEAR(TODAY()),MONTH(TODAY()),1))),3)=0,1,0),IF(Suppliers!E48="Semi-annual",IF(MOD((YEAR(EDATE(DATE(YEAR(TODAY()),MONTH(TODAY()),1),5))-YEAR(IF(ISNUMBER(Suppliers!F48),Suppliers!F48,DATE(YEAR(TODAY()),MONTH(TODAY()),1))))*12+MONTH(EDATE(DATE(YEAR(TODAY()),MONTH(TODAY()),1),5))-MONTH(IF(ISNUMBER(Suppliers!F48),Suppliers!F48,DATE(YEAR(TODAY()),MONTH(TODAY()),1))),6)=0,1,0),IF(Suppliers!E48="Annual",IF(MOD((YEAR(EDATE(DATE(YEAR(TODAY()),MONTH(TODAY()),1),5))-YEAR(IF(ISNUMBER(Suppliers!F48),Suppliers!F48,DATE(YEAR(TODAY()),MONTH(TODAY()),1))))*12+MONTH(EDATE(DATE(YEAR(TODAY()),MONTH(TODAY()),1),5))-MONTH(IF(ISNUMBER(Suppliers!F48),Suppliers!F48,DATE(YEAR(TODAY()),MONTH(TODAY()),1))),12)=0,1,0),IF(Suppliers!E48="One-time",IF(5=0,1,0),1)))))),"")</f>
        <v/>
      </c>
      <c r="L50" s="10" t="str">
        <f ca="1">IFERROR(IF(OR(6&gt;=$B$1,Suppliers!A48="",NOT(ISNUMBER(Suppliers!D48)),Suppliers!L48="Expired",Suppliers!L48="Terminate"),"",Suppliers!D48*-1*IF(Suppliers!E48="Monthly",IF(AND(ISNUMBER(Suppliers!G48),(YEAR(EDATE(DATE(YEAR(TODAY()),MONTH(TODAY()),1),6))*12+MONTH(EDATE(DATE(YEAR(TODAY()),MONTH(TODAY()),1),6)))&gt;(YEAR(Suppliers!G48)*12+MONTH(Suppliers!G48))),"",1),IF(Suppliers!E48="Quarterly",IF(MOD((YEAR(EDATE(DATE(YEAR(TODAY()),MONTH(TODAY()),1),6))-YEAR(IF(ISNUMBER(Suppliers!F48),Suppliers!F48,DATE(YEAR(TODAY()),MONTH(TODAY()),1))))*12+MONTH(EDATE(DATE(YEAR(TODAY()),MONTH(TODAY()),1),6))-MONTH(IF(ISNUMBER(Suppliers!F48),Suppliers!F48,DATE(YEAR(TODAY()),MONTH(TODAY()),1))),3)=0,1,0),IF(Suppliers!E48="Semi-annual",IF(MOD((YEAR(EDATE(DATE(YEAR(TODAY()),MONTH(TODAY()),1),6))-YEAR(IF(ISNUMBER(Suppliers!F48),Suppliers!F48,DATE(YEAR(TODAY()),MONTH(TODAY()),1))))*12+MONTH(EDATE(DATE(YEAR(TODAY()),MONTH(TODAY()),1),6))-MONTH(IF(ISNUMBER(Suppliers!F48),Suppliers!F48,DATE(YEAR(TODAY()),MONTH(TODAY()),1))),6)=0,1,0),IF(Suppliers!E48="Annual",IF(MOD((YEAR(EDATE(DATE(YEAR(TODAY()),MONTH(TODAY()),1),6))-YEAR(IF(ISNUMBER(Suppliers!F48),Suppliers!F48,DATE(YEAR(TODAY()),MONTH(TODAY()),1))))*12+MONTH(EDATE(DATE(YEAR(TODAY()),MONTH(TODAY()),1),6))-MONTH(IF(ISNUMBER(Suppliers!F48),Suppliers!F48,DATE(YEAR(TODAY()),MONTH(TODAY()),1))),12)=0,1,0),IF(Suppliers!E48="One-time",IF(6=0,1,0),1)))))),"")</f>
        <v/>
      </c>
      <c r="M50" s="10" t="str">
        <f ca="1">IFERROR(IF(OR(7&gt;=$B$1,Suppliers!A48="",NOT(ISNUMBER(Suppliers!D48)),Suppliers!L48="Expired",Suppliers!L48="Terminate"),"",Suppliers!D48*-1*IF(Suppliers!E48="Monthly",IF(AND(ISNUMBER(Suppliers!G48),(YEAR(EDATE(DATE(YEAR(TODAY()),MONTH(TODAY()),1),7))*12+MONTH(EDATE(DATE(YEAR(TODAY()),MONTH(TODAY()),1),7)))&gt;(YEAR(Suppliers!G48)*12+MONTH(Suppliers!G48))),"",1),IF(Suppliers!E48="Quarterly",IF(MOD((YEAR(EDATE(DATE(YEAR(TODAY()),MONTH(TODAY()),1),7))-YEAR(IF(ISNUMBER(Suppliers!F48),Suppliers!F48,DATE(YEAR(TODAY()),MONTH(TODAY()),1))))*12+MONTH(EDATE(DATE(YEAR(TODAY()),MONTH(TODAY()),1),7))-MONTH(IF(ISNUMBER(Suppliers!F48),Suppliers!F48,DATE(YEAR(TODAY()),MONTH(TODAY()),1))),3)=0,1,0),IF(Suppliers!E48="Semi-annual",IF(MOD((YEAR(EDATE(DATE(YEAR(TODAY()),MONTH(TODAY()),1),7))-YEAR(IF(ISNUMBER(Suppliers!F48),Suppliers!F48,DATE(YEAR(TODAY()),MONTH(TODAY()),1))))*12+MONTH(EDATE(DATE(YEAR(TODAY()),MONTH(TODAY()),1),7))-MONTH(IF(ISNUMBER(Suppliers!F48),Suppliers!F48,DATE(YEAR(TODAY()),MONTH(TODAY()),1))),6)=0,1,0),IF(Suppliers!E48="Annual",IF(MOD((YEAR(EDATE(DATE(YEAR(TODAY()),MONTH(TODAY()),1),7))-YEAR(IF(ISNUMBER(Suppliers!F48),Suppliers!F48,DATE(YEAR(TODAY()),MONTH(TODAY()),1))))*12+MONTH(EDATE(DATE(YEAR(TODAY()),MONTH(TODAY()),1),7))-MONTH(IF(ISNUMBER(Suppliers!F48),Suppliers!F48,DATE(YEAR(TODAY()),MONTH(TODAY()),1))),12)=0,1,0),IF(Suppliers!E48="One-time",IF(7=0,1,0),1)))))),"")</f>
        <v/>
      </c>
      <c r="N50" s="10" t="str">
        <f ca="1">IFERROR(IF(OR(8&gt;=$B$1,Suppliers!A48="",NOT(ISNUMBER(Suppliers!D48)),Suppliers!L48="Expired",Suppliers!L48="Terminate"),"",Suppliers!D48*-1*IF(Suppliers!E48="Monthly",IF(AND(ISNUMBER(Suppliers!G48),(YEAR(EDATE(DATE(YEAR(TODAY()),MONTH(TODAY()),1),8))*12+MONTH(EDATE(DATE(YEAR(TODAY()),MONTH(TODAY()),1),8)))&gt;(YEAR(Suppliers!G48)*12+MONTH(Suppliers!G48))),"",1),IF(Suppliers!E48="Quarterly",IF(MOD((YEAR(EDATE(DATE(YEAR(TODAY()),MONTH(TODAY()),1),8))-YEAR(IF(ISNUMBER(Suppliers!F48),Suppliers!F48,DATE(YEAR(TODAY()),MONTH(TODAY()),1))))*12+MONTH(EDATE(DATE(YEAR(TODAY()),MONTH(TODAY()),1),8))-MONTH(IF(ISNUMBER(Suppliers!F48),Suppliers!F48,DATE(YEAR(TODAY()),MONTH(TODAY()),1))),3)=0,1,0),IF(Suppliers!E48="Semi-annual",IF(MOD((YEAR(EDATE(DATE(YEAR(TODAY()),MONTH(TODAY()),1),8))-YEAR(IF(ISNUMBER(Suppliers!F48),Suppliers!F48,DATE(YEAR(TODAY()),MONTH(TODAY()),1))))*12+MONTH(EDATE(DATE(YEAR(TODAY()),MONTH(TODAY()),1),8))-MONTH(IF(ISNUMBER(Suppliers!F48),Suppliers!F48,DATE(YEAR(TODAY()),MONTH(TODAY()),1))),6)=0,1,0),IF(Suppliers!E48="Annual",IF(MOD((YEAR(EDATE(DATE(YEAR(TODAY()),MONTH(TODAY()),1),8))-YEAR(IF(ISNUMBER(Suppliers!F48),Suppliers!F48,DATE(YEAR(TODAY()),MONTH(TODAY()),1))))*12+MONTH(EDATE(DATE(YEAR(TODAY()),MONTH(TODAY()),1),8))-MONTH(IF(ISNUMBER(Suppliers!F48),Suppliers!F48,DATE(YEAR(TODAY()),MONTH(TODAY()),1))),12)=0,1,0),IF(Suppliers!E48="One-time",IF(8=0,1,0),1)))))),"")</f>
        <v/>
      </c>
      <c r="O50" s="10" t="str">
        <f ca="1">IFERROR(IF(OR(9&gt;=$B$1,Suppliers!A48="",NOT(ISNUMBER(Suppliers!D48)),Suppliers!L48="Expired",Suppliers!L48="Terminate"),"",Suppliers!D48*-1*IF(Suppliers!E48="Monthly",IF(AND(ISNUMBER(Suppliers!G48),(YEAR(EDATE(DATE(YEAR(TODAY()),MONTH(TODAY()),1),9))*12+MONTH(EDATE(DATE(YEAR(TODAY()),MONTH(TODAY()),1),9)))&gt;(YEAR(Suppliers!G48)*12+MONTH(Suppliers!G48))),"",1),IF(Suppliers!E48="Quarterly",IF(MOD((YEAR(EDATE(DATE(YEAR(TODAY()),MONTH(TODAY()),1),9))-YEAR(IF(ISNUMBER(Suppliers!F48),Suppliers!F48,DATE(YEAR(TODAY()),MONTH(TODAY()),1))))*12+MONTH(EDATE(DATE(YEAR(TODAY()),MONTH(TODAY()),1),9))-MONTH(IF(ISNUMBER(Suppliers!F48),Suppliers!F48,DATE(YEAR(TODAY()),MONTH(TODAY()),1))),3)=0,1,0),IF(Suppliers!E48="Semi-annual",IF(MOD((YEAR(EDATE(DATE(YEAR(TODAY()),MONTH(TODAY()),1),9))-YEAR(IF(ISNUMBER(Suppliers!F48),Suppliers!F48,DATE(YEAR(TODAY()),MONTH(TODAY()),1))))*12+MONTH(EDATE(DATE(YEAR(TODAY()),MONTH(TODAY()),1),9))-MONTH(IF(ISNUMBER(Suppliers!F48),Suppliers!F48,DATE(YEAR(TODAY()),MONTH(TODAY()),1))),6)=0,1,0),IF(Suppliers!E48="Annual",IF(MOD((YEAR(EDATE(DATE(YEAR(TODAY()),MONTH(TODAY()),1),9))-YEAR(IF(ISNUMBER(Suppliers!F48),Suppliers!F48,DATE(YEAR(TODAY()),MONTH(TODAY()),1))))*12+MONTH(EDATE(DATE(YEAR(TODAY()),MONTH(TODAY()),1),9))-MONTH(IF(ISNUMBER(Suppliers!F48),Suppliers!F48,DATE(YEAR(TODAY()),MONTH(TODAY()),1))),12)=0,1,0),IF(Suppliers!E48="One-time",IF(9=0,1,0),1)))))),"")</f>
        <v/>
      </c>
      <c r="P50" s="10" t="str">
        <f ca="1">IFERROR(IF(OR(10&gt;=$B$1,Suppliers!A48="",NOT(ISNUMBER(Suppliers!D48)),Suppliers!L48="Expired",Suppliers!L48="Terminate"),"",Suppliers!D48*-1*IF(Suppliers!E48="Monthly",IF(AND(ISNUMBER(Suppliers!G48),(YEAR(EDATE(DATE(YEAR(TODAY()),MONTH(TODAY()),1),10))*12+MONTH(EDATE(DATE(YEAR(TODAY()),MONTH(TODAY()),1),10)))&gt;(YEAR(Suppliers!G48)*12+MONTH(Suppliers!G48))),"",1),IF(Suppliers!E48="Quarterly",IF(MOD((YEAR(EDATE(DATE(YEAR(TODAY()),MONTH(TODAY()),1),10))-YEAR(IF(ISNUMBER(Suppliers!F48),Suppliers!F48,DATE(YEAR(TODAY()),MONTH(TODAY()),1))))*12+MONTH(EDATE(DATE(YEAR(TODAY()),MONTH(TODAY()),1),10))-MONTH(IF(ISNUMBER(Suppliers!F48),Suppliers!F48,DATE(YEAR(TODAY()),MONTH(TODAY()),1))),3)=0,1,0),IF(Suppliers!E48="Semi-annual",IF(MOD((YEAR(EDATE(DATE(YEAR(TODAY()),MONTH(TODAY()),1),10))-YEAR(IF(ISNUMBER(Suppliers!F48),Suppliers!F48,DATE(YEAR(TODAY()),MONTH(TODAY()),1))))*12+MONTH(EDATE(DATE(YEAR(TODAY()),MONTH(TODAY()),1),10))-MONTH(IF(ISNUMBER(Suppliers!F48),Suppliers!F48,DATE(YEAR(TODAY()),MONTH(TODAY()),1))),6)=0,1,0),IF(Suppliers!E48="Annual",IF(MOD((YEAR(EDATE(DATE(YEAR(TODAY()),MONTH(TODAY()),1),10))-YEAR(IF(ISNUMBER(Suppliers!F48),Suppliers!F48,DATE(YEAR(TODAY()),MONTH(TODAY()),1))))*12+MONTH(EDATE(DATE(YEAR(TODAY()),MONTH(TODAY()),1),10))-MONTH(IF(ISNUMBER(Suppliers!F48),Suppliers!F48,DATE(YEAR(TODAY()),MONTH(TODAY()),1))),12)=0,1,0),IF(Suppliers!E48="One-time",IF(10=0,1,0),1)))))),"")</f>
        <v/>
      </c>
      <c r="Q50" s="10" t="str">
        <f ca="1">IFERROR(IF(OR(11&gt;=$B$1,Suppliers!A48="",NOT(ISNUMBER(Suppliers!D48)),Suppliers!L48="Expired",Suppliers!L48="Terminate"),"",Suppliers!D48*-1*IF(Suppliers!E48="Monthly",IF(AND(ISNUMBER(Suppliers!G48),(YEAR(EDATE(DATE(YEAR(TODAY()),MONTH(TODAY()),1),11))*12+MONTH(EDATE(DATE(YEAR(TODAY()),MONTH(TODAY()),1),11)))&gt;(YEAR(Suppliers!G48)*12+MONTH(Suppliers!G48))),"",1),IF(Suppliers!E48="Quarterly",IF(MOD((YEAR(EDATE(DATE(YEAR(TODAY()),MONTH(TODAY()),1),11))-YEAR(IF(ISNUMBER(Suppliers!F48),Suppliers!F48,DATE(YEAR(TODAY()),MONTH(TODAY()),1))))*12+MONTH(EDATE(DATE(YEAR(TODAY()),MONTH(TODAY()),1),11))-MONTH(IF(ISNUMBER(Suppliers!F48),Suppliers!F48,DATE(YEAR(TODAY()),MONTH(TODAY()),1))),3)=0,1,0),IF(Suppliers!E48="Semi-annual",IF(MOD((YEAR(EDATE(DATE(YEAR(TODAY()),MONTH(TODAY()),1),11))-YEAR(IF(ISNUMBER(Suppliers!F48),Suppliers!F48,DATE(YEAR(TODAY()),MONTH(TODAY()),1))))*12+MONTH(EDATE(DATE(YEAR(TODAY()),MONTH(TODAY()),1),11))-MONTH(IF(ISNUMBER(Suppliers!F48),Suppliers!F48,DATE(YEAR(TODAY()),MONTH(TODAY()),1))),6)=0,1,0),IF(Suppliers!E48="Annual",IF(MOD((YEAR(EDATE(DATE(YEAR(TODAY()),MONTH(TODAY()),1),11))-YEAR(IF(ISNUMBER(Suppliers!F48),Suppliers!F48,DATE(YEAR(TODAY()),MONTH(TODAY()),1))))*12+MONTH(EDATE(DATE(YEAR(TODAY()),MONTH(TODAY()),1),11))-MONTH(IF(ISNUMBER(Suppliers!F48),Suppliers!F48,DATE(YEAR(TODAY()),MONTH(TODAY()),1))),12)=0,1,0),IF(Suppliers!E48="One-time",IF(11=0,1,0),1)))))),"")</f>
        <v/>
      </c>
      <c r="R50" s="10" t="str">
        <f ca="1">IFERROR(IF(OR(12&gt;=$B$1,Suppliers!A48="",NOT(ISNUMBER(Suppliers!D48)),Suppliers!L48="Expired",Suppliers!L48="Terminate"),"",Suppliers!D48*-1*IF(Suppliers!E48="Monthly",IF(AND(ISNUMBER(Suppliers!G48),(YEAR(EDATE(DATE(YEAR(TODAY()),MONTH(TODAY()),1),12))*12+MONTH(EDATE(DATE(YEAR(TODAY()),MONTH(TODAY()),1),12)))&gt;(YEAR(Suppliers!G48)*12+MONTH(Suppliers!G48))),"",1),IF(Suppliers!E48="Quarterly",IF(MOD((YEAR(EDATE(DATE(YEAR(TODAY()),MONTH(TODAY()),1),12))-YEAR(IF(ISNUMBER(Suppliers!F48),Suppliers!F48,DATE(YEAR(TODAY()),MONTH(TODAY()),1))))*12+MONTH(EDATE(DATE(YEAR(TODAY()),MONTH(TODAY()),1),12))-MONTH(IF(ISNUMBER(Suppliers!F48),Suppliers!F48,DATE(YEAR(TODAY()),MONTH(TODAY()),1))),3)=0,1,0),IF(Suppliers!E48="Semi-annual",IF(MOD((YEAR(EDATE(DATE(YEAR(TODAY()),MONTH(TODAY()),1),12))-YEAR(IF(ISNUMBER(Suppliers!F48),Suppliers!F48,DATE(YEAR(TODAY()),MONTH(TODAY()),1))))*12+MONTH(EDATE(DATE(YEAR(TODAY()),MONTH(TODAY()),1),12))-MONTH(IF(ISNUMBER(Suppliers!F48),Suppliers!F48,DATE(YEAR(TODAY()),MONTH(TODAY()),1))),6)=0,1,0),IF(Suppliers!E48="Annual",IF(MOD((YEAR(EDATE(DATE(YEAR(TODAY()),MONTH(TODAY()),1),12))-YEAR(IF(ISNUMBER(Suppliers!F48),Suppliers!F48,DATE(YEAR(TODAY()),MONTH(TODAY()),1))))*12+MONTH(EDATE(DATE(YEAR(TODAY()),MONTH(TODAY()),1),12))-MONTH(IF(ISNUMBER(Suppliers!F48),Suppliers!F48,DATE(YEAR(TODAY()),MONTH(TODAY()),1))),12)=0,1,0),IF(Suppliers!E48="One-time",IF(12=0,1,0),1)))))),"")</f>
        <v/>
      </c>
      <c r="S50" s="10" t="str">
        <f ca="1">IFERROR(IF(OR(13&gt;=$B$1,Suppliers!A48="",NOT(ISNUMBER(Suppliers!D48)),Suppliers!L48="Expired",Suppliers!L48="Terminate"),"",Suppliers!D48*-1*IF(Suppliers!E48="Monthly",IF(AND(ISNUMBER(Suppliers!G48),(YEAR(EDATE(DATE(YEAR(TODAY()),MONTH(TODAY()),1),13))*12+MONTH(EDATE(DATE(YEAR(TODAY()),MONTH(TODAY()),1),13)))&gt;(YEAR(Suppliers!G48)*12+MONTH(Suppliers!G48))),"",1),IF(Suppliers!E48="Quarterly",IF(MOD((YEAR(EDATE(DATE(YEAR(TODAY()),MONTH(TODAY()),1),13))-YEAR(IF(ISNUMBER(Suppliers!F48),Suppliers!F48,DATE(YEAR(TODAY()),MONTH(TODAY()),1))))*12+MONTH(EDATE(DATE(YEAR(TODAY()),MONTH(TODAY()),1),13))-MONTH(IF(ISNUMBER(Suppliers!F48),Suppliers!F48,DATE(YEAR(TODAY()),MONTH(TODAY()),1))),3)=0,1,0),IF(Suppliers!E48="Semi-annual",IF(MOD((YEAR(EDATE(DATE(YEAR(TODAY()),MONTH(TODAY()),1),13))-YEAR(IF(ISNUMBER(Suppliers!F48),Suppliers!F48,DATE(YEAR(TODAY()),MONTH(TODAY()),1))))*12+MONTH(EDATE(DATE(YEAR(TODAY()),MONTH(TODAY()),1),13))-MONTH(IF(ISNUMBER(Suppliers!F48),Suppliers!F48,DATE(YEAR(TODAY()),MONTH(TODAY()),1))),6)=0,1,0),IF(Suppliers!E48="Annual",IF(MOD((YEAR(EDATE(DATE(YEAR(TODAY()),MONTH(TODAY()),1),13))-YEAR(IF(ISNUMBER(Suppliers!F48),Suppliers!F48,DATE(YEAR(TODAY()),MONTH(TODAY()),1))))*12+MONTH(EDATE(DATE(YEAR(TODAY()),MONTH(TODAY()),1),13))-MONTH(IF(ISNUMBER(Suppliers!F48),Suppliers!F48,DATE(YEAR(TODAY()),MONTH(TODAY()),1))),12)=0,1,0),IF(Suppliers!E48="One-time",IF(13=0,1,0),1)))))),"")</f>
        <v/>
      </c>
      <c r="T50" s="10" t="str">
        <f ca="1">IFERROR(IF(OR(14&gt;=$B$1,Suppliers!A48="",NOT(ISNUMBER(Suppliers!D48)),Suppliers!L48="Expired",Suppliers!L48="Terminate"),"",Suppliers!D48*-1*IF(Suppliers!E48="Monthly",IF(AND(ISNUMBER(Suppliers!G48),(YEAR(EDATE(DATE(YEAR(TODAY()),MONTH(TODAY()),1),14))*12+MONTH(EDATE(DATE(YEAR(TODAY()),MONTH(TODAY()),1),14)))&gt;(YEAR(Suppliers!G48)*12+MONTH(Suppliers!G48))),"",1),IF(Suppliers!E48="Quarterly",IF(MOD((YEAR(EDATE(DATE(YEAR(TODAY()),MONTH(TODAY()),1),14))-YEAR(IF(ISNUMBER(Suppliers!F48),Suppliers!F48,DATE(YEAR(TODAY()),MONTH(TODAY()),1))))*12+MONTH(EDATE(DATE(YEAR(TODAY()),MONTH(TODAY()),1),14))-MONTH(IF(ISNUMBER(Suppliers!F48),Suppliers!F48,DATE(YEAR(TODAY()),MONTH(TODAY()),1))),3)=0,1,0),IF(Suppliers!E48="Semi-annual",IF(MOD((YEAR(EDATE(DATE(YEAR(TODAY()),MONTH(TODAY()),1),14))-YEAR(IF(ISNUMBER(Suppliers!F48),Suppliers!F48,DATE(YEAR(TODAY()),MONTH(TODAY()),1))))*12+MONTH(EDATE(DATE(YEAR(TODAY()),MONTH(TODAY()),1),14))-MONTH(IF(ISNUMBER(Suppliers!F48),Suppliers!F48,DATE(YEAR(TODAY()),MONTH(TODAY()),1))),6)=0,1,0),IF(Suppliers!E48="Annual",IF(MOD((YEAR(EDATE(DATE(YEAR(TODAY()),MONTH(TODAY()),1),14))-YEAR(IF(ISNUMBER(Suppliers!F48),Suppliers!F48,DATE(YEAR(TODAY()),MONTH(TODAY()),1))))*12+MONTH(EDATE(DATE(YEAR(TODAY()),MONTH(TODAY()),1),14))-MONTH(IF(ISNUMBER(Suppliers!F48),Suppliers!F48,DATE(YEAR(TODAY()),MONTH(TODAY()),1))),12)=0,1,0),IF(Suppliers!E48="One-time",IF(14=0,1,0),1)))))),"")</f>
        <v/>
      </c>
      <c r="U50" s="10" t="str">
        <f ca="1">IFERROR(IF(OR(15&gt;=$B$1,Suppliers!A48="",NOT(ISNUMBER(Suppliers!D48)),Suppliers!L48="Expired",Suppliers!L48="Terminate"),"",Suppliers!D48*-1*IF(Suppliers!E48="Monthly",IF(AND(ISNUMBER(Suppliers!G48),(YEAR(EDATE(DATE(YEAR(TODAY()),MONTH(TODAY()),1),15))*12+MONTH(EDATE(DATE(YEAR(TODAY()),MONTH(TODAY()),1),15)))&gt;(YEAR(Suppliers!G48)*12+MONTH(Suppliers!G48))),"",1),IF(Suppliers!E48="Quarterly",IF(MOD((YEAR(EDATE(DATE(YEAR(TODAY()),MONTH(TODAY()),1),15))-YEAR(IF(ISNUMBER(Suppliers!F48),Suppliers!F48,DATE(YEAR(TODAY()),MONTH(TODAY()),1))))*12+MONTH(EDATE(DATE(YEAR(TODAY()),MONTH(TODAY()),1),15))-MONTH(IF(ISNUMBER(Suppliers!F48),Suppliers!F48,DATE(YEAR(TODAY()),MONTH(TODAY()),1))),3)=0,1,0),IF(Suppliers!E48="Semi-annual",IF(MOD((YEAR(EDATE(DATE(YEAR(TODAY()),MONTH(TODAY()),1),15))-YEAR(IF(ISNUMBER(Suppliers!F48),Suppliers!F48,DATE(YEAR(TODAY()),MONTH(TODAY()),1))))*12+MONTH(EDATE(DATE(YEAR(TODAY()),MONTH(TODAY()),1),15))-MONTH(IF(ISNUMBER(Suppliers!F48),Suppliers!F48,DATE(YEAR(TODAY()),MONTH(TODAY()),1))),6)=0,1,0),IF(Suppliers!E48="Annual",IF(MOD((YEAR(EDATE(DATE(YEAR(TODAY()),MONTH(TODAY()),1),15))-YEAR(IF(ISNUMBER(Suppliers!F48),Suppliers!F48,DATE(YEAR(TODAY()),MONTH(TODAY()),1))))*12+MONTH(EDATE(DATE(YEAR(TODAY()),MONTH(TODAY()),1),15))-MONTH(IF(ISNUMBER(Suppliers!F48),Suppliers!F48,DATE(YEAR(TODAY()),MONTH(TODAY()),1))),12)=0,1,0),IF(Suppliers!E48="One-time",IF(15=0,1,0),1)))))),"")</f>
        <v/>
      </c>
      <c r="V50" s="10" t="str">
        <f ca="1">IFERROR(IF(OR(16&gt;=$B$1,Suppliers!A48="",NOT(ISNUMBER(Suppliers!D48)),Suppliers!L48="Expired",Suppliers!L48="Terminate"),"",Suppliers!D48*-1*IF(Suppliers!E48="Monthly",IF(AND(ISNUMBER(Suppliers!G48),(YEAR(EDATE(DATE(YEAR(TODAY()),MONTH(TODAY()),1),16))*12+MONTH(EDATE(DATE(YEAR(TODAY()),MONTH(TODAY()),1),16)))&gt;(YEAR(Suppliers!G48)*12+MONTH(Suppliers!G48))),"",1),IF(Suppliers!E48="Quarterly",IF(MOD((YEAR(EDATE(DATE(YEAR(TODAY()),MONTH(TODAY()),1),16))-YEAR(IF(ISNUMBER(Suppliers!F48),Suppliers!F48,DATE(YEAR(TODAY()),MONTH(TODAY()),1))))*12+MONTH(EDATE(DATE(YEAR(TODAY()),MONTH(TODAY()),1),16))-MONTH(IF(ISNUMBER(Suppliers!F48),Suppliers!F48,DATE(YEAR(TODAY()),MONTH(TODAY()),1))),3)=0,1,0),IF(Suppliers!E48="Semi-annual",IF(MOD((YEAR(EDATE(DATE(YEAR(TODAY()),MONTH(TODAY()),1),16))-YEAR(IF(ISNUMBER(Suppliers!F48),Suppliers!F48,DATE(YEAR(TODAY()),MONTH(TODAY()),1))))*12+MONTH(EDATE(DATE(YEAR(TODAY()),MONTH(TODAY()),1),16))-MONTH(IF(ISNUMBER(Suppliers!F48),Suppliers!F48,DATE(YEAR(TODAY()),MONTH(TODAY()),1))),6)=0,1,0),IF(Suppliers!E48="Annual",IF(MOD((YEAR(EDATE(DATE(YEAR(TODAY()),MONTH(TODAY()),1),16))-YEAR(IF(ISNUMBER(Suppliers!F48),Suppliers!F48,DATE(YEAR(TODAY()),MONTH(TODAY()),1))))*12+MONTH(EDATE(DATE(YEAR(TODAY()),MONTH(TODAY()),1),16))-MONTH(IF(ISNUMBER(Suppliers!F48),Suppliers!F48,DATE(YEAR(TODAY()),MONTH(TODAY()),1))),12)=0,1,0),IF(Suppliers!E48="One-time",IF(16=0,1,0),1)))))),"")</f>
        <v/>
      </c>
      <c r="W50" s="10" t="str">
        <f ca="1">IFERROR(IF(OR(17&gt;=$B$1,Suppliers!A48="",NOT(ISNUMBER(Suppliers!D48)),Suppliers!L48="Expired",Suppliers!L48="Terminate"),"",Suppliers!D48*-1*IF(Suppliers!E48="Monthly",IF(AND(ISNUMBER(Suppliers!G48),(YEAR(EDATE(DATE(YEAR(TODAY()),MONTH(TODAY()),1),17))*12+MONTH(EDATE(DATE(YEAR(TODAY()),MONTH(TODAY()),1),17)))&gt;(YEAR(Suppliers!G48)*12+MONTH(Suppliers!G48))),"",1),IF(Suppliers!E48="Quarterly",IF(MOD((YEAR(EDATE(DATE(YEAR(TODAY()),MONTH(TODAY()),1),17))-YEAR(IF(ISNUMBER(Suppliers!F48),Suppliers!F48,DATE(YEAR(TODAY()),MONTH(TODAY()),1))))*12+MONTH(EDATE(DATE(YEAR(TODAY()),MONTH(TODAY()),1),17))-MONTH(IF(ISNUMBER(Suppliers!F48),Suppliers!F48,DATE(YEAR(TODAY()),MONTH(TODAY()),1))),3)=0,1,0),IF(Suppliers!E48="Semi-annual",IF(MOD((YEAR(EDATE(DATE(YEAR(TODAY()),MONTH(TODAY()),1),17))-YEAR(IF(ISNUMBER(Suppliers!F48),Suppliers!F48,DATE(YEAR(TODAY()),MONTH(TODAY()),1))))*12+MONTH(EDATE(DATE(YEAR(TODAY()),MONTH(TODAY()),1),17))-MONTH(IF(ISNUMBER(Suppliers!F48),Suppliers!F48,DATE(YEAR(TODAY()),MONTH(TODAY()),1))),6)=0,1,0),IF(Suppliers!E48="Annual",IF(MOD((YEAR(EDATE(DATE(YEAR(TODAY()),MONTH(TODAY()),1),17))-YEAR(IF(ISNUMBER(Suppliers!F48),Suppliers!F48,DATE(YEAR(TODAY()),MONTH(TODAY()),1))))*12+MONTH(EDATE(DATE(YEAR(TODAY()),MONTH(TODAY()),1),17))-MONTH(IF(ISNUMBER(Suppliers!F48),Suppliers!F48,DATE(YEAR(TODAY()),MONTH(TODAY()),1))),12)=0,1,0),IF(Suppliers!E48="One-time",IF(17=0,1,0),1)))))),"")</f>
        <v/>
      </c>
      <c r="X50" s="10" t="str">
        <f ca="1">IFERROR(IF(OR(18&gt;=$B$1,Suppliers!A48="",NOT(ISNUMBER(Suppliers!D48)),Suppliers!L48="Expired",Suppliers!L48="Terminate"),"",Suppliers!D48*-1*IF(Suppliers!E48="Monthly",IF(AND(ISNUMBER(Suppliers!G48),(YEAR(EDATE(DATE(YEAR(TODAY()),MONTH(TODAY()),1),18))*12+MONTH(EDATE(DATE(YEAR(TODAY()),MONTH(TODAY()),1),18)))&gt;(YEAR(Suppliers!G48)*12+MONTH(Suppliers!G48))),"",1),IF(Suppliers!E48="Quarterly",IF(MOD((YEAR(EDATE(DATE(YEAR(TODAY()),MONTH(TODAY()),1),18))-YEAR(IF(ISNUMBER(Suppliers!F48),Suppliers!F48,DATE(YEAR(TODAY()),MONTH(TODAY()),1))))*12+MONTH(EDATE(DATE(YEAR(TODAY()),MONTH(TODAY()),1),18))-MONTH(IF(ISNUMBER(Suppliers!F48),Suppliers!F48,DATE(YEAR(TODAY()),MONTH(TODAY()),1))),3)=0,1,0),IF(Suppliers!E48="Semi-annual",IF(MOD((YEAR(EDATE(DATE(YEAR(TODAY()),MONTH(TODAY()),1),18))-YEAR(IF(ISNUMBER(Suppliers!F48),Suppliers!F48,DATE(YEAR(TODAY()),MONTH(TODAY()),1))))*12+MONTH(EDATE(DATE(YEAR(TODAY()),MONTH(TODAY()),1),18))-MONTH(IF(ISNUMBER(Suppliers!F48),Suppliers!F48,DATE(YEAR(TODAY()),MONTH(TODAY()),1))),6)=0,1,0),IF(Suppliers!E48="Annual",IF(MOD((YEAR(EDATE(DATE(YEAR(TODAY()),MONTH(TODAY()),1),18))-YEAR(IF(ISNUMBER(Suppliers!F48),Suppliers!F48,DATE(YEAR(TODAY()),MONTH(TODAY()),1))))*12+MONTH(EDATE(DATE(YEAR(TODAY()),MONTH(TODAY()),1),18))-MONTH(IF(ISNUMBER(Suppliers!F48),Suppliers!F48,DATE(YEAR(TODAY()),MONTH(TODAY()),1))),12)=0,1,0),IF(Suppliers!E48="One-time",IF(18=0,1,0),1)))))),"")</f>
        <v/>
      </c>
      <c r="Y50" s="10" t="str">
        <f ca="1">IFERROR(IF(OR(19&gt;=$B$1,Suppliers!A48="",NOT(ISNUMBER(Suppliers!D48)),Suppliers!L48="Expired",Suppliers!L48="Terminate"),"",Suppliers!D48*-1*IF(Suppliers!E48="Monthly",IF(AND(ISNUMBER(Suppliers!G48),(YEAR(EDATE(DATE(YEAR(TODAY()),MONTH(TODAY()),1),19))*12+MONTH(EDATE(DATE(YEAR(TODAY()),MONTH(TODAY()),1),19)))&gt;(YEAR(Suppliers!G48)*12+MONTH(Suppliers!G48))),"",1),IF(Suppliers!E48="Quarterly",IF(MOD((YEAR(EDATE(DATE(YEAR(TODAY()),MONTH(TODAY()),1),19))-YEAR(IF(ISNUMBER(Suppliers!F48),Suppliers!F48,DATE(YEAR(TODAY()),MONTH(TODAY()),1))))*12+MONTH(EDATE(DATE(YEAR(TODAY()),MONTH(TODAY()),1),19))-MONTH(IF(ISNUMBER(Suppliers!F48),Suppliers!F48,DATE(YEAR(TODAY()),MONTH(TODAY()),1))),3)=0,1,0),IF(Suppliers!E48="Semi-annual",IF(MOD((YEAR(EDATE(DATE(YEAR(TODAY()),MONTH(TODAY()),1),19))-YEAR(IF(ISNUMBER(Suppliers!F48),Suppliers!F48,DATE(YEAR(TODAY()),MONTH(TODAY()),1))))*12+MONTH(EDATE(DATE(YEAR(TODAY()),MONTH(TODAY()),1),19))-MONTH(IF(ISNUMBER(Suppliers!F48),Suppliers!F48,DATE(YEAR(TODAY()),MONTH(TODAY()),1))),6)=0,1,0),IF(Suppliers!E48="Annual",IF(MOD((YEAR(EDATE(DATE(YEAR(TODAY()),MONTH(TODAY()),1),19))-YEAR(IF(ISNUMBER(Suppliers!F48),Suppliers!F48,DATE(YEAR(TODAY()),MONTH(TODAY()),1))))*12+MONTH(EDATE(DATE(YEAR(TODAY()),MONTH(TODAY()),1),19))-MONTH(IF(ISNUMBER(Suppliers!F48),Suppliers!F48,DATE(YEAR(TODAY()),MONTH(TODAY()),1))),12)=0,1,0),IF(Suppliers!E48="One-time",IF(19=0,1,0),1)))))),"")</f>
        <v/>
      </c>
      <c r="Z50" s="10" t="str">
        <f ca="1">IFERROR(IF(OR(20&gt;=$B$1,Suppliers!A48="",NOT(ISNUMBER(Suppliers!D48)),Suppliers!L48="Expired",Suppliers!L48="Terminate"),"",Suppliers!D48*-1*IF(Suppliers!E48="Monthly",IF(AND(ISNUMBER(Suppliers!G48),(YEAR(EDATE(DATE(YEAR(TODAY()),MONTH(TODAY()),1),20))*12+MONTH(EDATE(DATE(YEAR(TODAY()),MONTH(TODAY()),1),20)))&gt;(YEAR(Suppliers!G48)*12+MONTH(Suppliers!G48))),"",1),IF(Suppliers!E48="Quarterly",IF(MOD((YEAR(EDATE(DATE(YEAR(TODAY()),MONTH(TODAY()),1),20))-YEAR(IF(ISNUMBER(Suppliers!F48),Suppliers!F48,DATE(YEAR(TODAY()),MONTH(TODAY()),1))))*12+MONTH(EDATE(DATE(YEAR(TODAY()),MONTH(TODAY()),1),20))-MONTH(IF(ISNUMBER(Suppliers!F48),Suppliers!F48,DATE(YEAR(TODAY()),MONTH(TODAY()),1))),3)=0,1,0),IF(Suppliers!E48="Semi-annual",IF(MOD((YEAR(EDATE(DATE(YEAR(TODAY()),MONTH(TODAY()),1),20))-YEAR(IF(ISNUMBER(Suppliers!F48),Suppliers!F48,DATE(YEAR(TODAY()),MONTH(TODAY()),1))))*12+MONTH(EDATE(DATE(YEAR(TODAY()),MONTH(TODAY()),1),20))-MONTH(IF(ISNUMBER(Suppliers!F48),Suppliers!F48,DATE(YEAR(TODAY()),MONTH(TODAY()),1))),6)=0,1,0),IF(Suppliers!E48="Annual",IF(MOD((YEAR(EDATE(DATE(YEAR(TODAY()),MONTH(TODAY()),1),20))-YEAR(IF(ISNUMBER(Suppliers!F48),Suppliers!F48,DATE(YEAR(TODAY()),MONTH(TODAY()),1))))*12+MONTH(EDATE(DATE(YEAR(TODAY()),MONTH(TODAY()),1),20))-MONTH(IF(ISNUMBER(Suppliers!F48),Suppliers!F48,DATE(YEAR(TODAY()),MONTH(TODAY()),1))),12)=0,1,0),IF(Suppliers!E48="One-time",IF(20=0,1,0),1)))))),"")</f>
        <v/>
      </c>
      <c r="AA50" s="10" t="str">
        <f ca="1">IFERROR(IF(OR(21&gt;=$B$1,Suppliers!A48="",NOT(ISNUMBER(Suppliers!D48)),Suppliers!L48="Expired",Suppliers!L48="Terminate"),"",Suppliers!D48*-1*IF(Suppliers!E48="Monthly",IF(AND(ISNUMBER(Suppliers!G48),(YEAR(EDATE(DATE(YEAR(TODAY()),MONTH(TODAY()),1),21))*12+MONTH(EDATE(DATE(YEAR(TODAY()),MONTH(TODAY()),1),21)))&gt;(YEAR(Suppliers!G48)*12+MONTH(Suppliers!G48))),"",1),IF(Suppliers!E48="Quarterly",IF(MOD((YEAR(EDATE(DATE(YEAR(TODAY()),MONTH(TODAY()),1),21))-YEAR(IF(ISNUMBER(Suppliers!F48),Suppliers!F48,DATE(YEAR(TODAY()),MONTH(TODAY()),1))))*12+MONTH(EDATE(DATE(YEAR(TODAY()),MONTH(TODAY()),1),21))-MONTH(IF(ISNUMBER(Suppliers!F48),Suppliers!F48,DATE(YEAR(TODAY()),MONTH(TODAY()),1))),3)=0,1,0),IF(Suppliers!E48="Semi-annual",IF(MOD((YEAR(EDATE(DATE(YEAR(TODAY()),MONTH(TODAY()),1),21))-YEAR(IF(ISNUMBER(Suppliers!F48),Suppliers!F48,DATE(YEAR(TODAY()),MONTH(TODAY()),1))))*12+MONTH(EDATE(DATE(YEAR(TODAY()),MONTH(TODAY()),1),21))-MONTH(IF(ISNUMBER(Suppliers!F48),Suppliers!F48,DATE(YEAR(TODAY()),MONTH(TODAY()),1))),6)=0,1,0),IF(Suppliers!E48="Annual",IF(MOD((YEAR(EDATE(DATE(YEAR(TODAY()),MONTH(TODAY()),1),21))-YEAR(IF(ISNUMBER(Suppliers!F48),Suppliers!F48,DATE(YEAR(TODAY()),MONTH(TODAY()),1))))*12+MONTH(EDATE(DATE(YEAR(TODAY()),MONTH(TODAY()),1),21))-MONTH(IF(ISNUMBER(Suppliers!F48),Suppliers!F48,DATE(YEAR(TODAY()),MONTH(TODAY()),1))),12)=0,1,0),IF(Suppliers!E48="One-time",IF(21=0,1,0),1)))))),"")</f>
        <v/>
      </c>
      <c r="AB50" s="10" t="str">
        <f ca="1">IFERROR(IF(OR(22&gt;=$B$1,Suppliers!A48="",NOT(ISNUMBER(Suppliers!D48)),Suppliers!L48="Expired",Suppliers!L48="Terminate"),"",Suppliers!D48*-1*IF(Suppliers!E48="Monthly",IF(AND(ISNUMBER(Suppliers!G48),(YEAR(EDATE(DATE(YEAR(TODAY()),MONTH(TODAY()),1),22))*12+MONTH(EDATE(DATE(YEAR(TODAY()),MONTH(TODAY()),1),22)))&gt;(YEAR(Suppliers!G48)*12+MONTH(Suppliers!G48))),"",1),IF(Suppliers!E48="Quarterly",IF(MOD((YEAR(EDATE(DATE(YEAR(TODAY()),MONTH(TODAY()),1),22))-YEAR(IF(ISNUMBER(Suppliers!F48),Suppliers!F48,DATE(YEAR(TODAY()),MONTH(TODAY()),1))))*12+MONTH(EDATE(DATE(YEAR(TODAY()),MONTH(TODAY()),1),22))-MONTH(IF(ISNUMBER(Suppliers!F48),Suppliers!F48,DATE(YEAR(TODAY()),MONTH(TODAY()),1))),3)=0,1,0),IF(Suppliers!E48="Semi-annual",IF(MOD((YEAR(EDATE(DATE(YEAR(TODAY()),MONTH(TODAY()),1),22))-YEAR(IF(ISNUMBER(Suppliers!F48),Suppliers!F48,DATE(YEAR(TODAY()),MONTH(TODAY()),1))))*12+MONTH(EDATE(DATE(YEAR(TODAY()),MONTH(TODAY()),1),22))-MONTH(IF(ISNUMBER(Suppliers!F48),Suppliers!F48,DATE(YEAR(TODAY()),MONTH(TODAY()),1))),6)=0,1,0),IF(Suppliers!E48="Annual",IF(MOD((YEAR(EDATE(DATE(YEAR(TODAY()),MONTH(TODAY()),1),22))-YEAR(IF(ISNUMBER(Suppliers!F48),Suppliers!F48,DATE(YEAR(TODAY()),MONTH(TODAY()),1))))*12+MONTH(EDATE(DATE(YEAR(TODAY()),MONTH(TODAY()),1),22))-MONTH(IF(ISNUMBER(Suppliers!F48),Suppliers!F48,DATE(YEAR(TODAY()),MONTH(TODAY()),1))),12)=0,1,0),IF(Suppliers!E48="One-time",IF(22=0,1,0),1)))))),"")</f>
        <v/>
      </c>
      <c r="AC50" s="10" t="str">
        <f ca="1">IFERROR(IF(OR(23&gt;=$B$1,Suppliers!A48="",NOT(ISNUMBER(Suppliers!D48)),Suppliers!L48="Expired",Suppliers!L48="Terminate"),"",Suppliers!D48*-1*IF(Suppliers!E48="Monthly",IF(AND(ISNUMBER(Suppliers!G48),(YEAR(EDATE(DATE(YEAR(TODAY()),MONTH(TODAY()),1),23))*12+MONTH(EDATE(DATE(YEAR(TODAY()),MONTH(TODAY()),1),23)))&gt;(YEAR(Suppliers!G48)*12+MONTH(Suppliers!G48))),"",1),IF(Suppliers!E48="Quarterly",IF(MOD((YEAR(EDATE(DATE(YEAR(TODAY()),MONTH(TODAY()),1),23))-YEAR(IF(ISNUMBER(Suppliers!F48),Suppliers!F48,DATE(YEAR(TODAY()),MONTH(TODAY()),1))))*12+MONTH(EDATE(DATE(YEAR(TODAY()),MONTH(TODAY()),1),23))-MONTH(IF(ISNUMBER(Suppliers!F48),Suppliers!F48,DATE(YEAR(TODAY()),MONTH(TODAY()),1))),3)=0,1,0),IF(Suppliers!E48="Semi-annual",IF(MOD((YEAR(EDATE(DATE(YEAR(TODAY()),MONTH(TODAY()),1),23))-YEAR(IF(ISNUMBER(Suppliers!F48),Suppliers!F48,DATE(YEAR(TODAY()),MONTH(TODAY()),1))))*12+MONTH(EDATE(DATE(YEAR(TODAY()),MONTH(TODAY()),1),23))-MONTH(IF(ISNUMBER(Suppliers!F48),Suppliers!F48,DATE(YEAR(TODAY()),MONTH(TODAY()),1))),6)=0,1,0),IF(Suppliers!E48="Annual",IF(MOD((YEAR(EDATE(DATE(YEAR(TODAY()),MONTH(TODAY()),1),23))-YEAR(IF(ISNUMBER(Suppliers!F48),Suppliers!F48,DATE(YEAR(TODAY()),MONTH(TODAY()),1))))*12+MONTH(EDATE(DATE(YEAR(TODAY()),MONTH(TODAY()),1),23))-MONTH(IF(ISNUMBER(Suppliers!F48),Suppliers!F48,DATE(YEAR(TODAY()),MONTH(TODAY()),1))),12)=0,1,0),IF(Suppliers!E48="One-time",IF(23=0,1,0),1)))))),"")</f>
        <v/>
      </c>
    </row>
    <row r="51" spans="1:30" ht="15" customHeight="1" x14ac:dyDescent="0.35">
      <c r="A51" s="4" t="s">
        <v>80</v>
      </c>
      <c r="B51" s="4" t="str">
        <f>IF(Suppliers!A49="","",Suppliers!A49)</f>
        <v/>
      </c>
      <c r="C51" s="10" t="str">
        <f>IF(Suppliers!C49="","",Suppliers!C49)</f>
        <v/>
      </c>
      <c r="D51" s="10" t="str">
        <f>IF(Suppliers!D49="","",Suppliers!D49)</f>
        <v/>
      </c>
      <c r="E51" s="4" t="str">
        <f>IF(Suppliers!E49="","",Suppliers!E49)</f>
        <v/>
      </c>
      <c r="F51" s="10" t="str">
        <f ca="1">IFERROR(IF(OR(0&gt;=$B$1,Suppliers!A49="",NOT(ISNUMBER(Suppliers!D49)),Suppliers!L49="Expired",Suppliers!L49="Terminate"),"",Suppliers!D49*-1*IF(Suppliers!E49="Monthly",IF(AND(ISNUMBER(Suppliers!G49),(YEAR(EDATE(DATE(YEAR(TODAY()),MONTH(TODAY()),1),0))*12+MONTH(EDATE(DATE(YEAR(TODAY()),MONTH(TODAY()),1),0)))&gt;(YEAR(Suppliers!G49)*12+MONTH(Suppliers!G49))),"",1),IF(Suppliers!E49="Quarterly",IF(MOD((YEAR(EDATE(DATE(YEAR(TODAY()),MONTH(TODAY()),1),0))-YEAR(IF(ISNUMBER(Suppliers!F49),Suppliers!F49,DATE(YEAR(TODAY()),MONTH(TODAY()),1))))*12+MONTH(EDATE(DATE(YEAR(TODAY()),MONTH(TODAY()),1),0))-MONTH(IF(ISNUMBER(Suppliers!F49),Suppliers!F49,DATE(YEAR(TODAY()),MONTH(TODAY()),1))),3)=0,1,0),IF(Suppliers!E49="Semi-annual",IF(MOD((YEAR(EDATE(DATE(YEAR(TODAY()),MONTH(TODAY()),1),0))-YEAR(IF(ISNUMBER(Suppliers!F49),Suppliers!F49,DATE(YEAR(TODAY()),MONTH(TODAY()),1))))*12+MONTH(EDATE(DATE(YEAR(TODAY()),MONTH(TODAY()),1),0))-MONTH(IF(ISNUMBER(Suppliers!F49),Suppliers!F49,DATE(YEAR(TODAY()),MONTH(TODAY()),1))),6)=0,1,0),IF(Suppliers!E49="Annual",IF(MOD((YEAR(EDATE(DATE(YEAR(TODAY()),MONTH(TODAY()),1),0))-YEAR(IF(ISNUMBER(Suppliers!F49),Suppliers!F49,DATE(YEAR(TODAY()),MONTH(TODAY()),1))))*12+MONTH(EDATE(DATE(YEAR(TODAY()),MONTH(TODAY()),1),0))-MONTH(IF(ISNUMBER(Suppliers!F49),Suppliers!F49,DATE(YEAR(TODAY()),MONTH(TODAY()),1))),12)=0,1,0),IF(Suppliers!E49="One-time",IF(0=0,1,0),1)))))),"")</f>
        <v/>
      </c>
      <c r="G51" s="10" t="str">
        <f ca="1">IFERROR(IF(OR(1&gt;=$B$1,Suppliers!A49="",NOT(ISNUMBER(Suppliers!D49)),Suppliers!L49="Expired",Suppliers!L49="Terminate"),"",Suppliers!D49*-1*IF(Suppliers!E49="Monthly",IF(AND(ISNUMBER(Suppliers!G49),(YEAR(EDATE(DATE(YEAR(TODAY()),MONTH(TODAY()),1),1))*12+MONTH(EDATE(DATE(YEAR(TODAY()),MONTH(TODAY()),1),1)))&gt;(YEAR(Suppliers!G49)*12+MONTH(Suppliers!G49))),"",1),IF(Suppliers!E49="Quarterly",IF(MOD((YEAR(EDATE(DATE(YEAR(TODAY()),MONTH(TODAY()),1),1))-YEAR(IF(ISNUMBER(Suppliers!F49),Suppliers!F49,DATE(YEAR(TODAY()),MONTH(TODAY()),1))))*12+MONTH(EDATE(DATE(YEAR(TODAY()),MONTH(TODAY()),1),1))-MONTH(IF(ISNUMBER(Suppliers!F49),Suppliers!F49,DATE(YEAR(TODAY()),MONTH(TODAY()),1))),3)=0,1,0),IF(Suppliers!E49="Semi-annual",IF(MOD((YEAR(EDATE(DATE(YEAR(TODAY()),MONTH(TODAY()),1),1))-YEAR(IF(ISNUMBER(Suppliers!F49),Suppliers!F49,DATE(YEAR(TODAY()),MONTH(TODAY()),1))))*12+MONTH(EDATE(DATE(YEAR(TODAY()),MONTH(TODAY()),1),1))-MONTH(IF(ISNUMBER(Suppliers!F49),Suppliers!F49,DATE(YEAR(TODAY()),MONTH(TODAY()),1))),6)=0,1,0),IF(Suppliers!E49="Annual",IF(MOD((YEAR(EDATE(DATE(YEAR(TODAY()),MONTH(TODAY()),1),1))-YEAR(IF(ISNUMBER(Suppliers!F49),Suppliers!F49,DATE(YEAR(TODAY()),MONTH(TODAY()),1))))*12+MONTH(EDATE(DATE(YEAR(TODAY()),MONTH(TODAY()),1),1))-MONTH(IF(ISNUMBER(Suppliers!F49),Suppliers!F49,DATE(YEAR(TODAY()),MONTH(TODAY()),1))),12)=0,1,0),IF(Suppliers!E49="One-time",IF(1=0,1,0),1)))))),"")</f>
        <v/>
      </c>
      <c r="H51" s="10" t="str">
        <f ca="1">IFERROR(IF(OR(2&gt;=$B$1,Suppliers!A49="",NOT(ISNUMBER(Suppliers!D49)),Suppliers!L49="Expired",Suppliers!L49="Terminate"),"",Suppliers!D49*-1*IF(Suppliers!E49="Monthly",IF(AND(ISNUMBER(Suppliers!G49),(YEAR(EDATE(DATE(YEAR(TODAY()),MONTH(TODAY()),1),2))*12+MONTH(EDATE(DATE(YEAR(TODAY()),MONTH(TODAY()),1),2)))&gt;(YEAR(Suppliers!G49)*12+MONTH(Suppliers!G49))),"",1),IF(Suppliers!E49="Quarterly",IF(MOD((YEAR(EDATE(DATE(YEAR(TODAY()),MONTH(TODAY()),1),2))-YEAR(IF(ISNUMBER(Suppliers!F49),Suppliers!F49,DATE(YEAR(TODAY()),MONTH(TODAY()),1))))*12+MONTH(EDATE(DATE(YEAR(TODAY()),MONTH(TODAY()),1),2))-MONTH(IF(ISNUMBER(Suppliers!F49),Suppliers!F49,DATE(YEAR(TODAY()),MONTH(TODAY()),1))),3)=0,1,0),IF(Suppliers!E49="Semi-annual",IF(MOD((YEAR(EDATE(DATE(YEAR(TODAY()),MONTH(TODAY()),1),2))-YEAR(IF(ISNUMBER(Suppliers!F49),Suppliers!F49,DATE(YEAR(TODAY()),MONTH(TODAY()),1))))*12+MONTH(EDATE(DATE(YEAR(TODAY()),MONTH(TODAY()),1),2))-MONTH(IF(ISNUMBER(Suppliers!F49),Suppliers!F49,DATE(YEAR(TODAY()),MONTH(TODAY()),1))),6)=0,1,0),IF(Suppliers!E49="Annual",IF(MOD((YEAR(EDATE(DATE(YEAR(TODAY()),MONTH(TODAY()),1),2))-YEAR(IF(ISNUMBER(Suppliers!F49),Suppliers!F49,DATE(YEAR(TODAY()),MONTH(TODAY()),1))))*12+MONTH(EDATE(DATE(YEAR(TODAY()),MONTH(TODAY()),1),2))-MONTH(IF(ISNUMBER(Suppliers!F49),Suppliers!F49,DATE(YEAR(TODAY()),MONTH(TODAY()),1))),12)=0,1,0),IF(Suppliers!E49="One-time",IF(2=0,1,0),1)))))),"")</f>
        <v/>
      </c>
      <c r="I51" s="10" t="str">
        <f ca="1">IFERROR(IF(OR(3&gt;=$B$1,Suppliers!A49="",NOT(ISNUMBER(Suppliers!D49)),Suppliers!L49="Expired",Suppliers!L49="Terminate"),"",Suppliers!D49*-1*IF(Suppliers!E49="Monthly",IF(AND(ISNUMBER(Suppliers!G49),(YEAR(EDATE(DATE(YEAR(TODAY()),MONTH(TODAY()),1),3))*12+MONTH(EDATE(DATE(YEAR(TODAY()),MONTH(TODAY()),1),3)))&gt;(YEAR(Suppliers!G49)*12+MONTH(Suppliers!G49))),"",1),IF(Suppliers!E49="Quarterly",IF(MOD((YEAR(EDATE(DATE(YEAR(TODAY()),MONTH(TODAY()),1),3))-YEAR(IF(ISNUMBER(Suppliers!F49),Suppliers!F49,DATE(YEAR(TODAY()),MONTH(TODAY()),1))))*12+MONTH(EDATE(DATE(YEAR(TODAY()),MONTH(TODAY()),1),3))-MONTH(IF(ISNUMBER(Suppliers!F49),Suppliers!F49,DATE(YEAR(TODAY()),MONTH(TODAY()),1))),3)=0,1,0),IF(Suppliers!E49="Semi-annual",IF(MOD((YEAR(EDATE(DATE(YEAR(TODAY()),MONTH(TODAY()),1),3))-YEAR(IF(ISNUMBER(Suppliers!F49),Suppliers!F49,DATE(YEAR(TODAY()),MONTH(TODAY()),1))))*12+MONTH(EDATE(DATE(YEAR(TODAY()),MONTH(TODAY()),1),3))-MONTH(IF(ISNUMBER(Suppliers!F49),Suppliers!F49,DATE(YEAR(TODAY()),MONTH(TODAY()),1))),6)=0,1,0),IF(Suppliers!E49="Annual",IF(MOD((YEAR(EDATE(DATE(YEAR(TODAY()),MONTH(TODAY()),1),3))-YEAR(IF(ISNUMBER(Suppliers!F49),Suppliers!F49,DATE(YEAR(TODAY()),MONTH(TODAY()),1))))*12+MONTH(EDATE(DATE(YEAR(TODAY()),MONTH(TODAY()),1),3))-MONTH(IF(ISNUMBER(Suppliers!F49),Suppliers!F49,DATE(YEAR(TODAY()),MONTH(TODAY()),1))),12)=0,1,0),IF(Suppliers!E49="One-time",IF(3=0,1,0),1)))))),"")</f>
        <v/>
      </c>
      <c r="J51" s="10" t="str">
        <f ca="1">IFERROR(IF(OR(4&gt;=$B$1,Suppliers!A49="",NOT(ISNUMBER(Suppliers!D49)),Suppliers!L49="Expired",Suppliers!L49="Terminate"),"",Suppliers!D49*-1*IF(Suppliers!E49="Monthly",IF(AND(ISNUMBER(Suppliers!G49),(YEAR(EDATE(DATE(YEAR(TODAY()),MONTH(TODAY()),1),4))*12+MONTH(EDATE(DATE(YEAR(TODAY()),MONTH(TODAY()),1),4)))&gt;(YEAR(Suppliers!G49)*12+MONTH(Suppliers!G49))),"",1),IF(Suppliers!E49="Quarterly",IF(MOD((YEAR(EDATE(DATE(YEAR(TODAY()),MONTH(TODAY()),1),4))-YEAR(IF(ISNUMBER(Suppliers!F49),Suppliers!F49,DATE(YEAR(TODAY()),MONTH(TODAY()),1))))*12+MONTH(EDATE(DATE(YEAR(TODAY()),MONTH(TODAY()),1),4))-MONTH(IF(ISNUMBER(Suppliers!F49),Suppliers!F49,DATE(YEAR(TODAY()),MONTH(TODAY()),1))),3)=0,1,0),IF(Suppliers!E49="Semi-annual",IF(MOD((YEAR(EDATE(DATE(YEAR(TODAY()),MONTH(TODAY()),1),4))-YEAR(IF(ISNUMBER(Suppliers!F49),Suppliers!F49,DATE(YEAR(TODAY()),MONTH(TODAY()),1))))*12+MONTH(EDATE(DATE(YEAR(TODAY()),MONTH(TODAY()),1),4))-MONTH(IF(ISNUMBER(Suppliers!F49),Suppliers!F49,DATE(YEAR(TODAY()),MONTH(TODAY()),1))),6)=0,1,0),IF(Suppliers!E49="Annual",IF(MOD((YEAR(EDATE(DATE(YEAR(TODAY()),MONTH(TODAY()),1),4))-YEAR(IF(ISNUMBER(Suppliers!F49),Suppliers!F49,DATE(YEAR(TODAY()),MONTH(TODAY()),1))))*12+MONTH(EDATE(DATE(YEAR(TODAY()),MONTH(TODAY()),1),4))-MONTH(IF(ISNUMBER(Suppliers!F49),Suppliers!F49,DATE(YEAR(TODAY()),MONTH(TODAY()),1))),12)=0,1,0),IF(Suppliers!E49="One-time",IF(4=0,1,0),1)))))),"")</f>
        <v/>
      </c>
      <c r="K51" s="10" t="str">
        <f ca="1">IFERROR(IF(OR(5&gt;=$B$1,Suppliers!A49="",NOT(ISNUMBER(Suppliers!D49)),Suppliers!L49="Expired",Suppliers!L49="Terminate"),"",Suppliers!D49*-1*IF(Suppliers!E49="Monthly",IF(AND(ISNUMBER(Suppliers!G49),(YEAR(EDATE(DATE(YEAR(TODAY()),MONTH(TODAY()),1),5))*12+MONTH(EDATE(DATE(YEAR(TODAY()),MONTH(TODAY()),1),5)))&gt;(YEAR(Suppliers!G49)*12+MONTH(Suppliers!G49))),"",1),IF(Suppliers!E49="Quarterly",IF(MOD((YEAR(EDATE(DATE(YEAR(TODAY()),MONTH(TODAY()),1),5))-YEAR(IF(ISNUMBER(Suppliers!F49),Suppliers!F49,DATE(YEAR(TODAY()),MONTH(TODAY()),1))))*12+MONTH(EDATE(DATE(YEAR(TODAY()),MONTH(TODAY()),1),5))-MONTH(IF(ISNUMBER(Suppliers!F49),Suppliers!F49,DATE(YEAR(TODAY()),MONTH(TODAY()),1))),3)=0,1,0),IF(Suppliers!E49="Semi-annual",IF(MOD((YEAR(EDATE(DATE(YEAR(TODAY()),MONTH(TODAY()),1),5))-YEAR(IF(ISNUMBER(Suppliers!F49),Suppliers!F49,DATE(YEAR(TODAY()),MONTH(TODAY()),1))))*12+MONTH(EDATE(DATE(YEAR(TODAY()),MONTH(TODAY()),1),5))-MONTH(IF(ISNUMBER(Suppliers!F49),Suppliers!F49,DATE(YEAR(TODAY()),MONTH(TODAY()),1))),6)=0,1,0),IF(Suppliers!E49="Annual",IF(MOD((YEAR(EDATE(DATE(YEAR(TODAY()),MONTH(TODAY()),1),5))-YEAR(IF(ISNUMBER(Suppliers!F49),Suppliers!F49,DATE(YEAR(TODAY()),MONTH(TODAY()),1))))*12+MONTH(EDATE(DATE(YEAR(TODAY()),MONTH(TODAY()),1),5))-MONTH(IF(ISNUMBER(Suppliers!F49),Suppliers!F49,DATE(YEAR(TODAY()),MONTH(TODAY()),1))),12)=0,1,0),IF(Suppliers!E49="One-time",IF(5=0,1,0),1)))))),"")</f>
        <v/>
      </c>
      <c r="L51" s="10" t="str">
        <f ca="1">IFERROR(IF(OR(6&gt;=$B$1,Suppliers!A49="",NOT(ISNUMBER(Suppliers!D49)),Suppliers!L49="Expired",Suppliers!L49="Terminate"),"",Suppliers!D49*-1*IF(Suppliers!E49="Monthly",IF(AND(ISNUMBER(Suppliers!G49),(YEAR(EDATE(DATE(YEAR(TODAY()),MONTH(TODAY()),1),6))*12+MONTH(EDATE(DATE(YEAR(TODAY()),MONTH(TODAY()),1),6)))&gt;(YEAR(Suppliers!G49)*12+MONTH(Suppliers!G49))),"",1),IF(Suppliers!E49="Quarterly",IF(MOD((YEAR(EDATE(DATE(YEAR(TODAY()),MONTH(TODAY()),1),6))-YEAR(IF(ISNUMBER(Suppliers!F49),Suppliers!F49,DATE(YEAR(TODAY()),MONTH(TODAY()),1))))*12+MONTH(EDATE(DATE(YEAR(TODAY()),MONTH(TODAY()),1),6))-MONTH(IF(ISNUMBER(Suppliers!F49),Suppliers!F49,DATE(YEAR(TODAY()),MONTH(TODAY()),1))),3)=0,1,0),IF(Suppliers!E49="Semi-annual",IF(MOD((YEAR(EDATE(DATE(YEAR(TODAY()),MONTH(TODAY()),1),6))-YEAR(IF(ISNUMBER(Suppliers!F49),Suppliers!F49,DATE(YEAR(TODAY()),MONTH(TODAY()),1))))*12+MONTH(EDATE(DATE(YEAR(TODAY()),MONTH(TODAY()),1),6))-MONTH(IF(ISNUMBER(Suppliers!F49),Suppliers!F49,DATE(YEAR(TODAY()),MONTH(TODAY()),1))),6)=0,1,0),IF(Suppliers!E49="Annual",IF(MOD((YEAR(EDATE(DATE(YEAR(TODAY()),MONTH(TODAY()),1),6))-YEAR(IF(ISNUMBER(Suppliers!F49),Suppliers!F49,DATE(YEAR(TODAY()),MONTH(TODAY()),1))))*12+MONTH(EDATE(DATE(YEAR(TODAY()),MONTH(TODAY()),1),6))-MONTH(IF(ISNUMBER(Suppliers!F49),Suppliers!F49,DATE(YEAR(TODAY()),MONTH(TODAY()),1))),12)=0,1,0),IF(Suppliers!E49="One-time",IF(6=0,1,0),1)))))),"")</f>
        <v/>
      </c>
      <c r="M51" s="10" t="str">
        <f ca="1">IFERROR(IF(OR(7&gt;=$B$1,Suppliers!A49="",NOT(ISNUMBER(Suppliers!D49)),Suppliers!L49="Expired",Suppliers!L49="Terminate"),"",Suppliers!D49*-1*IF(Suppliers!E49="Monthly",IF(AND(ISNUMBER(Suppliers!G49),(YEAR(EDATE(DATE(YEAR(TODAY()),MONTH(TODAY()),1),7))*12+MONTH(EDATE(DATE(YEAR(TODAY()),MONTH(TODAY()),1),7)))&gt;(YEAR(Suppliers!G49)*12+MONTH(Suppliers!G49))),"",1),IF(Suppliers!E49="Quarterly",IF(MOD((YEAR(EDATE(DATE(YEAR(TODAY()),MONTH(TODAY()),1),7))-YEAR(IF(ISNUMBER(Suppliers!F49),Suppliers!F49,DATE(YEAR(TODAY()),MONTH(TODAY()),1))))*12+MONTH(EDATE(DATE(YEAR(TODAY()),MONTH(TODAY()),1),7))-MONTH(IF(ISNUMBER(Suppliers!F49),Suppliers!F49,DATE(YEAR(TODAY()),MONTH(TODAY()),1))),3)=0,1,0),IF(Suppliers!E49="Semi-annual",IF(MOD((YEAR(EDATE(DATE(YEAR(TODAY()),MONTH(TODAY()),1),7))-YEAR(IF(ISNUMBER(Suppliers!F49),Suppliers!F49,DATE(YEAR(TODAY()),MONTH(TODAY()),1))))*12+MONTH(EDATE(DATE(YEAR(TODAY()),MONTH(TODAY()),1),7))-MONTH(IF(ISNUMBER(Suppliers!F49),Suppliers!F49,DATE(YEAR(TODAY()),MONTH(TODAY()),1))),6)=0,1,0),IF(Suppliers!E49="Annual",IF(MOD((YEAR(EDATE(DATE(YEAR(TODAY()),MONTH(TODAY()),1),7))-YEAR(IF(ISNUMBER(Suppliers!F49),Suppliers!F49,DATE(YEAR(TODAY()),MONTH(TODAY()),1))))*12+MONTH(EDATE(DATE(YEAR(TODAY()),MONTH(TODAY()),1),7))-MONTH(IF(ISNUMBER(Suppliers!F49),Suppliers!F49,DATE(YEAR(TODAY()),MONTH(TODAY()),1))),12)=0,1,0),IF(Suppliers!E49="One-time",IF(7=0,1,0),1)))))),"")</f>
        <v/>
      </c>
      <c r="N51" s="10" t="str">
        <f ca="1">IFERROR(IF(OR(8&gt;=$B$1,Suppliers!A49="",NOT(ISNUMBER(Suppliers!D49)),Suppliers!L49="Expired",Suppliers!L49="Terminate"),"",Suppliers!D49*-1*IF(Suppliers!E49="Monthly",IF(AND(ISNUMBER(Suppliers!G49),(YEAR(EDATE(DATE(YEAR(TODAY()),MONTH(TODAY()),1),8))*12+MONTH(EDATE(DATE(YEAR(TODAY()),MONTH(TODAY()),1),8)))&gt;(YEAR(Suppliers!G49)*12+MONTH(Suppliers!G49))),"",1),IF(Suppliers!E49="Quarterly",IF(MOD((YEAR(EDATE(DATE(YEAR(TODAY()),MONTH(TODAY()),1),8))-YEAR(IF(ISNUMBER(Suppliers!F49),Suppliers!F49,DATE(YEAR(TODAY()),MONTH(TODAY()),1))))*12+MONTH(EDATE(DATE(YEAR(TODAY()),MONTH(TODAY()),1),8))-MONTH(IF(ISNUMBER(Suppliers!F49),Suppliers!F49,DATE(YEAR(TODAY()),MONTH(TODAY()),1))),3)=0,1,0),IF(Suppliers!E49="Semi-annual",IF(MOD((YEAR(EDATE(DATE(YEAR(TODAY()),MONTH(TODAY()),1),8))-YEAR(IF(ISNUMBER(Suppliers!F49),Suppliers!F49,DATE(YEAR(TODAY()),MONTH(TODAY()),1))))*12+MONTH(EDATE(DATE(YEAR(TODAY()),MONTH(TODAY()),1),8))-MONTH(IF(ISNUMBER(Suppliers!F49),Suppliers!F49,DATE(YEAR(TODAY()),MONTH(TODAY()),1))),6)=0,1,0),IF(Suppliers!E49="Annual",IF(MOD((YEAR(EDATE(DATE(YEAR(TODAY()),MONTH(TODAY()),1),8))-YEAR(IF(ISNUMBER(Suppliers!F49),Suppliers!F49,DATE(YEAR(TODAY()),MONTH(TODAY()),1))))*12+MONTH(EDATE(DATE(YEAR(TODAY()),MONTH(TODAY()),1),8))-MONTH(IF(ISNUMBER(Suppliers!F49),Suppliers!F49,DATE(YEAR(TODAY()),MONTH(TODAY()),1))),12)=0,1,0),IF(Suppliers!E49="One-time",IF(8=0,1,0),1)))))),"")</f>
        <v/>
      </c>
      <c r="O51" s="10" t="str">
        <f ca="1">IFERROR(IF(OR(9&gt;=$B$1,Suppliers!A49="",NOT(ISNUMBER(Suppliers!D49)),Suppliers!L49="Expired",Suppliers!L49="Terminate"),"",Suppliers!D49*-1*IF(Suppliers!E49="Monthly",IF(AND(ISNUMBER(Suppliers!G49),(YEAR(EDATE(DATE(YEAR(TODAY()),MONTH(TODAY()),1),9))*12+MONTH(EDATE(DATE(YEAR(TODAY()),MONTH(TODAY()),1),9)))&gt;(YEAR(Suppliers!G49)*12+MONTH(Suppliers!G49))),"",1),IF(Suppliers!E49="Quarterly",IF(MOD((YEAR(EDATE(DATE(YEAR(TODAY()),MONTH(TODAY()),1),9))-YEAR(IF(ISNUMBER(Suppliers!F49),Suppliers!F49,DATE(YEAR(TODAY()),MONTH(TODAY()),1))))*12+MONTH(EDATE(DATE(YEAR(TODAY()),MONTH(TODAY()),1),9))-MONTH(IF(ISNUMBER(Suppliers!F49),Suppliers!F49,DATE(YEAR(TODAY()),MONTH(TODAY()),1))),3)=0,1,0),IF(Suppliers!E49="Semi-annual",IF(MOD((YEAR(EDATE(DATE(YEAR(TODAY()),MONTH(TODAY()),1),9))-YEAR(IF(ISNUMBER(Suppliers!F49),Suppliers!F49,DATE(YEAR(TODAY()),MONTH(TODAY()),1))))*12+MONTH(EDATE(DATE(YEAR(TODAY()),MONTH(TODAY()),1),9))-MONTH(IF(ISNUMBER(Suppliers!F49),Suppliers!F49,DATE(YEAR(TODAY()),MONTH(TODAY()),1))),6)=0,1,0),IF(Suppliers!E49="Annual",IF(MOD((YEAR(EDATE(DATE(YEAR(TODAY()),MONTH(TODAY()),1),9))-YEAR(IF(ISNUMBER(Suppliers!F49),Suppliers!F49,DATE(YEAR(TODAY()),MONTH(TODAY()),1))))*12+MONTH(EDATE(DATE(YEAR(TODAY()),MONTH(TODAY()),1),9))-MONTH(IF(ISNUMBER(Suppliers!F49),Suppliers!F49,DATE(YEAR(TODAY()),MONTH(TODAY()),1))),12)=0,1,0),IF(Suppliers!E49="One-time",IF(9=0,1,0),1)))))),"")</f>
        <v/>
      </c>
      <c r="P51" s="10" t="str">
        <f ca="1">IFERROR(IF(OR(10&gt;=$B$1,Suppliers!A49="",NOT(ISNUMBER(Suppliers!D49)),Suppliers!L49="Expired",Suppliers!L49="Terminate"),"",Suppliers!D49*-1*IF(Suppliers!E49="Monthly",IF(AND(ISNUMBER(Suppliers!G49),(YEAR(EDATE(DATE(YEAR(TODAY()),MONTH(TODAY()),1),10))*12+MONTH(EDATE(DATE(YEAR(TODAY()),MONTH(TODAY()),1),10)))&gt;(YEAR(Suppliers!G49)*12+MONTH(Suppliers!G49))),"",1),IF(Suppliers!E49="Quarterly",IF(MOD((YEAR(EDATE(DATE(YEAR(TODAY()),MONTH(TODAY()),1),10))-YEAR(IF(ISNUMBER(Suppliers!F49),Suppliers!F49,DATE(YEAR(TODAY()),MONTH(TODAY()),1))))*12+MONTH(EDATE(DATE(YEAR(TODAY()),MONTH(TODAY()),1),10))-MONTH(IF(ISNUMBER(Suppliers!F49),Suppliers!F49,DATE(YEAR(TODAY()),MONTH(TODAY()),1))),3)=0,1,0),IF(Suppliers!E49="Semi-annual",IF(MOD((YEAR(EDATE(DATE(YEAR(TODAY()),MONTH(TODAY()),1),10))-YEAR(IF(ISNUMBER(Suppliers!F49),Suppliers!F49,DATE(YEAR(TODAY()),MONTH(TODAY()),1))))*12+MONTH(EDATE(DATE(YEAR(TODAY()),MONTH(TODAY()),1),10))-MONTH(IF(ISNUMBER(Suppliers!F49),Suppliers!F49,DATE(YEAR(TODAY()),MONTH(TODAY()),1))),6)=0,1,0),IF(Suppliers!E49="Annual",IF(MOD((YEAR(EDATE(DATE(YEAR(TODAY()),MONTH(TODAY()),1),10))-YEAR(IF(ISNUMBER(Suppliers!F49),Suppliers!F49,DATE(YEAR(TODAY()),MONTH(TODAY()),1))))*12+MONTH(EDATE(DATE(YEAR(TODAY()),MONTH(TODAY()),1),10))-MONTH(IF(ISNUMBER(Suppliers!F49),Suppliers!F49,DATE(YEAR(TODAY()),MONTH(TODAY()),1))),12)=0,1,0),IF(Suppliers!E49="One-time",IF(10=0,1,0),1)))))),"")</f>
        <v/>
      </c>
      <c r="Q51" s="10" t="str">
        <f ca="1">IFERROR(IF(OR(11&gt;=$B$1,Suppliers!A49="",NOT(ISNUMBER(Suppliers!D49)),Suppliers!L49="Expired",Suppliers!L49="Terminate"),"",Suppliers!D49*-1*IF(Suppliers!E49="Monthly",IF(AND(ISNUMBER(Suppliers!G49),(YEAR(EDATE(DATE(YEAR(TODAY()),MONTH(TODAY()),1),11))*12+MONTH(EDATE(DATE(YEAR(TODAY()),MONTH(TODAY()),1),11)))&gt;(YEAR(Suppliers!G49)*12+MONTH(Suppliers!G49))),"",1),IF(Suppliers!E49="Quarterly",IF(MOD((YEAR(EDATE(DATE(YEAR(TODAY()),MONTH(TODAY()),1),11))-YEAR(IF(ISNUMBER(Suppliers!F49),Suppliers!F49,DATE(YEAR(TODAY()),MONTH(TODAY()),1))))*12+MONTH(EDATE(DATE(YEAR(TODAY()),MONTH(TODAY()),1),11))-MONTH(IF(ISNUMBER(Suppliers!F49),Suppliers!F49,DATE(YEAR(TODAY()),MONTH(TODAY()),1))),3)=0,1,0),IF(Suppliers!E49="Semi-annual",IF(MOD((YEAR(EDATE(DATE(YEAR(TODAY()),MONTH(TODAY()),1),11))-YEAR(IF(ISNUMBER(Suppliers!F49),Suppliers!F49,DATE(YEAR(TODAY()),MONTH(TODAY()),1))))*12+MONTH(EDATE(DATE(YEAR(TODAY()),MONTH(TODAY()),1),11))-MONTH(IF(ISNUMBER(Suppliers!F49),Suppliers!F49,DATE(YEAR(TODAY()),MONTH(TODAY()),1))),6)=0,1,0),IF(Suppliers!E49="Annual",IF(MOD((YEAR(EDATE(DATE(YEAR(TODAY()),MONTH(TODAY()),1),11))-YEAR(IF(ISNUMBER(Suppliers!F49),Suppliers!F49,DATE(YEAR(TODAY()),MONTH(TODAY()),1))))*12+MONTH(EDATE(DATE(YEAR(TODAY()),MONTH(TODAY()),1),11))-MONTH(IF(ISNUMBER(Suppliers!F49),Suppliers!F49,DATE(YEAR(TODAY()),MONTH(TODAY()),1))),12)=0,1,0),IF(Suppliers!E49="One-time",IF(11=0,1,0),1)))))),"")</f>
        <v/>
      </c>
      <c r="R51" s="10" t="str">
        <f ca="1">IFERROR(IF(OR(12&gt;=$B$1,Suppliers!A49="",NOT(ISNUMBER(Suppliers!D49)),Suppliers!L49="Expired",Suppliers!L49="Terminate"),"",Suppliers!D49*-1*IF(Suppliers!E49="Monthly",IF(AND(ISNUMBER(Suppliers!G49),(YEAR(EDATE(DATE(YEAR(TODAY()),MONTH(TODAY()),1),12))*12+MONTH(EDATE(DATE(YEAR(TODAY()),MONTH(TODAY()),1),12)))&gt;(YEAR(Suppliers!G49)*12+MONTH(Suppliers!G49))),"",1),IF(Suppliers!E49="Quarterly",IF(MOD((YEAR(EDATE(DATE(YEAR(TODAY()),MONTH(TODAY()),1),12))-YEAR(IF(ISNUMBER(Suppliers!F49),Suppliers!F49,DATE(YEAR(TODAY()),MONTH(TODAY()),1))))*12+MONTH(EDATE(DATE(YEAR(TODAY()),MONTH(TODAY()),1),12))-MONTH(IF(ISNUMBER(Suppliers!F49),Suppliers!F49,DATE(YEAR(TODAY()),MONTH(TODAY()),1))),3)=0,1,0),IF(Suppliers!E49="Semi-annual",IF(MOD((YEAR(EDATE(DATE(YEAR(TODAY()),MONTH(TODAY()),1),12))-YEAR(IF(ISNUMBER(Suppliers!F49),Suppliers!F49,DATE(YEAR(TODAY()),MONTH(TODAY()),1))))*12+MONTH(EDATE(DATE(YEAR(TODAY()),MONTH(TODAY()),1),12))-MONTH(IF(ISNUMBER(Suppliers!F49),Suppliers!F49,DATE(YEAR(TODAY()),MONTH(TODAY()),1))),6)=0,1,0),IF(Suppliers!E49="Annual",IF(MOD((YEAR(EDATE(DATE(YEAR(TODAY()),MONTH(TODAY()),1),12))-YEAR(IF(ISNUMBER(Suppliers!F49),Suppliers!F49,DATE(YEAR(TODAY()),MONTH(TODAY()),1))))*12+MONTH(EDATE(DATE(YEAR(TODAY()),MONTH(TODAY()),1),12))-MONTH(IF(ISNUMBER(Suppliers!F49),Suppliers!F49,DATE(YEAR(TODAY()),MONTH(TODAY()),1))),12)=0,1,0),IF(Suppliers!E49="One-time",IF(12=0,1,0),1)))))),"")</f>
        <v/>
      </c>
      <c r="S51" s="10" t="str">
        <f ca="1">IFERROR(IF(OR(13&gt;=$B$1,Suppliers!A49="",NOT(ISNUMBER(Suppliers!D49)),Suppliers!L49="Expired",Suppliers!L49="Terminate"),"",Suppliers!D49*-1*IF(Suppliers!E49="Monthly",IF(AND(ISNUMBER(Suppliers!G49),(YEAR(EDATE(DATE(YEAR(TODAY()),MONTH(TODAY()),1),13))*12+MONTH(EDATE(DATE(YEAR(TODAY()),MONTH(TODAY()),1),13)))&gt;(YEAR(Suppliers!G49)*12+MONTH(Suppliers!G49))),"",1),IF(Suppliers!E49="Quarterly",IF(MOD((YEAR(EDATE(DATE(YEAR(TODAY()),MONTH(TODAY()),1),13))-YEAR(IF(ISNUMBER(Suppliers!F49),Suppliers!F49,DATE(YEAR(TODAY()),MONTH(TODAY()),1))))*12+MONTH(EDATE(DATE(YEAR(TODAY()),MONTH(TODAY()),1),13))-MONTH(IF(ISNUMBER(Suppliers!F49),Suppliers!F49,DATE(YEAR(TODAY()),MONTH(TODAY()),1))),3)=0,1,0),IF(Suppliers!E49="Semi-annual",IF(MOD((YEAR(EDATE(DATE(YEAR(TODAY()),MONTH(TODAY()),1),13))-YEAR(IF(ISNUMBER(Suppliers!F49),Suppliers!F49,DATE(YEAR(TODAY()),MONTH(TODAY()),1))))*12+MONTH(EDATE(DATE(YEAR(TODAY()),MONTH(TODAY()),1),13))-MONTH(IF(ISNUMBER(Suppliers!F49),Suppliers!F49,DATE(YEAR(TODAY()),MONTH(TODAY()),1))),6)=0,1,0),IF(Suppliers!E49="Annual",IF(MOD((YEAR(EDATE(DATE(YEAR(TODAY()),MONTH(TODAY()),1),13))-YEAR(IF(ISNUMBER(Suppliers!F49),Suppliers!F49,DATE(YEAR(TODAY()),MONTH(TODAY()),1))))*12+MONTH(EDATE(DATE(YEAR(TODAY()),MONTH(TODAY()),1),13))-MONTH(IF(ISNUMBER(Suppliers!F49),Suppliers!F49,DATE(YEAR(TODAY()),MONTH(TODAY()),1))),12)=0,1,0),IF(Suppliers!E49="One-time",IF(13=0,1,0),1)))))),"")</f>
        <v/>
      </c>
      <c r="T51" s="10" t="str">
        <f ca="1">IFERROR(IF(OR(14&gt;=$B$1,Suppliers!A49="",NOT(ISNUMBER(Suppliers!D49)),Suppliers!L49="Expired",Suppliers!L49="Terminate"),"",Suppliers!D49*-1*IF(Suppliers!E49="Monthly",IF(AND(ISNUMBER(Suppliers!G49),(YEAR(EDATE(DATE(YEAR(TODAY()),MONTH(TODAY()),1),14))*12+MONTH(EDATE(DATE(YEAR(TODAY()),MONTH(TODAY()),1),14)))&gt;(YEAR(Suppliers!G49)*12+MONTH(Suppliers!G49))),"",1),IF(Suppliers!E49="Quarterly",IF(MOD((YEAR(EDATE(DATE(YEAR(TODAY()),MONTH(TODAY()),1),14))-YEAR(IF(ISNUMBER(Suppliers!F49),Suppliers!F49,DATE(YEAR(TODAY()),MONTH(TODAY()),1))))*12+MONTH(EDATE(DATE(YEAR(TODAY()),MONTH(TODAY()),1),14))-MONTH(IF(ISNUMBER(Suppliers!F49),Suppliers!F49,DATE(YEAR(TODAY()),MONTH(TODAY()),1))),3)=0,1,0),IF(Suppliers!E49="Semi-annual",IF(MOD((YEAR(EDATE(DATE(YEAR(TODAY()),MONTH(TODAY()),1),14))-YEAR(IF(ISNUMBER(Suppliers!F49),Suppliers!F49,DATE(YEAR(TODAY()),MONTH(TODAY()),1))))*12+MONTH(EDATE(DATE(YEAR(TODAY()),MONTH(TODAY()),1),14))-MONTH(IF(ISNUMBER(Suppliers!F49),Suppliers!F49,DATE(YEAR(TODAY()),MONTH(TODAY()),1))),6)=0,1,0),IF(Suppliers!E49="Annual",IF(MOD((YEAR(EDATE(DATE(YEAR(TODAY()),MONTH(TODAY()),1),14))-YEAR(IF(ISNUMBER(Suppliers!F49),Suppliers!F49,DATE(YEAR(TODAY()),MONTH(TODAY()),1))))*12+MONTH(EDATE(DATE(YEAR(TODAY()),MONTH(TODAY()),1),14))-MONTH(IF(ISNUMBER(Suppliers!F49),Suppliers!F49,DATE(YEAR(TODAY()),MONTH(TODAY()),1))),12)=0,1,0),IF(Suppliers!E49="One-time",IF(14=0,1,0),1)))))),"")</f>
        <v/>
      </c>
      <c r="U51" s="10" t="str">
        <f ca="1">IFERROR(IF(OR(15&gt;=$B$1,Suppliers!A49="",NOT(ISNUMBER(Suppliers!D49)),Suppliers!L49="Expired",Suppliers!L49="Terminate"),"",Suppliers!D49*-1*IF(Suppliers!E49="Monthly",IF(AND(ISNUMBER(Suppliers!G49),(YEAR(EDATE(DATE(YEAR(TODAY()),MONTH(TODAY()),1),15))*12+MONTH(EDATE(DATE(YEAR(TODAY()),MONTH(TODAY()),1),15)))&gt;(YEAR(Suppliers!G49)*12+MONTH(Suppliers!G49))),"",1),IF(Suppliers!E49="Quarterly",IF(MOD((YEAR(EDATE(DATE(YEAR(TODAY()),MONTH(TODAY()),1),15))-YEAR(IF(ISNUMBER(Suppliers!F49),Suppliers!F49,DATE(YEAR(TODAY()),MONTH(TODAY()),1))))*12+MONTH(EDATE(DATE(YEAR(TODAY()),MONTH(TODAY()),1),15))-MONTH(IF(ISNUMBER(Suppliers!F49),Suppliers!F49,DATE(YEAR(TODAY()),MONTH(TODAY()),1))),3)=0,1,0),IF(Suppliers!E49="Semi-annual",IF(MOD((YEAR(EDATE(DATE(YEAR(TODAY()),MONTH(TODAY()),1),15))-YEAR(IF(ISNUMBER(Suppliers!F49),Suppliers!F49,DATE(YEAR(TODAY()),MONTH(TODAY()),1))))*12+MONTH(EDATE(DATE(YEAR(TODAY()),MONTH(TODAY()),1),15))-MONTH(IF(ISNUMBER(Suppliers!F49),Suppliers!F49,DATE(YEAR(TODAY()),MONTH(TODAY()),1))),6)=0,1,0),IF(Suppliers!E49="Annual",IF(MOD((YEAR(EDATE(DATE(YEAR(TODAY()),MONTH(TODAY()),1),15))-YEAR(IF(ISNUMBER(Suppliers!F49),Suppliers!F49,DATE(YEAR(TODAY()),MONTH(TODAY()),1))))*12+MONTH(EDATE(DATE(YEAR(TODAY()),MONTH(TODAY()),1),15))-MONTH(IF(ISNUMBER(Suppliers!F49),Suppliers!F49,DATE(YEAR(TODAY()),MONTH(TODAY()),1))),12)=0,1,0),IF(Suppliers!E49="One-time",IF(15=0,1,0),1)))))),"")</f>
        <v/>
      </c>
      <c r="V51" s="10" t="str">
        <f ca="1">IFERROR(IF(OR(16&gt;=$B$1,Suppliers!A49="",NOT(ISNUMBER(Suppliers!D49)),Suppliers!L49="Expired",Suppliers!L49="Terminate"),"",Suppliers!D49*-1*IF(Suppliers!E49="Monthly",IF(AND(ISNUMBER(Suppliers!G49),(YEAR(EDATE(DATE(YEAR(TODAY()),MONTH(TODAY()),1),16))*12+MONTH(EDATE(DATE(YEAR(TODAY()),MONTH(TODAY()),1),16)))&gt;(YEAR(Suppliers!G49)*12+MONTH(Suppliers!G49))),"",1),IF(Suppliers!E49="Quarterly",IF(MOD((YEAR(EDATE(DATE(YEAR(TODAY()),MONTH(TODAY()),1),16))-YEAR(IF(ISNUMBER(Suppliers!F49),Suppliers!F49,DATE(YEAR(TODAY()),MONTH(TODAY()),1))))*12+MONTH(EDATE(DATE(YEAR(TODAY()),MONTH(TODAY()),1),16))-MONTH(IF(ISNUMBER(Suppliers!F49),Suppliers!F49,DATE(YEAR(TODAY()),MONTH(TODAY()),1))),3)=0,1,0),IF(Suppliers!E49="Semi-annual",IF(MOD((YEAR(EDATE(DATE(YEAR(TODAY()),MONTH(TODAY()),1),16))-YEAR(IF(ISNUMBER(Suppliers!F49),Suppliers!F49,DATE(YEAR(TODAY()),MONTH(TODAY()),1))))*12+MONTH(EDATE(DATE(YEAR(TODAY()),MONTH(TODAY()),1),16))-MONTH(IF(ISNUMBER(Suppliers!F49),Suppliers!F49,DATE(YEAR(TODAY()),MONTH(TODAY()),1))),6)=0,1,0),IF(Suppliers!E49="Annual",IF(MOD((YEAR(EDATE(DATE(YEAR(TODAY()),MONTH(TODAY()),1),16))-YEAR(IF(ISNUMBER(Suppliers!F49),Suppliers!F49,DATE(YEAR(TODAY()),MONTH(TODAY()),1))))*12+MONTH(EDATE(DATE(YEAR(TODAY()),MONTH(TODAY()),1),16))-MONTH(IF(ISNUMBER(Suppliers!F49),Suppliers!F49,DATE(YEAR(TODAY()),MONTH(TODAY()),1))),12)=0,1,0),IF(Suppliers!E49="One-time",IF(16=0,1,0),1)))))),"")</f>
        <v/>
      </c>
      <c r="W51" s="10" t="str">
        <f ca="1">IFERROR(IF(OR(17&gt;=$B$1,Suppliers!A49="",NOT(ISNUMBER(Suppliers!D49)),Suppliers!L49="Expired",Suppliers!L49="Terminate"),"",Suppliers!D49*-1*IF(Suppliers!E49="Monthly",IF(AND(ISNUMBER(Suppliers!G49),(YEAR(EDATE(DATE(YEAR(TODAY()),MONTH(TODAY()),1),17))*12+MONTH(EDATE(DATE(YEAR(TODAY()),MONTH(TODAY()),1),17)))&gt;(YEAR(Suppliers!G49)*12+MONTH(Suppliers!G49))),"",1),IF(Suppliers!E49="Quarterly",IF(MOD((YEAR(EDATE(DATE(YEAR(TODAY()),MONTH(TODAY()),1),17))-YEAR(IF(ISNUMBER(Suppliers!F49),Suppliers!F49,DATE(YEAR(TODAY()),MONTH(TODAY()),1))))*12+MONTH(EDATE(DATE(YEAR(TODAY()),MONTH(TODAY()),1),17))-MONTH(IF(ISNUMBER(Suppliers!F49),Suppliers!F49,DATE(YEAR(TODAY()),MONTH(TODAY()),1))),3)=0,1,0),IF(Suppliers!E49="Semi-annual",IF(MOD((YEAR(EDATE(DATE(YEAR(TODAY()),MONTH(TODAY()),1),17))-YEAR(IF(ISNUMBER(Suppliers!F49),Suppliers!F49,DATE(YEAR(TODAY()),MONTH(TODAY()),1))))*12+MONTH(EDATE(DATE(YEAR(TODAY()),MONTH(TODAY()),1),17))-MONTH(IF(ISNUMBER(Suppliers!F49),Suppliers!F49,DATE(YEAR(TODAY()),MONTH(TODAY()),1))),6)=0,1,0),IF(Suppliers!E49="Annual",IF(MOD((YEAR(EDATE(DATE(YEAR(TODAY()),MONTH(TODAY()),1),17))-YEAR(IF(ISNUMBER(Suppliers!F49),Suppliers!F49,DATE(YEAR(TODAY()),MONTH(TODAY()),1))))*12+MONTH(EDATE(DATE(YEAR(TODAY()),MONTH(TODAY()),1),17))-MONTH(IF(ISNUMBER(Suppliers!F49),Suppliers!F49,DATE(YEAR(TODAY()),MONTH(TODAY()),1))),12)=0,1,0),IF(Suppliers!E49="One-time",IF(17=0,1,0),1)))))),"")</f>
        <v/>
      </c>
      <c r="X51" s="10" t="str">
        <f ca="1">IFERROR(IF(OR(18&gt;=$B$1,Suppliers!A49="",NOT(ISNUMBER(Suppliers!D49)),Suppliers!L49="Expired",Suppliers!L49="Terminate"),"",Suppliers!D49*-1*IF(Suppliers!E49="Monthly",IF(AND(ISNUMBER(Suppliers!G49),(YEAR(EDATE(DATE(YEAR(TODAY()),MONTH(TODAY()),1),18))*12+MONTH(EDATE(DATE(YEAR(TODAY()),MONTH(TODAY()),1),18)))&gt;(YEAR(Suppliers!G49)*12+MONTH(Suppliers!G49))),"",1),IF(Suppliers!E49="Quarterly",IF(MOD((YEAR(EDATE(DATE(YEAR(TODAY()),MONTH(TODAY()),1),18))-YEAR(IF(ISNUMBER(Suppliers!F49),Suppliers!F49,DATE(YEAR(TODAY()),MONTH(TODAY()),1))))*12+MONTH(EDATE(DATE(YEAR(TODAY()),MONTH(TODAY()),1),18))-MONTH(IF(ISNUMBER(Suppliers!F49),Suppliers!F49,DATE(YEAR(TODAY()),MONTH(TODAY()),1))),3)=0,1,0),IF(Suppliers!E49="Semi-annual",IF(MOD((YEAR(EDATE(DATE(YEAR(TODAY()),MONTH(TODAY()),1),18))-YEAR(IF(ISNUMBER(Suppliers!F49),Suppliers!F49,DATE(YEAR(TODAY()),MONTH(TODAY()),1))))*12+MONTH(EDATE(DATE(YEAR(TODAY()),MONTH(TODAY()),1),18))-MONTH(IF(ISNUMBER(Suppliers!F49),Suppliers!F49,DATE(YEAR(TODAY()),MONTH(TODAY()),1))),6)=0,1,0),IF(Suppliers!E49="Annual",IF(MOD((YEAR(EDATE(DATE(YEAR(TODAY()),MONTH(TODAY()),1),18))-YEAR(IF(ISNUMBER(Suppliers!F49),Suppliers!F49,DATE(YEAR(TODAY()),MONTH(TODAY()),1))))*12+MONTH(EDATE(DATE(YEAR(TODAY()),MONTH(TODAY()),1),18))-MONTH(IF(ISNUMBER(Suppliers!F49),Suppliers!F49,DATE(YEAR(TODAY()),MONTH(TODAY()),1))),12)=0,1,0),IF(Suppliers!E49="One-time",IF(18=0,1,0),1)))))),"")</f>
        <v/>
      </c>
      <c r="Y51" s="10" t="str">
        <f ca="1">IFERROR(IF(OR(19&gt;=$B$1,Suppliers!A49="",NOT(ISNUMBER(Suppliers!D49)),Suppliers!L49="Expired",Suppliers!L49="Terminate"),"",Suppliers!D49*-1*IF(Suppliers!E49="Monthly",IF(AND(ISNUMBER(Suppliers!G49),(YEAR(EDATE(DATE(YEAR(TODAY()),MONTH(TODAY()),1),19))*12+MONTH(EDATE(DATE(YEAR(TODAY()),MONTH(TODAY()),1),19)))&gt;(YEAR(Suppliers!G49)*12+MONTH(Suppliers!G49))),"",1),IF(Suppliers!E49="Quarterly",IF(MOD((YEAR(EDATE(DATE(YEAR(TODAY()),MONTH(TODAY()),1),19))-YEAR(IF(ISNUMBER(Suppliers!F49),Suppliers!F49,DATE(YEAR(TODAY()),MONTH(TODAY()),1))))*12+MONTH(EDATE(DATE(YEAR(TODAY()),MONTH(TODAY()),1),19))-MONTH(IF(ISNUMBER(Suppliers!F49),Suppliers!F49,DATE(YEAR(TODAY()),MONTH(TODAY()),1))),3)=0,1,0),IF(Suppliers!E49="Semi-annual",IF(MOD((YEAR(EDATE(DATE(YEAR(TODAY()),MONTH(TODAY()),1),19))-YEAR(IF(ISNUMBER(Suppliers!F49),Suppliers!F49,DATE(YEAR(TODAY()),MONTH(TODAY()),1))))*12+MONTH(EDATE(DATE(YEAR(TODAY()),MONTH(TODAY()),1),19))-MONTH(IF(ISNUMBER(Suppliers!F49),Suppliers!F49,DATE(YEAR(TODAY()),MONTH(TODAY()),1))),6)=0,1,0),IF(Suppliers!E49="Annual",IF(MOD((YEAR(EDATE(DATE(YEAR(TODAY()),MONTH(TODAY()),1),19))-YEAR(IF(ISNUMBER(Suppliers!F49),Suppliers!F49,DATE(YEAR(TODAY()),MONTH(TODAY()),1))))*12+MONTH(EDATE(DATE(YEAR(TODAY()),MONTH(TODAY()),1),19))-MONTH(IF(ISNUMBER(Suppliers!F49),Suppliers!F49,DATE(YEAR(TODAY()),MONTH(TODAY()),1))),12)=0,1,0),IF(Suppliers!E49="One-time",IF(19=0,1,0),1)))))),"")</f>
        <v/>
      </c>
      <c r="Z51" s="10" t="str">
        <f ca="1">IFERROR(IF(OR(20&gt;=$B$1,Suppliers!A49="",NOT(ISNUMBER(Suppliers!D49)),Suppliers!L49="Expired",Suppliers!L49="Terminate"),"",Suppliers!D49*-1*IF(Suppliers!E49="Monthly",IF(AND(ISNUMBER(Suppliers!G49),(YEAR(EDATE(DATE(YEAR(TODAY()),MONTH(TODAY()),1),20))*12+MONTH(EDATE(DATE(YEAR(TODAY()),MONTH(TODAY()),1),20)))&gt;(YEAR(Suppliers!G49)*12+MONTH(Suppliers!G49))),"",1),IF(Suppliers!E49="Quarterly",IF(MOD((YEAR(EDATE(DATE(YEAR(TODAY()),MONTH(TODAY()),1),20))-YEAR(IF(ISNUMBER(Suppliers!F49),Suppliers!F49,DATE(YEAR(TODAY()),MONTH(TODAY()),1))))*12+MONTH(EDATE(DATE(YEAR(TODAY()),MONTH(TODAY()),1),20))-MONTH(IF(ISNUMBER(Suppliers!F49),Suppliers!F49,DATE(YEAR(TODAY()),MONTH(TODAY()),1))),3)=0,1,0),IF(Suppliers!E49="Semi-annual",IF(MOD((YEAR(EDATE(DATE(YEAR(TODAY()),MONTH(TODAY()),1),20))-YEAR(IF(ISNUMBER(Suppliers!F49),Suppliers!F49,DATE(YEAR(TODAY()),MONTH(TODAY()),1))))*12+MONTH(EDATE(DATE(YEAR(TODAY()),MONTH(TODAY()),1),20))-MONTH(IF(ISNUMBER(Suppliers!F49),Suppliers!F49,DATE(YEAR(TODAY()),MONTH(TODAY()),1))),6)=0,1,0),IF(Suppliers!E49="Annual",IF(MOD((YEAR(EDATE(DATE(YEAR(TODAY()),MONTH(TODAY()),1),20))-YEAR(IF(ISNUMBER(Suppliers!F49),Suppliers!F49,DATE(YEAR(TODAY()),MONTH(TODAY()),1))))*12+MONTH(EDATE(DATE(YEAR(TODAY()),MONTH(TODAY()),1),20))-MONTH(IF(ISNUMBER(Suppliers!F49),Suppliers!F49,DATE(YEAR(TODAY()),MONTH(TODAY()),1))),12)=0,1,0),IF(Suppliers!E49="One-time",IF(20=0,1,0),1)))))),"")</f>
        <v/>
      </c>
      <c r="AA51" s="10" t="str">
        <f ca="1">IFERROR(IF(OR(21&gt;=$B$1,Suppliers!A49="",NOT(ISNUMBER(Suppliers!D49)),Suppliers!L49="Expired",Suppliers!L49="Terminate"),"",Suppliers!D49*-1*IF(Suppliers!E49="Monthly",IF(AND(ISNUMBER(Suppliers!G49),(YEAR(EDATE(DATE(YEAR(TODAY()),MONTH(TODAY()),1),21))*12+MONTH(EDATE(DATE(YEAR(TODAY()),MONTH(TODAY()),1),21)))&gt;(YEAR(Suppliers!G49)*12+MONTH(Suppliers!G49))),"",1),IF(Suppliers!E49="Quarterly",IF(MOD((YEAR(EDATE(DATE(YEAR(TODAY()),MONTH(TODAY()),1),21))-YEAR(IF(ISNUMBER(Suppliers!F49),Suppliers!F49,DATE(YEAR(TODAY()),MONTH(TODAY()),1))))*12+MONTH(EDATE(DATE(YEAR(TODAY()),MONTH(TODAY()),1),21))-MONTH(IF(ISNUMBER(Suppliers!F49),Suppliers!F49,DATE(YEAR(TODAY()),MONTH(TODAY()),1))),3)=0,1,0),IF(Suppliers!E49="Semi-annual",IF(MOD((YEAR(EDATE(DATE(YEAR(TODAY()),MONTH(TODAY()),1),21))-YEAR(IF(ISNUMBER(Suppliers!F49),Suppliers!F49,DATE(YEAR(TODAY()),MONTH(TODAY()),1))))*12+MONTH(EDATE(DATE(YEAR(TODAY()),MONTH(TODAY()),1),21))-MONTH(IF(ISNUMBER(Suppliers!F49),Suppliers!F49,DATE(YEAR(TODAY()),MONTH(TODAY()),1))),6)=0,1,0),IF(Suppliers!E49="Annual",IF(MOD((YEAR(EDATE(DATE(YEAR(TODAY()),MONTH(TODAY()),1),21))-YEAR(IF(ISNUMBER(Suppliers!F49),Suppliers!F49,DATE(YEAR(TODAY()),MONTH(TODAY()),1))))*12+MONTH(EDATE(DATE(YEAR(TODAY()),MONTH(TODAY()),1),21))-MONTH(IF(ISNUMBER(Suppliers!F49),Suppliers!F49,DATE(YEAR(TODAY()),MONTH(TODAY()),1))),12)=0,1,0),IF(Suppliers!E49="One-time",IF(21=0,1,0),1)))))),"")</f>
        <v/>
      </c>
      <c r="AB51" s="10" t="str">
        <f ca="1">IFERROR(IF(OR(22&gt;=$B$1,Suppliers!A49="",NOT(ISNUMBER(Suppliers!D49)),Suppliers!L49="Expired",Suppliers!L49="Terminate"),"",Suppliers!D49*-1*IF(Suppliers!E49="Monthly",IF(AND(ISNUMBER(Suppliers!G49),(YEAR(EDATE(DATE(YEAR(TODAY()),MONTH(TODAY()),1),22))*12+MONTH(EDATE(DATE(YEAR(TODAY()),MONTH(TODAY()),1),22)))&gt;(YEAR(Suppliers!G49)*12+MONTH(Suppliers!G49))),"",1),IF(Suppliers!E49="Quarterly",IF(MOD((YEAR(EDATE(DATE(YEAR(TODAY()),MONTH(TODAY()),1),22))-YEAR(IF(ISNUMBER(Suppliers!F49),Suppliers!F49,DATE(YEAR(TODAY()),MONTH(TODAY()),1))))*12+MONTH(EDATE(DATE(YEAR(TODAY()),MONTH(TODAY()),1),22))-MONTH(IF(ISNUMBER(Suppliers!F49),Suppliers!F49,DATE(YEAR(TODAY()),MONTH(TODAY()),1))),3)=0,1,0),IF(Suppliers!E49="Semi-annual",IF(MOD((YEAR(EDATE(DATE(YEAR(TODAY()),MONTH(TODAY()),1),22))-YEAR(IF(ISNUMBER(Suppliers!F49),Suppliers!F49,DATE(YEAR(TODAY()),MONTH(TODAY()),1))))*12+MONTH(EDATE(DATE(YEAR(TODAY()),MONTH(TODAY()),1),22))-MONTH(IF(ISNUMBER(Suppliers!F49),Suppliers!F49,DATE(YEAR(TODAY()),MONTH(TODAY()),1))),6)=0,1,0),IF(Suppliers!E49="Annual",IF(MOD((YEAR(EDATE(DATE(YEAR(TODAY()),MONTH(TODAY()),1),22))-YEAR(IF(ISNUMBER(Suppliers!F49),Suppliers!F49,DATE(YEAR(TODAY()),MONTH(TODAY()),1))))*12+MONTH(EDATE(DATE(YEAR(TODAY()),MONTH(TODAY()),1),22))-MONTH(IF(ISNUMBER(Suppliers!F49),Suppliers!F49,DATE(YEAR(TODAY()),MONTH(TODAY()),1))),12)=0,1,0),IF(Suppliers!E49="One-time",IF(22=0,1,0),1)))))),"")</f>
        <v/>
      </c>
      <c r="AC51" s="10" t="str">
        <f ca="1">IFERROR(IF(OR(23&gt;=$B$1,Suppliers!A49="",NOT(ISNUMBER(Suppliers!D49)),Suppliers!L49="Expired",Suppliers!L49="Terminate"),"",Suppliers!D49*-1*IF(Suppliers!E49="Monthly",IF(AND(ISNUMBER(Suppliers!G49),(YEAR(EDATE(DATE(YEAR(TODAY()),MONTH(TODAY()),1),23))*12+MONTH(EDATE(DATE(YEAR(TODAY()),MONTH(TODAY()),1),23)))&gt;(YEAR(Suppliers!G49)*12+MONTH(Suppliers!G49))),"",1),IF(Suppliers!E49="Quarterly",IF(MOD((YEAR(EDATE(DATE(YEAR(TODAY()),MONTH(TODAY()),1),23))-YEAR(IF(ISNUMBER(Suppliers!F49),Suppliers!F49,DATE(YEAR(TODAY()),MONTH(TODAY()),1))))*12+MONTH(EDATE(DATE(YEAR(TODAY()),MONTH(TODAY()),1),23))-MONTH(IF(ISNUMBER(Suppliers!F49),Suppliers!F49,DATE(YEAR(TODAY()),MONTH(TODAY()),1))),3)=0,1,0),IF(Suppliers!E49="Semi-annual",IF(MOD((YEAR(EDATE(DATE(YEAR(TODAY()),MONTH(TODAY()),1),23))-YEAR(IF(ISNUMBER(Suppliers!F49),Suppliers!F49,DATE(YEAR(TODAY()),MONTH(TODAY()),1))))*12+MONTH(EDATE(DATE(YEAR(TODAY()),MONTH(TODAY()),1),23))-MONTH(IF(ISNUMBER(Suppliers!F49),Suppliers!F49,DATE(YEAR(TODAY()),MONTH(TODAY()),1))),6)=0,1,0),IF(Suppliers!E49="Annual",IF(MOD((YEAR(EDATE(DATE(YEAR(TODAY()),MONTH(TODAY()),1),23))-YEAR(IF(ISNUMBER(Suppliers!F49),Suppliers!F49,DATE(YEAR(TODAY()),MONTH(TODAY()),1))))*12+MONTH(EDATE(DATE(YEAR(TODAY()),MONTH(TODAY()),1),23))-MONTH(IF(ISNUMBER(Suppliers!F49),Suppliers!F49,DATE(YEAR(TODAY()),MONTH(TODAY()),1))),12)=0,1,0),IF(Suppliers!E49="One-time",IF(23=0,1,0),1)))))),"")</f>
        <v/>
      </c>
    </row>
    <row r="52" spans="1:30" ht="15" customHeight="1" x14ac:dyDescent="0.35">
      <c r="A52" s="4" t="s">
        <v>80</v>
      </c>
      <c r="B52" s="4" t="str">
        <f>IF(Suppliers!A50="","",Suppliers!A50)</f>
        <v/>
      </c>
      <c r="C52" s="10" t="str">
        <f>IF(Suppliers!C50="","",Suppliers!C50)</f>
        <v/>
      </c>
      <c r="D52" s="10" t="str">
        <f>IF(Suppliers!D50="","",Suppliers!D50)</f>
        <v/>
      </c>
      <c r="E52" s="4" t="str">
        <f>IF(Suppliers!E50="","",Suppliers!E50)</f>
        <v/>
      </c>
      <c r="F52" s="10" t="str">
        <f ca="1">IFERROR(IF(OR(0&gt;=$B$1,Suppliers!A50="",NOT(ISNUMBER(Suppliers!D50)),Suppliers!L50="Expired",Suppliers!L50="Terminate"),"",Suppliers!D50*-1*IF(Suppliers!E50="Monthly",IF(AND(ISNUMBER(Suppliers!G50),(YEAR(EDATE(DATE(YEAR(TODAY()),MONTH(TODAY()),1),0))*12+MONTH(EDATE(DATE(YEAR(TODAY()),MONTH(TODAY()),1),0)))&gt;(YEAR(Suppliers!G50)*12+MONTH(Suppliers!G50))),"",1),IF(Suppliers!E50="Quarterly",IF(MOD((YEAR(EDATE(DATE(YEAR(TODAY()),MONTH(TODAY()),1),0))-YEAR(IF(ISNUMBER(Suppliers!F50),Suppliers!F50,DATE(YEAR(TODAY()),MONTH(TODAY()),1))))*12+MONTH(EDATE(DATE(YEAR(TODAY()),MONTH(TODAY()),1),0))-MONTH(IF(ISNUMBER(Suppliers!F50),Suppliers!F50,DATE(YEAR(TODAY()),MONTH(TODAY()),1))),3)=0,1,0),IF(Suppliers!E50="Semi-annual",IF(MOD((YEAR(EDATE(DATE(YEAR(TODAY()),MONTH(TODAY()),1),0))-YEAR(IF(ISNUMBER(Suppliers!F50),Suppliers!F50,DATE(YEAR(TODAY()),MONTH(TODAY()),1))))*12+MONTH(EDATE(DATE(YEAR(TODAY()),MONTH(TODAY()),1),0))-MONTH(IF(ISNUMBER(Suppliers!F50),Suppliers!F50,DATE(YEAR(TODAY()),MONTH(TODAY()),1))),6)=0,1,0),IF(Suppliers!E50="Annual",IF(MOD((YEAR(EDATE(DATE(YEAR(TODAY()),MONTH(TODAY()),1),0))-YEAR(IF(ISNUMBER(Suppliers!F50),Suppliers!F50,DATE(YEAR(TODAY()),MONTH(TODAY()),1))))*12+MONTH(EDATE(DATE(YEAR(TODAY()),MONTH(TODAY()),1),0))-MONTH(IF(ISNUMBER(Suppliers!F50),Suppliers!F50,DATE(YEAR(TODAY()),MONTH(TODAY()),1))),12)=0,1,0),IF(Suppliers!E50="One-time",IF(0=0,1,0),1)))))),"")</f>
        <v/>
      </c>
      <c r="G52" s="10" t="str">
        <f ca="1">IFERROR(IF(OR(1&gt;=$B$1,Suppliers!A50="",NOT(ISNUMBER(Suppliers!D50)),Suppliers!L50="Expired",Suppliers!L50="Terminate"),"",Suppliers!D50*-1*IF(Suppliers!E50="Monthly",IF(AND(ISNUMBER(Suppliers!G50),(YEAR(EDATE(DATE(YEAR(TODAY()),MONTH(TODAY()),1),1))*12+MONTH(EDATE(DATE(YEAR(TODAY()),MONTH(TODAY()),1),1)))&gt;(YEAR(Suppliers!G50)*12+MONTH(Suppliers!G50))),"",1),IF(Suppliers!E50="Quarterly",IF(MOD((YEAR(EDATE(DATE(YEAR(TODAY()),MONTH(TODAY()),1),1))-YEAR(IF(ISNUMBER(Suppliers!F50),Suppliers!F50,DATE(YEAR(TODAY()),MONTH(TODAY()),1))))*12+MONTH(EDATE(DATE(YEAR(TODAY()),MONTH(TODAY()),1),1))-MONTH(IF(ISNUMBER(Suppliers!F50),Suppliers!F50,DATE(YEAR(TODAY()),MONTH(TODAY()),1))),3)=0,1,0),IF(Suppliers!E50="Semi-annual",IF(MOD((YEAR(EDATE(DATE(YEAR(TODAY()),MONTH(TODAY()),1),1))-YEAR(IF(ISNUMBER(Suppliers!F50),Suppliers!F50,DATE(YEAR(TODAY()),MONTH(TODAY()),1))))*12+MONTH(EDATE(DATE(YEAR(TODAY()),MONTH(TODAY()),1),1))-MONTH(IF(ISNUMBER(Suppliers!F50),Suppliers!F50,DATE(YEAR(TODAY()),MONTH(TODAY()),1))),6)=0,1,0),IF(Suppliers!E50="Annual",IF(MOD((YEAR(EDATE(DATE(YEAR(TODAY()),MONTH(TODAY()),1),1))-YEAR(IF(ISNUMBER(Suppliers!F50),Suppliers!F50,DATE(YEAR(TODAY()),MONTH(TODAY()),1))))*12+MONTH(EDATE(DATE(YEAR(TODAY()),MONTH(TODAY()),1),1))-MONTH(IF(ISNUMBER(Suppliers!F50),Suppliers!F50,DATE(YEAR(TODAY()),MONTH(TODAY()),1))),12)=0,1,0),IF(Suppliers!E50="One-time",IF(1=0,1,0),1)))))),"")</f>
        <v/>
      </c>
      <c r="H52" s="10" t="str">
        <f ca="1">IFERROR(IF(OR(2&gt;=$B$1,Suppliers!A50="",NOT(ISNUMBER(Suppliers!D50)),Suppliers!L50="Expired",Suppliers!L50="Terminate"),"",Suppliers!D50*-1*IF(Suppliers!E50="Monthly",IF(AND(ISNUMBER(Suppliers!G50),(YEAR(EDATE(DATE(YEAR(TODAY()),MONTH(TODAY()),1),2))*12+MONTH(EDATE(DATE(YEAR(TODAY()),MONTH(TODAY()),1),2)))&gt;(YEAR(Suppliers!G50)*12+MONTH(Suppliers!G50))),"",1),IF(Suppliers!E50="Quarterly",IF(MOD((YEAR(EDATE(DATE(YEAR(TODAY()),MONTH(TODAY()),1),2))-YEAR(IF(ISNUMBER(Suppliers!F50),Suppliers!F50,DATE(YEAR(TODAY()),MONTH(TODAY()),1))))*12+MONTH(EDATE(DATE(YEAR(TODAY()),MONTH(TODAY()),1),2))-MONTH(IF(ISNUMBER(Suppliers!F50),Suppliers!F50,DATE(YEAR(TODAY()),MONTH(TODAY()),1))),3)=0,1,0),IF(Suppliers!E50="Semi-annual",IF(MOD((YEAR(EDATE(DATE(YEAR(TODAY()),MONTH(TODAY()),1),2))-YEAR(IF(ISNUMBER(Suppliers!F50),Suppliers!F50,DATE(YEAR(TODAY()),MONTH(TODAY()),1))))*12+MONTH(EDATE(DATE(YEAR(TODAY()),MONTH(TODAY()),1),2))-MONTH(IF(ISNUMBER(Suppliers!F50),Suppliers!F50,DATE(YEAR(TODAY()),MONTH(TODAY()),1))),6)=0,1,0),IF(Suppliers!E50="Annual",IF(MOD((YEAR(EDATE(DATE(YEAR(TODAY()),MONTH(TODAY()),1),2))-YEAR(IF(ISNUMBER(Suppliers!F50),Suppliers!F50,DATE(YEAR(TODAY()),MONTH(TODAY()),1))))*12+MONTH(EDATE(DATE(YEAR(TODAY()),MONTH(TODAY()),1),2))-MONTH(IF(ISNUMBER(Suppliers!F50),Suppliers!F50,DATE(YEAR(TODAY()),MONTH(TODAY()),1))),12)=0,1,0),IF(Suppliers!E50="One-time",IF(2=0,1,0),1)))))),"")</f>
        <v/>
      </c>
      <c r="I52" s="10" t="str">
        <f ca="1">IFERROR(IF(OR(3&gt;=$B$1,Suppliers!A50="",NOT(ISNUMBER(Suppliers!D50)),Suppliers!L50="Expired",Suppliers!L50="Terminate"),"",Suppliers!D50*-1*IF(Suppliers!E50="Monthly",IF(AND(ISNUMBER(Suppliers!G50),(YEAR(EDATE(DATE(YEAR(TODAY()),MONTH(TODAY()),1),3))*12+MONTH(EDATE(DATE(YEAR(TODAY()),MONTH(TODAY()),1),3)))&gt;(YEAR(Suppliers!G50)*12+MONTH(Suppliers!G50))),"",1),IF(Suppliers!E50="Quarterly",IF(MOD((YEAR(EDATE(DATE(YEAR(TODAY()),MONTH(TODAY()),1),3))-YEAR(IF(ISNUMBER(Suppliers!F50),Suppliers!F50,DATE(YEAR(TODAY()),MONTH(TODAY()),1))))*12+MONTH(EDATE(DATE(YEAR(TODAY()),MONTH(TODAY()),1),3))-MONTH(IF(ISNUMBER(Suppliers!F50),Suppliers!F50,DATE(YEAR(TODAY()),MONTH(TODAY()),1))),3)=0,1,0),IF(Suppliers!E50="Semi-annual",IF(MOD((YEAR(EDATE(DATE(YEAR(TODAY()),MONTH(TODAY()),1),3))-YEAR(IF(ISNUMBER(Suppliers!F50),Suppliers!F50,DATE(YEAR(TODAY()),MONTH(TODAY()),1))))*12+MONTH(EDATE(DATE(YEAR(TODAY()),MONTH(TODAY()),1),3))-MONTH(IF(ISNUMBER(Suppliers!F50),Suppliers!F50,DATE(YEAR(TODAY()),MONTH(TODAY()),1))),6)=0,1,0),IF(Suppliers!E50="Annual",IF(MOD((YEAR(EDATE(DATE(YEAR(TODAY()),MONTH(TODAY()),1),3))-YEAR(IF(ISNUMBER(Suppliers!F50),Suppliers!F50,DATE(YEAR(TODAY()),MONTH(TODAY()),1))))*12+MONTH(EDATE(DATE(YEAR(TODAY()),MONTH(TODAY()),1),3))-MONTH(IF(ISNUMBER(Suppliers!F50),Suppliers!F50,DATE(YEAR(TODAY()),MONTH(TODAY()),1))),12)=0,1,0),IF(Suppliers!E50="One-time",IF(3=0,1,0),1)))))),"")</f>
        <v/>
      </c>
      <c r="J52" s="10" t="str">
        <f ca="1">IFERROR(IF(OR(4&gt;=$B$1,Suppliers!A50="",NOT(ISNUMBER(Suppliers!D50)),Suppliers!L50="Expired",Suppliers!L50="Terminate"),"",Suppliers!D50*-1*IF(Suppliers!E50="Monthly",IF(AND(ISNUMBER(Suppliers!G50),(YEAR(EDATE(DATE(YEAR(TODAY()),MONTH(TODAY()),1),4))*12+MONTH(EDATE(DATE(YEAR(TODAY()),MONTH(TODAY()),1),4)))&gt;(YEAR(Suppliers!G50)*12+MONTH(Suppliers!G50))),"",1),IF(Suppliers!E50="Quarterly",IF(MOD((YEAR(EDATE(DATE(YEAR(TODAY()),MONTH(TODAY()),1),4))-YEAR(IF(ISNUMBER(Suppliers!F50),Suppliers!F50,DATE(YEAR(TODAY()),MONTH(TODAY()),1))))*12+MONTH(EDATE(DATE(YEAR(TODAY()),MONTH(TODAY()),1),4))-MONTH(IF(ISNUMBER(Suppliers!F50),Suppliers!F50,DATE(YEAR(TODAY()),MONTH(TODAY()),1))),3)=0,1,0),IF(Suppliers!E50="Semi-annual",IF(MOD((YEAR(EDATE(DATE(YEAR(TODAY()),MONTH(TODAY()),1),4))-YEAR(IF(ISNUMBER(Suppliers!F50),Suppliers!F50,DATE(YEAR(TODAY()),MONTH(TODAY()),1))))*12+MONTH(EDATE(DATE(YEAR(TODAY()),MONTH(TODAY()),1),4))-MONTH(IF(ISNUMBER(Suppliers!F50),Suppliers!F50,DATE(YEAR(TODAY()),MONTH(TODAY()),1))),6)=0,1,0),IF(Suppliers!E50="Annual",IF(MOD((YEAR(EDATE(DATE(YEAR(TODAY()),MONTH(TODAY()),1),4))-YEAR(IF(ISNUMBER(Suppliers!F50),Suppliers!F50,DATE(YEAR(TODAY()),MONTH(TODAY()),1))))*12+MONTH(EDATE(DATE(YEAR(TODAY()),MONTH(TODAY()),1),4))-MONTH(IF(ISNUMBER(Suppliers!F50),Suppliers!F50,DATE(YEAR(TODAY()),MONTH(TODAY()),1))),12)=0,1,0),IF(Suppliers!E50="One-time",IF(4=0,1,0),1)))))),"")</f>
        <v/>
      </c>
      <c r="K52" s="10" t="str">
        <f ca="1">IFERROR(IF(OR(5&gt;=$B$1,Suppliers!A50="",NOT(ISNUMBER(Suppliers!D50)),Suppliers!L50="Expired",Suppliers!L50="Terminate"),"",Suppliers!D50*-1*IF(Suppliers!E50="Monthly",IF(AND(ISNUMBER(Suppliers!G50),(YEAR(EDATE(DATE(YEAR(TODAY()),MONTH(TODAY()),1),5))*12+MONTH(EDATE(DATE(YEAR(TODAY()),MONTH(TODAY()),1),5)))&gt;(YEAR(Suppliers!G50)*12+MONTH(Suppliers!G50))),"",1),IF(Suppliers!E50="Quarterly",IF(MOD((YEAR(EDATE(DATE(YEAR(TODAY()),MONTH(TODAY()),1),5))-YEAR(IF(ISNUMBER(Suppliers!F50),Suppliers!F50,DATE(YEAR(TODAY()),MONTH(TODAY()),1))))*12+MONTH(EDATE(DATE(YEAR(TODAY()),MONTH(TODAY()),1),5))-MONTH(IF(ISNUMBER(Suppliers!F50),Suppliers!F50,DATE(YEAR(TODAY()),MONTH(TODAY()),1))),3)=0,1,0),IF(Suppliers!E50="Semi-annual",IF(MOD((YEAR(EDATE(DATE(YEAR(TODAY()),MONTH(TODAY()),1),5))-YEAR(IF(ISNUMBER(Suppliers!F50),Suppliers!F50,DATE(YEAR(TODAY()),MONTH(TODAY()),1))))*12+MONTH(EDATE(DATE(YEAR(TODAY()),MONTH(TODAY()),1),5))-MONTH(IF(ISNUMBER(Suppliers!F50),Suppliers!F50,DATE(YEAR(TODAY()),MONTH(TODAY()),1))),6)=0,1,0),IF(Suppliers!E50="Annual",IF(MOD((YEAR(EDATE(DATE(YEAR(TODAY()),MONTH(TODAY()),1),5))-YEAR(IF(ISNUMBER(Suppliers!F50),Suppliers!F50,DATE(YEAR(TODAY()),MONTH(TODAY()),1))))*12+MONTH(EDATE(DATE(YEAR(TODAY()),MONTH(TODAY()),1),5))-MONTH(IF(ISNUMBER(Suppliers!F50),Suppliers!F50,DATE(YEAR(TODAY()),MONTH(TODAY()),1))),12)=0,1,0),IF(Suppliers!E50="One-time",IF(5=0,1,0),1)))))),"")</f>
        <v/>
      </c>
      <c r="L52" s="10" t="str">
        <f ca="1">IFERROR(IF(OR(6&gt;=$B$1,Suppliers!A50="",NOT(ISNUMBER(Suppliers!D50)),Suppliers!L50="Expired",Suppliers!L50="Terminate"),"",Suppliers!D50*-1*IF(Suppliers!E50="Monthly",IF(AND(ISNUMBER(Suppliers!G50),(YEAR(EDATE(DATE(YEAR(TODAY()),MONTH(TODAY()),1),6))*12+MONTH(EDATE(DATE(YEAR(TODAY()),MONTH(TODAY()),1),6)))&gt;(YEAR(Suppliers!G50)*12+MONTH(Suppliers!G50))),"",1),IF(Suppliers!E50="Quarterly",IF(MOD((YEAR(EDATE(DATE(YEAR(TODAY()),MONTH(TODAY()),1),6))-YEAR(IF(ISNUMBER(Suppliers!F50),Suppliers!F50,DATE(YEAR(TODAY()),MONTH(TODAY()),1))))*12+MONTH(EDATE(DATE(YEAR(TODAY()),MONTH(TODAY()),1),6))-MONTH(IF(ISNUMBER(Suppliers!F50),Suppliers!F50,DATE(YEAR(TODAY()),MONTH(TODAY()),1))),3)=0,1,0),IF(Suppliers!E50="Semi-annual",IF(MOD((YEAR(EDATE(DATE(YEAR(TODAY()),MONTH(TODAY()),1),6))-YEAR(IF(ISNUMBER(Suppliers!F50),Suppliers!F50,DATE(YEAR(TODAY()),MONTH(TODAY()),1))))*12+MONTH(EDATE(DATE(YEAR(TODAY()),MONTH(TODAY()),1),6))-MONTH(IF(ISNUMBER(Suppliers!F50),Suppliers!F50,DATE(YEAR(TODAY()),MONTH(TODAY()),1))),6)=0,1,0),IF(Suppliers!E50="Annual",IF(MOD((YEAR(EDATE(DATE(YEAR(TODAY()),MONTH(TODAY()),1),6))-YEAR(IF(ISNUMBER(Suppliers!F50),Suppliers!F50,DATE(YEAR(TODAY()),MONTH(TODAY()),1))))*12+MONTH(EDATE(DATE(YEAR(TODAY()),MONTH(TODAY()),1),6))-MONTH(IF(ISNUMBER(Suppliers!F50),Suppliers!F50,DATE(YEAR(TODAY()),MONTH(TODAY()),1))),12)=0,1,0),IF(Suppliers!E50="One-time",IF(6=0,1,0),1)))))),"")</f>
        <v/>
      </c>
      <c r="M52" s="10" t="str">
        <f ca="1">IFERROR(IF(OR(7&gt;=$B$1,Suppliers!A50="",NOT(ISNUMBER(Suppliers!D50)),Suppliers!L50="Expired",Suppliers!L50="Terminate"),"",Suppliers!D50*-1*IF(Suppliers!E50="Monthly",IF(AND(ISNUMBER(Suppliers!G50),(YEAR(EDATE(DATE(YEAR(TODAY()),MONTH(TODAY()),1),7))*12+MONTH(EDATE(DATE(YEAR(TODAY()),MONTH(TODAY()),1),7)))&gt;(YEAR(Suppliers!G50)*12+MONTH(Suppliers!G50))),"",1),IF(Suppliers!E50="Quarterly",IF(MOD((YEAR(EDATE(DATE(YEAR(TODAY()),MONTH(TODAY()),1),7))-YEAR(IF(ISNUMBER(Suppliers!F50),Suppliers!F50,DATE(YEAR(TODAY()),MONTH(TODAY()),1))))*12+MONTH(EDATE(DATE(YEAR(TODAY()),MONTH(TODAY()),1),7))-MONTH(IF(ISNUMBER(Suppliers!F50),Suppliers!F50,DATE(YEAR(TODAY()),MONTH(TODAY()),1))),3)=0,1,0),IF(Suppliers!E50="Semi-annual",IF(MOD((YEAR(EDATE(DATE(YEAR(TODAY()),MONTH(TODAY()),1),7))-YEAR(IF(ISNUMBER(Suppliers!F50),Suppliers!F50,DATE(YEAR(TODAY()),MONTH(TODAY()),1))))*12+MONTH(EDATE(DATE(YEAR(TODAY()),MONTH(TODAY()),1),7))-MONTH(IF(ISNUMBER(Suppliers!F50),Suppliers!F50,DATE(YEAR(TODAY()),MONTH(TODAY()),1))),6)=0,1,0),IF(Suppliers!E50="Annual",IF(MOD((YEAR(EDATE(DATE(YEAR(TODAY()),MONTH(TODAY()),1),7))-YEAR(IF(ISNUMBER(Suppliers!F50),Suppliers!F50,DATE(YEAR(TODAY()),MONTH(TODAY()),1))))*12+MONTH(EDATE(DATE(YEAR(TODAY()),MONTH(TODAY()),1),7))-MONTH(IF(ISNUMBER(Suppliers!F50),Suppliers!F50,DATE(YEAR(TODAY()),MONTH(TODAY()),1))),12)=0,1,0),IF(Suppliers!E50="One-time",IF(7=0,1,0),1)))))),"")</f>
        <v/>
      </c>
      <c r="N52" s="10" t="str">
        <f ca="1">IFERROR(IF(OR(8&gt;=$B$1,Suppliers!A50="",NOT(ISNUMBER(Suppliers!D50)),Suppliers!L50="Expired",Suppliers!L50="Terminate"),"",Suppliers!D50*-1*IF(Suppliers!E50="Monthly",IF(AND(ISNUMBER(Suppliers!G50),(YEAR(EDATE(DATE(YEAR(TODAY()),MONTH(TODAY()),1),8))*12+MONTH(EDATE(DATE(YEAR(TODAY()),MONTH(TODAY()),1),8)))&gt;(YEAR(Suppliers!G50)*12+MONTH(Suppliers!G50))),"",1),IF(Suppliers!E50="Quarterly",IF(MOD((YEAR(EDATE(DATE(YEAR(TODAY()),MONTH(TODAY()),1),8))-YEAR(IF(ISNUMBER(Suppliers!F50),Suppliers!F50,DATE(YEAR(TODAY()),MONTH(TODAY()),1))))*12+MONTH(EDATE(DATE(YEAR(TODAY()),MONTH(TODAY()),1),8))-MONTH(IF(ISNUMBER(Suppliers!F50),Suppliers!F50,DATE(YEAR(TODAY()),MONTH(TODAY()),1))),3)=0,1,0),IF(Suppliers!E50="Semi-annual",IF(MOD((YEAR(EDATE(DATE(YEAR(TODAY()),MONTH(TODAY()),1),8))-YEAR(IF(ISNUMBER(Suppliers!F50),Suppliers!F50,DATE(YEAR(TODAY()),MONTH(TODAY()),1))))*12+MONTH(EDATE(DATE(YEAR(TODAY()),MONTH(TODAY()),1),8))-MONTH(IF(ISNUMBER(Suppliers!F50),Suppliers!F50,DATE(YEAR(TODAY()),MONTH(TODAY()),1))),6)=0,1,0),IF(Suppliers!E50="Annual",IF(MOD((YEAR(EDATE(DATE(YEAR(TODAY()),MONTH(TODAY()),1),8))-YEAR(IF(ISNUMBER(Suppliers!F50),Suppliers!F50,DATE(YEAR(TODAY()),MONTH(TODAY()),1))))*12+MONTH(EDATE(DATE(YEAR(TODAY()),MONTH(TODAY()),1),8))-MONTH(IF(ISNUMBER(Suppliers!F50),Suppliers!F50,DATE(YEAR(TODAY()),MONTH(TODAY()),1))),12)=0,1,0),IF(Suppliers!E50="One-time",IF(8=0,1,0),1)))))),"")</f>
        <v/>
      </c>
      <c r="O52" s="10" t="str">
        <f ca="1">IFERROR(IF(OR(9&gt;=$B$1,Suppliers!A50="",NOT(ISNUMBER(Suppliers!D50)),Suppliers!L50="Expired",Suppliers!L50="Terminate"),"",Suppliers!D50*-1*IF(Suppliers!E50="Monthly",IF(AND(ISNUMBER(Suppliers!G50),(YEAR(EDATE(DATE(YEAR(TODAY()),MONTH(TODAY()),1),9))*12+MONTH(EDATE(DATE(YEAR(TODAY()),MONTH(TODAY()),1),9)))&gt;(YEAR(Suppliers!G50)*12+MONTH(Suppliers!G50))),"",1),IF(Suppliers!E50="Quarterly",IF(MOD((YEAR(EDATE(DATE(YEAR(TODAY()),MONTH(TODAY()),1),9))-YEAR(IF(ISNUMBER(Suppliers!F50),Suppliers!F50,DATE(YEAR(TODAY()),MONTH(TODAY()),1))))*12+MONTH(EDATE(DATE(YEAR(TODAY()),MONTH(TODAY()),1),9))-MONTH(IF(ISNUMBER(Suppliers!F50),Suppliers!F50,DATE(YEAR(TODAY()),MONTH(TODAY()),1))),3)=0,1,0),IF(Suppliers!E50="Semi-annual",IF(MOD((YEAR(EDATE(DATE(YEAR(TODAY()),MONTH(TODAY()),1),9))-YEAR(IF(ISNUMBER(Suppliers!F50),Suppliers!F50,DATE(YEAR(TODAY()),MONTH(TODAY()),1))))*12+MONTH(EDATE(DATE(YEAR(TODAY()),MONTH(TODAY()),1),9))-MONTH(IF(ISNUMBER(Suppliers!F50),Suppliers!F50,DATE(YEAR(TODAY()),MONTH(TODAY()),1))),6)=0,1,0),IF(Suppliers!E50="Annual",IF(MOD((YEAR(EDATE(DATE(YEAR(TODAY()),MONTH(TODAY()),1),9))-YEAR(IF(ISNUMBER(Suppliers!F50),Suppliers!F50,DATE(YEAR(TODAY()),MONTH(TODAY()),1))))*12+MONTH(EDATE(DATE(YEAR(TODAY()),MONTH(TODAY()),1),9))-MONTH(IF(ISNUMBER(Suppliers!F50),Suppliers!F50,DATE(YEAR(TODAY()),MONTH(TODAY()),1))),12)=0,1,0),IF(Suppliers!E50="One-time",IF(9=0,1,0),1)))))),"")</f>
        <v/>
      </c>
      <c r="P52" s="10" t="str">
        <f ca="1">IFERROR(IF(OR(10&gt;=$B$1,Suppliers!A50="",NOT(ISNUMBER(Suppliers!D50)),Suppliers!L50="Expired",Suppliers!L50="Terminate"),"",Suppliers!D50*-1*IF(Suppliers!E50="Monthly",IF(AND(ISNUMBER(Suppliers!G50),(YEAR(EDATE(DATE(YEAR(TODAY()),MONTH(TODAY()),1),10))*12+MONTH(EDATE(DATE(YEAR(TODAY()),MONTH(TODAY()),1),10)))&gt;(YEAR(Suppliers!G50)*12+MONTH(Suppliers!G50))),"",1),IF(Suppliers!E50="Quarterly",IF(MOD((YEAR(EDATE(DATE(YEAR(TODAY()),MONTH(TODAY()),1),10))-YEAR(IF(ISNUMBER(Suppliers!F50),Suppliers!F50,DATE(YEAR(TODAY()),MONTH(TODAY()),1))))*12+MONTH(EDATE(DATE(YEAR(TODAY()),MONTH(TODAY()),1),10))-MONTH(IF(ISNUMBER(Suppliers!F50),Suppliers!F50,DATE(YEAR(TODAY()),MONTH(TODAY()),1))),3)=0,1,0),IF(Suppliers!E50="Semi-annual",IF(MOD((YEAR(EDATE(DATE(YEAR(TODAY()),MONTH(TODAY()),1),10))-YEAR(IF(ISNUMBER(Suppliers!F50),Suppliers!F50,DATE(YEAR(TODAY()),MONTH(TODAY()),1))))*12+MONTH(EDATE(DATE(YEAR(TODAY()),MONTH(TODAY()),1),10))-MONTH(IF(ISNUMBER(Suppliers!F50),Suppliers!F50,DATE(YEAR(TODAY()),MONTH(TODAY()),1))),6)=0,1,0),IF(Suppliers!E50="Annual",IF(MOD((YEAR(EDATE(DATE(YEAR(TODAY()),MONTH(TODAY()),1),10))-YEAR(IF(ISNUMBER(Suppliers!F50),Suppliers!F50,DATE(YEAR(TODAY()),MONTH(TODAY()),1))))*12+MONTH(EDATE(DATE(YEAR(TODAY()),MONTH(TODAY()),1),10))-MONTH(IF(ISNUMBER(Suppliers!F50),Suppliers!F50,DATE(YEAR(TODAY()),MONTH(TODAY()),1))),12)=0,1,0),IF(Suppliers!E50="One-time",IF(10=0,1,0),1)))))),"")</f>
        <v/>
      </c>
      <c r="Q52" s="10" t="str">
        <f ca="1">IFERROR(IF(OR(11&gt;=$B$1,Suppliers!A50="",NOT(ISNUMBER(Suppliers!D50)),Suppliers!L50="Expired",Suppliers!L50="Terminate"),"",Suppliers!D50*-1*IF(Suppliers!E50="Monthly",IF(AND(ISNUMBER(Suppliers!G50),(YEAR(EDATE(DATE(YEAR(TODAY()),MONTH(TODAY()),1),11))*12+MONTH(EDATE(DATE(YEAR(TODAY()),MONTH(TODAY()),1),11)))&gt;(YEAR(Suppliers!G50)*12+MONTH(Suppliers!G50))),"",1),IF(Suppliers!E50="Quarterly",IF(MOD((YEAR(EDATE(DATE(YEAR(TODAY()),MONTH(TODAY()),1),11))-YEAR(IF(ISNUMBER(Suppliers!F50),Suppliers!F50,DATE(YEAR(TODAY()),MONTH(TODAY()),1))))*12+MONTH(EDATE(DATE(YEAR(TODAY()),MONTH(TODAY()),1),11))-MONTH(IF(ISNUMBER(Suppliers!F50),Suppliers!F50,DATE(YEAR(TODAY()),MONTH(TODAY()),1))),3)=0,1,0),IF(Suppliers!E50="Semi-annual",IF(MOD((YEAR(EDATE(DATE(YEAR(TODAY()),MONTH(TODAY()),1),11))-YEAR(IF(ISNUMBER(Suppliers!F50),Suppliers!F50,DATE(YEAR(TODAY()),MONTH(TODAY()),1))))*12+MONTH(EDATE(DATE(YEAR(TODAY()),MONTH(TODAY()),1),11))-MONTH(IF(ISNUMBER(Suppliers!F50),Suppliers!F50,DATE(YEAR(TODAY()),MONTH(TODAY()),1))),6)=0,1,0),IF(Suppliers!E50="Annual",IF(MOD((YEAR(EDATE(DATE(YEAR(TODAY()),MONTH(TODAY()),1),11))-YEAR(IF(ISNUMBER(Suppliers!F50),Suppliers!F50,DATE(YEAR(TODAY()),MONTH(TODAY()),1))))*12+MONTH(EDATE(DATE(YEAR(TODAY()),MONTH(TODAY()),1),11))-MONTH(IF(ISNUMBER(Suppliers!F50),Suppliers!F50,DATE(YEAR(TODAY()),MONTH(TODAY()),1))),12)=0,1,0),IF(Suppliers!E50="One-time",IF(11=0,1,0),1)))))),"")</f>
        <v/>
      </c>
      <c r="R52" s="10" t="str">
        <f ca="1">IFERROR(IF(OR(12&gt;=$B$1,Suppliers!A50="",NOT(ISNUMBER(Suppliers!D50)),Suppliers!L50="Expired",Suppliers!L50="Terminate"),"",Suppliers!D50*-1*IF(Suppliers!E50="Monthly",IF(AND(ISNUMBER(Suppliers!G50),(YEAR(EDATE(DATE(YEAR(TODAY()),MONTH(TODAY()),1),12))*12+MONTH(EDATE(DATE(YEAR(TODAY()),MONTH(TODAY()),1),12)))&gt;(YEAR(Suppliers!G50)*12+MONTH(Suppliers!G50))),"",1),IF(Suppliers!E50="Quarterly",IF(MOD((YEAR(EDATE(DATE(YEAR(TODAY()),MONTH(TODAY()),1),12))-YEAR(IF(ISNUMBER(Suppliers!F50),Suppliers!F50,DATE(YEAR(TODAY()),MONTH(TODAY()),1))))*12+MONTH(EDATE(DATE(YEAR(TODAY()),MONTH(TODAY()),1),12))-MONTH(IF(ISNUMBER(Suppliers!F50),Suppliers!F50,DATE(YEAR(TODAY()),MONTH(TODAY()),1))),3)=0,1,0),IF(Suppliers!E50="Semi-annual",IF(MOD((YEAR(EDATE(DATE(YEAR(TODAY()),MONTH(TODAY()),1),12))-YEAR(IF(ISNUMBER(Suppliers!F50),Suppliers!F50,DATE(YEAR(TODAY()),MONTH(TODAY()),1))))*12+MONTH(EDATE(DATE(YEAR(TODAY()),MONTH(TODAY()),1),12))-MONTH(IF(ISNUMBER(Suppliers!F50),Suppliers!F50,DATE(YEAR(TODAY()),MONTH(TODAY()),1))),6)=0,1,0),IF(Suppliers!E50="Annual",IF(MOD((YEAR(EDATE(DATE(YEAR(TODAY()),MONTH(TODAY()),1),12))-YEAR(IF(ISNUMBER(Suppliers!F50),Suppliers!F50,DATE(YEAR(TODAY()),MONTH(TODAY()),1))))*12+MONTH(EDATE(DATE(YEAR(TODAY()),MONTH(TODAY()),1),12))-MONTH(IF(ISNUMBER(Suppliers!F50),Suppliers!F50,DATE(YEAR(TODAY()),MONTH(TODAY()),1))),12)=0,1,0),IF(Suppliers!E50="One-time",IF(12=0,1,0),1)))))),"")</f>
        <v/>
      </c>
      <c r="S52" s="10" t="str">
        <f ca="1">IFERROR(IF(OR(13&gt;=$B$1,Suppliers!A50="",NOT(ISNUMBER(Suppliers!D50)),Suppliers!L50="Expired",Suppliers!L50="Terminate"),"",Suppliers!D50*-1*IF(Suppliers!E50="Monthly",IF(AND(ISNUMBER(Suppliers!G50),(YEAR(EDATE(DATE(YEAR(TODAY()),MONTH(TODAY()),1),13))*12+MONTH(EDATE(DATE(YEAR(TODAY()),MONTH(TODAY()),1),13)))&gt;(YEAR(Suppliers!G50)*12+MONTH(Suppliers!G50))),"",1),IF(Suppliers!E50="Quarterly",IF(MOD((YEAR(EDATE(DATE(YEAR(TODAY()),MONTH(TODAY()),1),13))-YEAR(IF(ISNUMBER(Suppliers!F50),Suppliers!F50,DATE(YEAR(TODAY()),MONTH(TODAY()),1))))*12+MONTH(EDATE(DATE(YEAR(TODAY()),MONTH(TODAY()),1),13))-MONTH(IF(ISNUMBER(Suppliers!F50),Suppliers!F50,DATE(YEAR(TODAY()),MONTH(TODAY()),1))),3)=0,1,0),IF(Suppliers!E50="Semi-annual",IF(MOD((YEAR(EDATE(DATE(YEAR(TODAY()),MONTH(TODAY()),1),13))-YEAR(IF(ISNUMBER(Suppliers!F50),Suppliers!F50,DATE(YEAR(TODAY()),MONTH(TODAY()),1))))*12+MONTH(EDATE(DATE(YEAR(TODAY()),MONTH(TODAY()),1),13))-MONTH(IF(ISNUMBER(Suppliers!F50),Suppliers!F50,DATE(YEAR(TODAY()),MONTH(TODAY()),1))),6)=0,1,0),IF(Suppliers!E50="Annual",IF(MOD((YEAR(EDATE(DATE(YEAR(TODAY()),MONTH(TODAY()),1),13))-YEAR(IF(ISNUMBER(Suppliers!F50),Suppliers!F50,DATE(YEAR(TODAY()),MONTH(TODAY()),1))))*12+MONTH(EDATE(DATE(YEAR(TODAY()),MONTH(TODAY()),1),13))-MONTH(IF(ISNUMBER(Suppliers!F50),Suppliers!F50,DATE(YEAR(TODAY()),MONTH(TODAY()),1))),12)=0,1,0),IF(Suppliers!E50="One-time",IF(13=0,1,0),1)))))),"")</f>
        <v/>
      </c>
      <c r="T52" s="10" t="str">
        <f ca="1">IFERROR(IF(OR(14&gt;=$B$1,Suppliers!A50="",NOT(ISNUMBER(Suppliers!D50)),Suppliers!L50="Expired",Suppliers!L50="Terminate"),"",Suppliers!D50*-1*IF(Suppliers!E50="Monthly",IF(AND(ISNUMBER(Suppliers!G50),(YEAR(EDATE(DATE(YEAR(TODAY()),MONTH(TODAY()),1),14))*12+MONTH(EDATE(DATE(YEAR(TODAY()),MONTH(TODAY()),1),14)))&gt;(YEAR(Suppliers!G50)*12+MONTH(Suppliers!G50))),"",1),IF(Suppliers!E50="Quarterly",IF(MOD((YEAR(EDATE(DATE(YEAR(TODAY()),MONTH(TODAY()),1),14))-YEAR(IF(ISNUMBER(Suppliers!F50),Suppliers!F50,DATE(YEAR(TODAY()),MONTH(TODAY()),1))))*12+MONTH(EDATE(DATE(YEAR(TODAY()),MONTH(TODAY()),1),14))-MONTH(IF(ISNUMBER(Suppliers!F50),Suppliers!F50,DATE(YEAR(TODAY()),MONTH(TODAY()),1))),3)=0,1,0),IF(Suppliers!E50="Semi-annual",IF(MOD((YEAR(EDATE(DATE(YEAR(TODAY()),MONTH(TODAY()),1),14))-YEAR(IF(ISNUMBER(Suppliers!F50),Suppliers!F50,DATE(YEAR(TODAY()),MONTH(TODAY()),1))))*12+MONTH(EDATE(DATE(YEAR(TODAY()),MONTH(TODAY()),1),14))-MONTH(IF(ISNUMBER(Suppliers!F50),Suppliers!F50,DATE(YEAR(TODAY()),MONTH(TODAY()),1))),6)=0,1,0),IF(Suppliers!E50="Annual",IF(MOD((YEAR(EDATE(DATE(YEAR(TODAY()),MONTH(TODAY()),1),14))-YEAR(IF(ISNUMBER(Suppliers!F50),Suppliers!F50,DATE(YEAR(TODAY()),MONTH(TODAY()),1))))*12+MONTH(EDATE(DATE(YEAR(TODAY()),MONTH(TODAY()),1),14))-MONTH(IF(ISNUMBER(Suppliers!F50),Suppliers!F50,DATE(YEAR(TODAY()),MONTH(TODAY()),1))),12)=0,1,0),IF(Suppliers!E50="One-time",IF(14=0,1,0),1)))))),"")</f>
        <v/>
      </c>
      <c r="U52" s="10" t="str">
        <f ca="1">IFERROR(IF(OR(15&gt;=$B$1,Suppliers!A50="",NOT(ISNUMBER(Suppliers!D50)),Suppliers!L50="Expired",Suppliers!L50="Terminate"),"",Suppliers!D50*-1*IF(Suppliers!E50="Monthly",IF(AND(ISNUMBER(Suppliers!G50),(YEAR(EDATE(DATE(YEAR(TODAY()),MONTH(TODAY()),1),15))*12+MONTH(EDATE(DATE(YEAR(TODAY()),MONTH(TODAY()),1),15)))&gt;(YEAR(Suppliers!G50)*12+MONTH(Suppliers!G50))),"",1),IF(Suppliers!E50="Quarterly",IF(MOD((YEAR(EDATE(DATE(YEAR(TODAY()),MONTH(TODAY()),1),15))-YEAR(IF(ISNUMBER(Suppliers!F50),Suppliers!F50,DATE(YEAR(TODAY()),MONTH(TODAY()),1))))*12+MONTH(EDATE(DATE(YEAR(TODAY()),MONTH(TODAY()),1),15))-MONTH(IF(ISNUMBER(Suppliers!F50),Suppliers!F50,DATE(YEAR(TODAY()),MONTH(TODAY()),1))),3)=0,1,0),IF(Suppliers!E50="Semi-annual",IF(MOD((YEAR(EDATE(DATE(YEAR(TODAY()),MONTH(TODAY()),1),15))-YEAR(IF(ISNUMBER(Suppliers!F50),Suppliers!F50,DATE(YEAR(TODAY()),MONTH(TODAY()),1))))*12+MONTH(EDATE(DATE(YEAR(TODAY()),MONTH(TODAY()),1),15))-MONTH(IF(ISNUMBER(Suppliers!F50),Suppliers!F50,DATE(YEAR(TODAY()),MONTH(TODAY()),1))),6)=0,1,0),IF(Suppliers!E50="Annual",IF(MOD((YEAR(EDATE(DATE(YEAR(TODAY()),MONTH(TODAY()),1),15))-YEAR(IF(ISNUMBER(Suppliers!F50),Suppliers!F50,DATE(YEAR(TODAY()),MONTH(TODAY()),1))))*12+MONTH(EDATE(DATE(YEAR(TODAY()),MONTH(TODAY()),1),15))-MONTH(IF(ISNUMBER(Suppliers!F50),Suppliers!F50,DATE(YEAR(TODAY()),MONTH(TODAY()),1))),12)=0,1,0),IF(Suppliers!E50="One-time",IF(15=0,1,0),1)))))),"")</f>
        <v/>
      </c>
      <c r="V52" s="10" t="str">
        <f ca="1">IFERROR(IF(OR(16&gt;=$B$1,Suppliers!A50="",NOT(ISNUMBER(Suppliers!D50)),Suppliers!L50="Expired",Suppliers!L50="Terminate"),"",Suppliers!D50*-1*IF(Suppliers!E50="Monthly",IF(AND(ISNUMBER(Suppliers!G50),(YEAR(EDATE(DATE(YEAR(TODAY()),MONTH(TODAY()),1),16))*12+MONTH(EDATE(DATE(YEAR(TODAY()),MONTH(TODAY()),1),16)))&gt;(YEAR(Suppliers!G50)*12+MONTH(Suppliers!G50))),"",1),IF(Suppliers!E50="Quarterly",IF(MOD((YEAR(EDATE(DATE(YEAR(TODAY()),MONTH(TODAY()),1),16))-YEAR(IF(ISNUMBER(Suppliers!F50),Suppliers!F50,DATE(YEAR(TODAY()),MONTH(TODAY()),1))))*12+MONTH(EDATE(DATE(YEAR(TODAY()),MONTH(TODAY()),1),16))-MONTH(IF(ISNUMBER(Suppliers!F50),Suppliers!F50,DATE(YEAR(TODAY()),MONTH(TODAY()),1))),3)=0,1,0),IF(Suppliers!E50="Semi-annual",IF(MOD((YEAR(EDATE(DATE(YEAR(TODAY()),MONTH(TODAY()),1),16))-YEAR(IF(ISNUMBER(Suppliers!F50),Suppliers!F50,DATE(YEAR(TODAY()),MONTH(TODAY()),1))))*12+MONTH(EDATE(DATE(YEAR(TODAY()),MONTH(TODAY()),1),16))-MONTH(IF(ISNUMBER(Suppliers!F50),Suppliers!F50,DATE(YEAR(TODAY()),MONTH(TODAY()),1))),6)=0,1,0),IF(Suppliers!E50="Annual",IF(MOD((YEAR(EDATE(DATE(YEAR(TODAY()),MONTH(TODAY()),1),16))-YEAR(IF(ISNUMBER(Suppliers!F50),Suppliers!F50,DATE(YEAR(TODAY()),MONTH(TODAY()),1))))*12+MONTH(EDATE(DATE(YEAR(TODAY()),MONTH(TODAY()),1),16))-MONTH(IF(ISNUMBER(Suppliers!F50),Suppliers!F50,DATE(YEAR(TODAY()),MONTH(TODAY()),1))),12)=0,1,0),IF(Suppliers!E50="One-time",IF(16=0,1,0),1)))))),"")</f>
        <v/>
      </c>
      <c r="W52" s="10" t="str">
        <f ca="1">IFERROR(IF(OR(17&gt;=$B$1,Suppliers!A50="",NOT(ISNUMBER(Suppliers!D50)),Suppliers!L50="Expired",Suppliers!L50="Terminate"),"",Suppliers!D50*-1*IF(Suppliers!E50="Monthly",IF(AND(ISNUMBER(Suppliers!G50),(YEAR(EDATE(DATE(YEAR(TODAY()),MONTH(TODAY()),1),17))*12+MONTH(EDATE(DATE(YEAR(TODAY()),MONTH(TODAY()),1),17)))&gt;(YEAR(Suppliers!G50)*12+MONTH(Suppliers!G50))),"",1),IF(Suppliers!E50="Quarterly",IF(MOD((YEAR(EDATE(DATE(YEAR(TODAY()),MONTH(TODAY()),1),17))-YEAR(IF(ISNUMBER(Suppliers!F50),Suppliers!F50,DATE(YEAR(TODAY()),MONTH(TODAY()),1))))*12+MONTH(EDATE(DATE(YEAR(TODAY()),MONTH(TODAY()),1),17))-MONTH(IF(ISNUMBER(Suppliers!F50),Suppliers!F50,DATE(YEAR(TODAY()),MONTH(TODAY()),1))),3)=0,1,0),IF(Suppliers!E50="Semi-annual",IF(MOD((YEAR(EDATE(DATE(YEAR(TODAY()),MONTH(TODAY()),1),17))-YEAR(IF(ISNUMBER(Suppliers!F50),Suppliers!F50,DATE(YEAR(TODAY()),MONTH(TODAY()),1))))*12+MONTH(EDATE(DATE(YEAR(TODAY()),MONTH(TODAY()),1),17))-MONTH(IF(ISNUMBER(Suppliers!F50),Suppliers!F50,DATE(YEAR(TODAY()),MONTH(TODAY()),1))),6)=0,1,0),IF(Suppliers!E50="Annual",IF(MOD((YEAR(EDATE(DATE(YEAR(TODAY()),MONTH(TODAY()),1),17))-YEAR(IF(ISNUMBER(Suppliers!F50),Suppliers!F50,DATE(YEAR(TODAY()),MONTH(TODAY()),1))))*12+MONTH(EDATE(DATE(YEAR(TODAY()),MONTH(TODAY()),1),17))-MONTH(IF(ISNUMBER(Suppliers!F50),Suppliers!F50,DATE(YEAR(TODAY()),MONTH(TODAY()),1))),12)=0,1,0),IF(Suppliers!E50="One-time",IF(17=0,1,0),1)))))),"")</f>
        <v/>
      </c>
      <c r="X52" s="10" t="str">
        <f ca="1">IFERROR(IF(OR(18&gt;=$B$1,Suppliers!A50="",NOT(ISNUMBER(Suppliers!D50)),Suppliers!L50="Expired",Suppliers!L50="Terminate"),"",Suppliers!D50*-1*IF(Suppliers!E50="Monthly",IF(AND(ISNUMBER(Suppliers!G50),(YEAR(EDATE(DATE(YEAR(TODAY()),MONTH(TODAY()),1),18))*12+MONTH(EDATE(DATE(YEAR(TODAY()),MONTH(TODAY()),1),18)))&gt;(YEAR(Suppliers!G50)*12+MONTH(Suppliers!G50))),"",1),IF(Suppliers!E50="Quarterly",IF(MOD((YEAR(EDATE(DATE(YEAR(TODAY()),MONTH(TODAY()),1),18))-YEAR(IF(ISNUMBER(Suppliers!F50),Suppliers!F50,DATE(YEAR(TODAY()),MONTH(TODAY()),1))))*12+MONTH(EDATE(DATE(YEAR(TODAY()),MONTH(TODAY()),1),18))-MONTH(IF(ISNUMBER(Suppliers!F50),Suppliers!F50,DATE(YEAR(TODAY()),MONTH(TODAY()),1))),3)=0,1,0),IF(Suppliers!E50="Semi-annual",IF(MOD((YEAR(EDATE(DATE(YEAR(TODAY()),MONTH(TODAY()),1),18))-YEAR(IF(ISNUMBER(Suppliers!F50),Suppliers!F50,DATE(YEAR(TODAY()),MONTH(TODAY()),1))))*12+MONTH(EDATE(DATE(YEAR(TODAY()),MONTH(TODAY()),1),18))-MONTH(IF(ISNUMBER(Suppliers!F50),Suppliers!F50,DATE(YEAR(TODAY()),MONTH(TODAY()),1))),6)=0,1,0),IF(Suppliers!E50="Annual",IF(MOD((YEAR(EDATE(DATE(YEAR(TODAY()),MONTH(TODAY()),1),18))-YEAR(IF(ISNUMBER(Suppliers!F50),Suppliers!F50,DATE(YEAR(TODAY()),MONTH(TODAY()),1))))*12+MONTH(EDATE(DATE(YEAR(TODAY()),MONTH(TODAY()),1),18))-MONTH(IF(ISNUMBER(Suppliers!F50),Suppliers!F50,DATE(YEAR(TODAY()),MONTH(TODAY()),1))),12)=0,1,0),IF(Suppliers!E50="One-time",IF(18=0,1,0),1)))))),"")</f>
        <v/>
      </c>
      <c r="Y52" s="10" t="str">
        <f ca="1">IFERROR(IF(OR(19&gt;=$B$1,Suppliers!A50="",NOT(ISNUMBER(Suppliers!D50)),Suppliers!L50="Expired",Suppliers!L50="Terminate"),"",Suppliers!D50*-1*IF(Suppliers!E50="Monthly",IF(AND(ISNUMBER(Suppliers!G50),(YEAR(EDATE(DATE(YEAR(TODAY()),MONTH(TODAY()),1),19))*12+MONTH(EDATE(DATE(YEAR(TODAY()),MONTH(TODAY()),1),19)))&gt;(YEAR(Suppliers!G50)*12+MONTH(Suppliers!G50))),"",1),IF(Suppliers!E50="Quarterly",IF(MOD((YEAR(EDATE(DATE(YEAR(TODAY()),MONTH(TODAY()),1),19))-YEAR(IF(ISNUMBER(Suppliers!F50),Suppliers!F50,DATE(YEAR(TODAY()),MONTH(TODAY()),1))))*12+MONTH(EDATE(DATE(YEAR(TODAY()),MONTH(TODAY()),1),19))-MONTH(IF(ISNUMBER(Suppliers!F50),Suppliers!F50,DATE(YEAR(TODAY()),MONTH(TODAY()),1))),3)=0,1,0),IF(Suppliers!E50="Semi-annual",IF(MOD((YEAR(EDATE(DATE(YEAR(TODAY()),MONTH(TODAY()),1),19))-YEAR(IF(ISNUMBER(Suppliers!F50),Suppliers!F50,DATE(YEAR(TODAY()),MONTH(TODAY()),1))))*12+MONTH(EDATE(DATE(YEAR(TODAY()),MONTH(TODAY()),1),19))-MONTH(IF(ISNUMBER(Suppliers!F50),Suppliers!F50,DATE(YEAR(TODAY()),MONTH(TODAY()),1))),6)=0,1,0),IF(Suppliers!E50="Annual",IF(MOD((YEAR(EDATE(DATE(YEAR(TODAY()),MONTH(TODAY()),1),19))-YEAR(IF(ISNUMBER(Suppliers!F50),Suppliers!F50,DATE(YEAR(TODAY()),MONTH(TODAY()),1))))*12+MONTH(EDATE(DATE(YEAR(TODAY()),MONTH(TODAY()),1),19))-MONTH(IF(ISNUMBER(Suppliers!F50),Suppliers!F50,DATE(YEAR(TODAY()),MONTH(TODAY()),1))),12)=0,1,0),IF(Suppliers!E50="One-time",IF(19=0,1,0),1)))))),"")</f>
        <v/>
      </c>
      <c r="Z52" s="10" t="str">
        <f ca="1">IFERROR(IF(OR(20&gt;=$B$1,Suppliers!A50="",NOT(ISNUMBER(Suppliers!D50)),Suppliers!L50="Expired",Suppliers!L50="Terminate"),"",Suppliers!D50*-1*IF(Suppliers!E50="Monthly",IF(AND(ISNUMBER(Suppliers!G50),(YEAR(EDATE(DATE(YEAR(TODAY()),MONTH(TODAY()),1),20))*12+MONTH(EDATE(DATE(YEAR(TODAY()),MONTH(TODAY()),1),20)))&gt;(YEAR(Suppliers!G50)*12+MONTH(Suppliers!G50))),"",1),IF(Suppliers!E50="Quarterly",IF(MOD((YEAR(EDATE(DATE(YEAR(TODAY()),MONTH(TODAY()),1),20))-YEAR(IF(ISNUMBER(Suppliers!F50),Suppliers!F50,DATE(YEAR(TODAY()),MONTH(TODAY()),1))))*12+MONTH(EDATE(DATE(YEAR(TODAY()),MONTH(TODAY()),1),20))-MONTH(IF(ISNUMBER(Suppliers!F50),Suppliers!F50,DATE(YEAR(TODAY()),MONTH(TODAY()),1))),3)=0,1,0),IF(Suppliers!E50="Semi-annual",IF(MOD((YEAR(EDATE(DATE(YEAR(TODAY()),MONTH(TODAY()),1),20))-YEAR(IF(ISNUMBER(Suppliers!F50),Suppliers!F50,DATE(YEAR(TODAY()),MONTH(TODAY()),1))))*12+MONTH(EDATE(DATE(YEAR(TODAY()),MONTH(TODAY()),1),20))-MONTH(IF(ISNUMBER(Suppliers!F50),Suppliers!F50,DATE(YEAR(TODAY()),MONTH(TODAY()),1))),6)=0,1,0),IF(Suppliers!E50="Annual",IF(MOD((YEAR(EDATE(DATE(YEAR(TODAY()),MONTH(TODAY()),1),20))-YEAR(IF(ISNUMBER(Suppliers!F50),Suppliers!F50,DATE(YEAR(TODAY()),MONTH(TODAY()),1))))*12+MONTH(EDATE(DATE(YEAR(TODAY()),MONTH(TODAY()),1),20))-MONTH(IF(ISNUMBER(Suppliers!F50),Suppliers!F50,DATE(YEAR(TODAY()),MONTH(TODAY()),1))),12)=0,1,0),IF(Suppliers!E50="One-time",IF(20=0,1,0),1)))))),"")</f>
        <v/>
      </c>
      <c r="AA52" s="10" t="str">
        <f ca="1">IFERROR(IF(OR(21&gt;=$B$1,Suppliers!A50="",NOT(ISNUMBER(Suppliers!D50)),Suppliers!L50="Expired",Suppliers!L50="Terminate"),"",Suppliers!D50*-1*IF(Suppliers!E50="Monthly",IF(AND(ISNUMBER(Suppliers!G50),(YEAR(EDATE(DATE(YEAR(TODAY()),MONTH(TODAY()),1),21))*12+MONTH(EDATE(DATE(YEAR(TODAY()),MONTH(TODAY()),1),21)))&gt;(YEAR(Suppliers!G50)*12+MONTH(Suppliers!G50))),"",1),IF(Suppliers!E50="Quarterly",IF(MOD((YEAR(EDATE(DATE(YEAR(TODAY()),MONTH(TODAY()),1),21))-YEAR(IF(ISNUMBER(Suppliers!F50),Suppliers!F50,DATE(YEAR(TODAY()),MONTH(TODAY()),1))))*12+MONTH(EDATE(DATE(YEAR(TODAY()),MONTH(TODAY()),1),21))-MONTH(IF(ISNUMBER(Suppliers!F50),Suppliers!F50,DATE(YEAR(TODAY()),MONTH(TODAY()),1))),3)=0,1,0),IF(Suppliers!E50="Semi-annual",IF(MOD((YEAR(EDATE(DATE(YEAR(TODAY()),MONTH(TODAY()),1),21))-YEAR(IF(ISNUMBER(Suppliers!F50),Suppliers!F50,DATE(YEAR(TODAY()),MONTH(TODAY()),1))))*12+MONTH(EDATE(DATE(YEAR(TODAY()),MONTH(TODAY()),1),21))-MONTH(IF(ISNUMBER(Suppliers!F50),Suppliers!F50,DATE(YEAR(TODAY()),MONTH(TODAY()),1))),6)=0,1,0),IF(Suppliers!E50="Annual",IF(MOD((YEAR(EDATE(DATE(YEAR(TODAY()),MONTH(TODAY()),1),21))-YEAR(IF(ISNUMBER(Suppliers!F50),Suppliers!F50,DATE(YEAR(TODAY()),MONTH(TODAY()),1))))*12+MONTH(EDATE(DATE(YEAR(TODAY()),MONTH(TODAY()),1),21))-MONTH(IF(ISNUMBER(Suppliers!F50),Suppliers!F50,DATE(YEAR(TODAY()),MONTH(TODAY()),1))),12)=0,1,0),IF(Suppliers!E50="One-time",IF(21=0,1,0),1)))))),"")</f>
        <v/>
      </c>
      <c r="AB52" s="10" t="str">
        <f ca="1">IFERROR(IF(OR(22&gt;=$B$1,Suppliers!A50="",NOT(ISNUMBER(Suppliers!D50)),Suppliers!L50="Expired",Suppliers!L50="Terminate"),"",Suppliers!D50*-1*IF(Suppliers!E50="Monthly",IF(AND(ISNUMBER(Suppliers!G50),(YEAR(EDATE(DATE(YEAR(TODAY()),MONTH(TODAY()),1),22))*12+MONTH(EDATE(DATE(YEAR(TODAY()),MONTH(TODAY()),1),22)))&gt;(YEAR(Suppliers!G50)*12+MONTH(Suppliers!G50))),"",1),IF(Suppliers!E50="Quarterly",IF(MOD((YEAR(EDATE(DATE(YEAR(TODAY()),MONTH(TODAY()),1),22))-YEAR(IF(ISNUMBER(Suppliers!F50),Suppliers!F50,DATE(YEAR(TODAY()),MONTH(TODAY()),1))))*12+MONTH(EDATE(DATE(YEAR(TODAY()),MONTH(TODAY()),1),22))-MONTH(IF(ISNUMBER(Suppliers!F50),Suppliers!F50,DATE(YEAR(TODAY()),MONTH(TODAY()),1))),3)=0,1,0),IF(Suppliers!E50="Semi-annual",IF(MOD((YEAR(EDATE(DATE(YEAR(TODAY()),MONTH(TODAY()),1),22))-YEAR(IF(ISNUMBER(Suppliers!F50),Suppliers!F50,DATE(YEAR(TODAY()),MONTH(TODAY()),1))))*12+MONTH(EDATE(DATE(YEAR(TODAY()),MONTH(TODAY()),1),22))-MONTH(IF(ISNUMBER(Suppliers!F50),Suppliers!F50,DATE(YEAR(TODAY()),MONTH(TODAY()),1))),6)=0,1,0),IF(Suppliers!E50="Annual",IF(MOD((YEAR(EDATE(DATE(YEAR(TODAY()),MONTH(TODAY()),1),22))-YEAR(IF(ISNUMBER(Suppliers!F50),Suppliers!F50,DATE(YEAR(TODAY()),MONTH(TODAY()),1))))*12+MONTH(EDATE(DATE(YEAR(TODAY()),MONTH(TODAY()),1),22))-MONTH(IF(ISNUMBER(Suppliers!F50),Suppliers!F50,DATE(YEAR(TODAY()),MONTH(TODAY()),1))),12)=0,1,0),IF(Suppliers!E50="One-time",IF(22=0,1,0),1)))))),"")</f>
        <v/>
      </c>
      <c r="AC52" s="10" t="str">
        <f ca="1">IFERROR(IF(OR(23&gt;=$B$1,Suppliers!A50="",NOT(ISNUMBER(Suppliers!D50)),Suppliers!L50="Expired",Suppliers!L50="Terminate"),"",Suppliers!D50*-1*IF(Suppliers!E50="Monthly",IF(AND(ISNUMBER(Suppliers!G50),(YEAR(EDATE(DATE(YEAR(TODAY()),MONTH(TODAY()),1),23))*12+MONTH(EDATE(DATE(YEAR(TODAY()),MONTH(TODAY()),1),23)))&gt;(YEAR(Suppliers!G50)*12+MONTH(Suppliers!G50))),"",1),IF(Suppliers!E50="Quarterly",IF(MOD((YEAR(EDATE(DATE(YEAR(TODAY()),MONTH(TODAY()),1),23))-YEAR(IF(ISNUMBER(Suppliers!F50),Suppliers!F50,DATE(YEAR(TODAY()),MONTH(TODAY()),1))))*12+MONTH(EDATE(DATE(YEAR(TODAY()),MONTH(TODAY()),1),23))-MONTH(IF(ISNUMBER(Suppliers!F50),Suppliers!F50,DATE(YEAR(TODAY()),MONTH(TODAY()),1))),3)=0,1,0),IF(Suppliers!E50="Semi-annual",IF(MOD((YEAR(EDATE(DATE(YEAR(TODAY()),MONTH(TODAY()),1),23))-YEAR(IF(ISNUMBER(Suppliers!F50),Suppliers!F50,DATE(YEAR(TODAY()),MONTH(TODAY()),1))))*12+MONTH(EDATE(DATE(YEAR(TODAY()),MONTH(TODAY()),1),23))-MONTH(IF(ISNUMBER(Suppliers!F50),Suppliers!F50,DATE(YEAR(TODAY()),MONTH(TODAY()),1))),6)=0,1,0),IF(Suppliers!E50="Annual",IF(MOD((YEAR(EDATE(DATE(YEAR(TODAY()),MONTH(TODAY()),1),23))-YEAR(IF(ISNUMBER(Suppliers!F50),Suppliers!F50,DATE(YEAR(TODAY()),MONTH(TODAY()),1))))*12+MONTH(EDATE(DATE(YEAR(TODAY()),MONTH(TODAY()),1),23))-MONTH(IF(ISNUMBER(Suppliers!F50),Suppliers!F50,DATE(YEAR(TODAY()),MONTH(TODAY()),1))),12)=0,1,0),IF(Suppliers!E50="One-time",IF(23=0,1,0),1)))))),"")</f>
        <v/>
      </c>
    </row>
    <row r="53" spans="1:30" ht="15" customHeight="1" x14ac:dyDescent="0.35">
      <c r="A53" s="4" t="s">
        <v>80</v>
      </c>
      <c r="B53" s="4" t="str">
        <f>IF(Suppliers!A51="","",Suppliers!A51)</f>
        <v/>
      </c>
      <c r="C53" s="10" t="str">
        <f>IF(Suppliers!C51="","",Suppliers!C51)</f>
        <v/>
      </c>
      <c r="D53" s="10" t="str">
        <f>IF(Suppliers!D51="","",Suppliers!D51)</f>
        <v/>
      </c>
      <c r="E53" s="4" t="str">
        <f>IF(Suppliers!E51="","",Suppliers!E51)</f>
        <v/>
      </c>
      <c r="F53" s="10" t="str">
        <f ca="1">IFERROR(IF(OR(0&gt;=$B$1,Suppliers!A51="",NOT(ISNUMBER(Suppliers!D51)),Suppliers!L51="Expired",Suppliers!L51="Terminate"),"",Suppliers!D51*-1*IF(Suppliers!E51="Monthly",IF(AND(ISNUMBER(Suppliers!G51),(YEAR(EDATE(DATE(YEAR(TODAY()),MONTH(TODAY()),1),0))*12+MONTH(EDATE(DATE(YEAR(TODAY()),MONTH(TODAY()),1),0)))&gt;(YEAR(Suppliers!G51)*12+MONTH(Suppliers!G51))),"",1),IF(Suppliers!E51="Quarterly",IF(MOD((YEAR(EDATE(DATE(YEAR(TODAY()),MONTH(TODAY()),1),0))-YEAR(IF(ISNUMBER(Suppliers!F51),Suppliers!F51,DATE(YEAR(TODAY()),MONTH(TODAY()),1))))*12+MONTH(EDATE(DATE(YEAR(TODAY()),MONTH(TODAY()),1),0))-MONTH(IF(ISNUMBER(Suppliers!F51),Suppliers!F51,DATE(YEAR(TODAY()),MONTH(TODAY()),1))),3)=0,1,0),IF(Suppliers!E51="Semi-annual",IF(MOD((YEAR(EDATE(DATE(YEAR(TODAY()),MONTH(TODAY()),1),0))-YEAR(IF(ISNUMBER(Suppliers!F51),Suppliers!F51,DATE(YEAR(TODAY()),MONTH(TODAY()),1))))*12+MONTH(EDATE(DATE(YEAR(TODAY()),MONTH(TODAY()),1),0))-MONTH(IF(ISNUMBER(Suppliers!F51),Suppliers!F51,DATE(YEAR(TODAY()),MONTH(TODAY()),1))),6)=0,1,0),IF(Suppliers!E51="Annual",IF(MOD((YEAR(EDATE(DATE(YEAR(TODAY()),MONTH(TODAY()),1),0))-YEAR(IF(ISNUMBER(Suppliers!F51),Suppliers!F51,DATE(YEAR(TODAY()),MONTH(TODAY()),1))))*12+MONTH(EDATE(DATE(YEAR(TODAY()),MONTH(TODAY()),1),0))-MONTH(IF(ISNUMBER(Suppliers!F51),Suppliers!F51,DATE(YEAR(TODAY()),MONTH(TODAY()),1))),12)=0,1,0),IF(Suppliers!E51="One-time",IF(0=0,1,0),1)))))),"")</f>
        <v/>
      </c>
      <c r="G53" s="10" t="str">
        <f ca="1">IFERROR(IF(OR(1&gt;=$B$1,Suppliers!A51="",NOT(ISNUMBER(Suppliers!D51)),Suppliers!L51="Expired",Suppliers!L51="Terminate"),"",Suppliers!D51*-1*IF(Suppliers!E51="Monthly",IF(AND(ISNUMBER(Suppliers!G51),(YEAR(EDATE(DATE(YEAR(TODAY()),MONTH(TODAY()),1),1))*12+MONTH(EDATE(DATE(YEAR(TODAY()),MONTH(TODAY()),1),1)))&gt;(YEAR(Suppliers!G51)*12+MONTH(Suppliers!G51))),"",1),IF(Suppliers!E51="Quarterly",IF(MOD((YEAR(EDATE(DATE(YEAR(TODAY()),MONTH(TODAY()),1),1))-YEAR(IF(ISNUMBER(Suppliers!F51),Suppliers!F51,DATE(YEAR(TODAY()),MONTH(TODAY()),1))))*12+MONTH(EDATE(DATE(YEAR(TODAY()),MONTH(TODAY()),1),1))-MONTH(IF(ISNUMBER(Suppliers!F51),Suppliers!F51,DATE(YEAR(TODAY()),MONTH(TODAY()),1))),3)=0,1,0),IF(Suppliers!E51="Semi-annual",IF(MOD((YEAR(EDATE(DATE(YEAR(TODAY()),MONTH(TODAY()),1),1))-YEAR(IF(ISNUMBER(Suppliers!F51),Suppliers!F51,DATE(YEAR(TODAY()),MONTH(TODAY()),1))))*12+MONTH(EDATE(DATE(YEAR(TODAY()),MONTH(TODAY()),1),1))-MONTH(IF(ISNUMBER(Suppliers!F51),Suppliers!F51,DATE(YEAR(TODAY()),MONTH(TODAY()),1))),6)=0,1,0),IF(Suppliers!E51="Annual",IF(MOD((YEAR(EDATE(DATE(YEAR(TODAY()),MONTH(TODAY()),1),1))-YEAR(IF(ISNUMBER(Suppliers!F51),Suppliers!F51,DATE(YEAR(TODAY()),MONTH(TODAY()),1))))*12+MONTH(EDATE(DATE(YEAR(TODAY()),MONTH(TODAY()),1),1))-MONTH(IF(ISNUMBER(Suppliers!F51),Suppliers!F51,DATE(YEAR(TODAY()),MONTH(TODAY()),1))),12)=0,1,0),IF(Suppliers!E51="One-time",IF(1=0,1,0),1)))))),"")</f>
        <v/>
      </c>
      <c r="H53" s="10" t="str">
        <f ca="1">IFERROR(IF(OR(2&gt;=$B$1,Suppliers!A51="",NOT(ISNUMBER(Suppliers!D51)),Suppliers!L51="Expired",Suppliers!L51="Terminate"),"",Suppliers!D51*-1*IF(Suppliers!E51="Monthly",IF(AND(ISNUMBER(Suppliers!G51),(YEAR(EDATE(DATE(YEAR(TODAY()),MONTH(TODAY()),1),2))*12+MONTH(EDATE(DATE(YEAR(TODAY()),MONTH(TODAY()),1),2)))&gt;(YEAR(Suppliers!G51)*12+MONTH(Suppliers!G51))),"",1),IF(Suppliers!E51="Quarterly",IF(MOD((YEAR(EDATE(DATE(YEAR(TODAY()),MONTH(TODAY()),1),2))-YEAR(IF(ISNUMBER(Suppliers!F51),Suppliers!F51,DATE(YEAR(TODAY()),MONTH(TODAY()),1))))*12+MONTH(EDATE(DATE(YEAR(TODAY()),MONTH(TODAY()),1),2))-MONTH(IF(ISNUMBER(Suppliers!F51),Suppliers!F51,DATE(YEAR(TODAY()),MONTH(TODAY()),1))),3)=0,1,0),IF(Suppliers!E51="Semi-annual",IF(MOD((YEAR(EDATE(DATE(YEAR(TODAY()),MONTH(TODAY()),1),2))-YEAR(IF(ISNUMBER(Suppliers!F51),Suppliers!F51,DATE(YEAR(TODAY()),MONTH(TODAY()),1))))*12+MONTH(EDATE(DATE(YEAR(TODAY()),MONTH(TODAY()),1),2))-MONTH(IF(ISNUMBER(Suppliers!F51),Suppliers!F51,DATE(YEAR(TODAY()),MONTH(TODAY()),1))),6)=0,1,0),IF(Suppliers!E51="Annual",IF(MOD((YEAR(EDATE(DATE(YEAR(TODAY()),MONTH(TODAY()),1),2))-YEAR(IF(ISNUMBER(Suppliers!F51),Suppliers!F51,DATE(YEAR(TODAY()),MONTH(TODAY()),1))))*12+MONTH(EDATE(DATE(YEAR(TODAY()),MONTH(TODAY()),1),2))-MONTH(IF(ISNUMBER(Suppliers!F51),Suppliers!F51,DATE(YEAR(TODAY()),MONTH(TODAY()),1))),12)=0,1,0),IF(Suppliers!E51="One-time",IF(2=0,1,0),1)))))),"")</f>
        <v/>
      </c>
      <c r="I53" s="10" t="str">
        <f ca="1">IFERROR(IF(OR(3&gt;=$B$1,Suppliers!A51="",NOT(ISNUMBER(Suppliers!D51)),Suppliers!L51="Expired",Suppliers!L51="Terminate"),"",Suppliers!D51*-1*IF(Suppliers!E51="Monthly",IF(AND(ISNUMBER(Suppliers!G51),(YEAR(EDATE(DATE(YEAR(TODAY()),MONTH(TODAY()),1),3))*12+MONTH(EDATE(DATE(YEAR(TODAY()),MONTH(TODAY()),1),3)))&gt;(YEAR(Suppliers!G51)*12+MONTH(Suppliers!G51))),"",1),IF(Suppliers!E51="Quarterly",IF(MOD((YEAR(EDATE(DATE(YEAR(TODAY()),MONTH(TODAY()),1),3))-YEAR(IF(ISNUMBER(Suppliers!F51),Suppliers!F51,DATE(YEAR(TODAY()),MONTH(TODAY()),1))))*12+MONTH(EDATE(DATE(YEAR(TODAY()),MONTH(TODAY()),1),3))-MONTH(IF(ISNUMBER(Suppliers!F51),Suppliers!F51,DATE(YEAR(TODAY()),MONTH(TODAY()),1))),3)=0,1,0),IF(Suppliers!E51="Semi-annual",IF(MOD((YEAR(EDATE(DATE(YEAR(TODAY()),MONTH(TODAY()),1),3))-YEAR(IF(ISNUMBER(Suppliers!F51),Suppliers!F51,DATE(YEAR(TODAY()),MONTH(TODAY()),1))))*12+MONTH(EDATE(DATE(YEAR(TODAY()),MONTH(TODAY()),1),3))-MONTH(IF(ISNUMBER(Suppliers!F51),Suppliers!F51,DATE(YEAR(TODAY()),MONTH(TODAY()),1))),6)=0,1,0),IF(Suppliers!E51="Annual",IF(MOD((YEAR(EDATE(DATE(YEAR(TODAY()),MONTH(TODAY()),1),3))-YEAR(IF(ISNUMBER(Suppliers!F51),Suppliers!F51,DATE(YEAR(TODAY()),MONTH(TODAY()),1))))*12+MONTH(EDATE(DATE(YEAR(TODAY()),MONTH(TODAY()),1),3))-MONTH(IF(ISNUMBER(Suppliers!F51),Suppliers!F51,DATE(YEAR(TODAY()),MONTH(TODAY()),1))),12)=0,1,0),IF(Suppliers!E51="One-time",IF(3=0,1,0),1)))))),"")</f>
        <v/>
      </c>
      <c r="J53" s="10" t="str">
        <f ca="1">IFERROR(IF(OR(4&gt;=$B$1,Suppliers!A51="",NOT(ISNUMBER(Suppliers!D51)),Suppliers!L51="Expired",Suppliers!L51="Terminate"),"",Suppliers!D51*-1*IF(Suppliers!E51="Monthly",IF(AND(ISNUMBER(Suppliers!G51),(YEAR(EDATE(DATE(YEAR(TODAY()),MONTH(TODAY()),1),4))*12+MONTH(EDATE(DATE(YEAR(TODAY()),MONTH(TODAY()),1),4)))&gt;(YEAR(Suppliers!G51)*12+MONTH(Suppliers!G51))),"",1),IF(Suppliers!E51="Quarterly",IF(MOD((YEAR(EDATE(DATE(YEAR(TODAY()),MONTH(TODAY()),1),4))-YEAR(IF(ISNUMBER(Suppliers!F51),Suppliers!F51,DATE(YEAR(TODAY()),MONTH(TODAY()),1))))*12+MONTH(EDATE(DATE(YEAR(TODAY()),MONTH(TODAY()),1),4))-MONTH(IF(ISNUMBER(Suppliers!F51),Suppliers!F51,DATE(YEAR(TODAY()),MONTH(TODAY()),1))),3)=0,1,0),IF(Suppliers!E51="Semi-annual",IF(MOD((YEAR(EDATE(DATE(YEAR(TODAY()),MONTH(TODAY()),1),4))-YEAR(IF(ISNUMBER(Suppliers!F51),Suppliers!F51,DATE(YEAR(TODAY()),MONTH(TODAY()),1))))*12+MONTH(EDATE(DATE(YEAR(TODAY()),MONTH(TODAY()),1),4))-MONTH(IF(ISNUMBER(Suppliers!F51),Suppliers!F51,DATE(YEAR(TODAY()),MONTH(TODAY()),1))),6)=0,1,0),IF(Suppliers!E51="Annual",IF(MOD((YEAR(EDATE(DATE(YEAR(TODAY()),MONTH(TODAY()),1),4))-YEAR(IF(ISNUMBER(Suppliers!F51),Suppliers!F51,DATE(YEAR(TODAY()),MONTH(TODAY()),1))))*12+MONTH(EDATE(DATE(YEAR(TODAY()),MONTH(TODAY()),1),4))-MONTH(IF(ISNUMBER(Suppliers!F51),Suppliers!F51,DATE(YEAR(TODAY()),MONTH(TODAY()),1))),12)=0,1,0),IF(Suppliers!E51="One-time",IF(4=0,1,0),1)))))),"")</f>
        <v/>
      </c>
      <c r="K53" s="10" t="str">
        <f ca="1">IFERROR(IF(OR(5&gt;=$B$1,Suppliers!A51="",NOT(ISNUMBER(Suppliers!D51)),Suppliers!L51="Expired",Suppliers!L51="Terminate"),"",Suppliers!D51*-1*IF(Suppliers!E51="Monthly",IF(AND(ISNUMBER(Suppliers!G51),(YEAR(EDATE(DATE(YEAR(TODAY()),MONTH(TODAY()),1),5))*12+MONTH(EDATE(DATE(YEAR(TODAY()),MONTH(TODAY()),1),5)))&gt;(YEAR(Suppliers!G51)*12+MONTH(Suppliers!G51))),"",1),IF(Suppliers!E51="Quarterly",IF(MOD((YEAR(EDATE(DATE(YEAR(TODAY()),MONTH(TODAY()),1),5))-YEAR(IF(ISNUMBER(Suppliers!F51),Suppliers!F51,DATE(YEAR(TODAY()),MONTH(TODAY()),1))))*12+MONTH(EDATE(DATE(YEAR(TODAY()),MONTH(TODAY()),1),5))-MONTH(IF(ISNUMBER(Suppliers!F51),Suppliers!F51,DATE(YEAR(TODAY()),MONTH(TODAY()),1))),3)=0,1,0),IF(Suppliers!E51="Semi-annual",IF(MOD((YEAR(EDATE(DATE(YEAR(TODAY()),MONTH(TODAY()),1),5))-YEAR(IF(ISNUMBER(Suppliers!F51),Suppliers!F51,DATE(YEAR(TODAY()),MONTH(TODAY()),1))))*12+MONTH(EDATE(DATE(YEAR(TODAY()),MONTH(TODAY()),1),5))-MONTH(IF(ISNUMBER(Suppliers!F51),Suppliers!F51,DATE(YEAR(TODAY()),MONTH(TODAY()),1))),6)=0,1,0),IF(Suppliers!E51="Annual",IF(MOD((YEAR(EDATE(DATE(YEAR(TODAY()),MONTH(TODAY()),1),5))-YEAR(IF(ISNUMBER(Suppliers!F51),Suppliers!F51,DATE(YEAR(TODAY()),MONTH(TODAY()),1))))*12+MONTH(EDATE(DATE(YEAR(TODAY()),MONTH(TODAY()),1),5))-MONTH(IF(ISNUMBER(Suppliers!F51),Suppliers!F51,DATE(YEAR(TODAY()),MONTH(TODAY()),1))),12)=0,1,0),IF(Suppliers!E51="One-time",IF(5=0,1,0),1)))))),"")</f>
        <v/>
      </c>
      <c r="L53" s="10" t="str">
        <f ca="1">IFERROR(IF(OR(6&gt;=$B$1,Suppliers!A51="",NOT(ISNUMBER(Suppliers!D51)),Suppliers!L51="Expired",Suppliers!L51="Terminate"),"",Suppliers!D51*-1*IF(Suppliers!E51="Monthly",IF(AND(ISNUMBER(Suppliers!G51),(YEAR(EDATE(DATE(YEAR(TODAY()),MONTH(TODAY()),1),6))*12+MONTH(EDATE(DATE(YEAR(TODAY()),MONTH(TODAY()),1),6)))&gt;(YEAR(Suppliers!G51)*12+MONTH(Suppliers!G51))),"",1),IF(Suppliers!E51="Quarterly",IF(MOD((YEAR(EDATE(DATE(YEAR(TODAY()),MONTH(TODAY()),1),6))-YEAR(IF(ISNUMBER(Suppliers!F51),Suppliers!F51,DATE(YEAR(TODAY()),MONTH(TODAY()),1))))*12+MONTH(EDATE(DATE(YEAR(TODAY()),MONTH(TODAY()),1),6))-MONTH(IF(ISNUMBER(Suppliers!F51),Suppliers!F51,DATE(YEAR(TODAY()),MONTH(TODAY()),1))),3)=0,1,0),IF(Suppliers!E51="Semi-annual",IF(MOD((YEAR(EDATE(DATE(YEAR(TODAY()),MONTH(TODAY()),1),6))-YEAR(IF(ISNUMBER(Suppliers!F51),Suppliers!F51,DATE(YEAR(TODAY()),MONTH(TODAY()),1))))*12+MONTH(EDATE(DATE(YEAR(TODAY()),MONTH(TODAY()),1),6))-MONTH(IF(ISNUMBER(Suppliers!F51),Suppliers!F51,DATE(YEAR(TODAY()),MONTH(TODAY()),1))),6)=0,1,0),IF(Suppliers!E51="Annual",IF(MOD((YEAR(EDATE(DATE(YEAR(TODAY()),MONTH(TODAY()),1),6))-YEAR(IF(ISNUMBER(Suppliers!F51),Suppliers!F51,DATE(YEAR(TODAY()),MONTH(TODAY()),1))))*12+MONTH(EDATE(DATE(YEAR(TODAY()),MONTH(TODAY()),1),6))-MONTH(IF(ISNUMBER(Suppliers!F51),Suppliers!F51,DATE(YEAR(TODAY()),MONTH(TODAY()),1))),12)=0,1,0),IF(Suppliers!E51="One-time",IF(6=0,1,0),1)))))),"")</f>
        <v/>
      </c>
      <c r="M53" s="10" t="str">
        <f ca="1">IFERROR(IF(OR(7&gt;=$B$1,Suppliers!A51="",NOT(ISNUMBER(Suppliers!D51)),Suppliers!L51="Expired",Suppliers!L51="Terminate"),"",Suppliers!D51*-1*IF(Suppliers!E51="Monthly",IF(AND(ISNUMBER(Suppliers!G51),(YEAR(EDATE(DATE(YEAR(TODAY()),MONTH(TODAY()),1),7))*12+MONTH(EDATE(DATE(YEAR(TODAY()),MONTH(TODAY()),1),7)))&gt;(YEAR(Suppliers!G51)*12+MONTH(Suppliers!G51))),"",1),IF(Suppliers!E51="Quarterly",IF(MOD((YEAR(EDATE(DATE(YEAR(TODAY()),MONTH(TODAY()),1),7))-YEAR(IF(ISNUMBER(Suppliers!F51),Suppliers!F51,DATE(YEAR(TODAY()),MONTH(TODAY()),1))))*12+MONTH(EDATE(DATE(YEAR(TODAY()),MONTH(TODAY()),1),7))-MONTH(IF(ISNUMBER(Suppliers!F51),Suppliers!F51,DATE(YEAR(TODAY()),MONTH(TODAY()),1))),3)=0,1,0),IF(Suppliers!E51="Semi-annual",IF(MOD((YEAR(EDATE(DATE(YEAR(TODAY()),MONTH(TODAY()),1),7))-YEAR(IF(ISNUMBER(Suppliers!F51),Suppliers!F51,DATE(YEAR(TODAY()),MONTH(TODAY()),1))))*12+MONTH(EDATE(DATE(YEAR(TODAY()),MONTH(TODAY()),1),7))-MONTH(IF(ISNUMBER(Suppliers!F51),Suppliers!F51,DATE(YEAR(TODAY()),MONTH(TODAY()),1))),6)=0,1,0),IF(Suppliers!E51="Annual",IF(MOD((YEAR(EDATE(DATE(YEAR(TODAY()),MONTH(TODAY()),1),7))-YEAR(IF(ISNUMBER(Suppliers!F51),Suppliers!F51,DATE(YEAR(TODAY()),MONTH(TODAY()),1))))*12+MONTH(EDATE(DATE(YEAR(TODAY()),MONTH(TODAY()),1),7))-MONTH(IF(ISNUMBER(Suppliers!F51),Suppliers!F51,DATE(YEAR(TODAY()),MONTH(TODAY()),1))),12)=0,1,0),IF(Suppliers!E51="One-time",IF(7=0,1,0),1)))))),"")</f>
        <v/>
      </c>
      <c r="N53" s="10" t="str">
        <f ca="1">IFERROR(IF(OR(8&gt;=$B$1,Suppliers!A51="",NOT(ISNUMBER(Suppliers!D51)),Suppliers!L51="Expired",Suppliers!L51="Terminate"),"",Suppliers!D51*-1*IF(Suppliers!E51="Monthly",IF(AND(ISNUMBER(Suppliers!G51),(YEAR(EDATE(DATE(YEAR(TODAY()),MONTH(TODAY()),1),8))*12+MONTH(EDATE(DATE(YEAR(TODAY()),MONTH(TODAY()),1),8)))&gt;(YEAR(Suppliers!G51)*12+MONTH(Suppliers!G51))),"",1),IF(Suppliers!E51="Quarterly",IF(MOD((YEAR(EDATE(DATE(YEAR(TODAY()),MONTH(TODAY()),1),8))-YEAR(IF(ISNUMBER(Suppliers!F51),Suppliers!F51,DATE(YEAR(TODAY()),MONTH(TODAY()),1))))*12+MONTH(EDATE(DATE(YEAR(TODAY()),MONTH(TODAY()),1),8))-MONTH(IF(ISNUMBER(Suppliers!F51),Suppliers!F51,DATE(YEAR(TODAY()),MONTH(TODAY()),1))),3)=0,1,0),IF(Suppliers!E51="Semi-annual",IF(MOD((YEAR(EDATE(DATE(YEAR(TODAY()),MONTH(TODAY()),1),8))-YEAR(IF(ISNUMBER(Suppliers!F51),Suppliers!F51,DATE(YEAR(TODAY()),MONTH(TODAY()),1))))*12+MONTH(EDATE(DATE(YEAR(TODAY()),MONTH(TODAY()),1),8))-MONTH(IF(ISNUMBER(Suppliers!F51),Suppliers!F51,DATE(YEAR(TODAY()),MONTH(TODAY()),1))),6)=0,1,0),IF(Suppliers!E51="Annual",IF(MOD((YEAR(EDATE(DATE(YEAR(TODAY()),MONTH(TODAY()),1),8))-YEAR(IF(ISNUMBER(Suppliers!F51),Suppliers!F51,DATE(YEAR(TODAY()),MONTH(TODAY()),1))))*12+MONTH(EDATE(DATE(YEAR(TODAY()),MONTH(TODAY()),1),8))-MONTH(IF(ISNUMBER(Suppliers!F51),Suppliers!F51,DATE(YEAR(TODAY()),MONTH(TODAY()),1))),12)=0,1,0),IF(Suppliers!E51="One-time",IF(8=0,1,0),1)))))),"")</f>
        <v/>
      </c>
      <c r="O53" s="10" t="str">
        <f ca="1">IFERROR(IF(OR(9&gt;=$B$1,Suppliers!A51="",NOT(ISNUMBER(Suppliers!D51)),Suppliers!L51="Expired",Suppliers!L51="Terminate"),"",Suppliers!D51*-1*IF(Suppliers!E51="Monthly",IF(AND(ISNUMBER(Suppliers!G51),(YEAR(EDATE(DATE(YEAR(TODAY()),MONTH(TODAY()),1),9))*12+MONTH(EDATE(DATE(YEAR(TODAY()),MONTH(TODAY()),1),9)))&gt;(YEAR(Suppliers!G51)*12+MONTH(Suppliers!G51))),"",1),IF(Suppliers!E51="Quarterly",IF(MOD((YEAR(EDATE(DATE(YEAR(TODAY()),MONTH(TODAY()),1),9))-YEAR(IF(ISNUMBER(Suppliers!F51),Suppliers!F51,DATE(YEAR(TODAY()),MONTH(TODAY()),1))))*12+MONTH(EDATE(DATE(YEAR(TODAY()),MONTH(TODAY()),1),9))-MONTH(IF(ISNUMBER(Suppliers!F51),Suppliers!F51,DATE(YEAR(TODAY()),MONTH(TODAY()),1))),3)=0,1,0),IF(Suppliers!E51="Semi-annual",IF(MOD((YEAR(EDATE(DATE(YEAR(TODAY()),MONTH(TODAY()),1),9))-YEAR(IF(ISNUMBER(Suppliers!F51),Suppliers!F51,DATE(YEAR(TODAY()),MONTH(TODAY()),1))))*12+MONTH(EDATE(DATE(YEAR(TODAY()),MONTH(TODAY()),1),9))-MONTH(IF(ISNUMBER(Suppliers!F51),Suppliers!F51,DATE(YEAR(TODAY()),MONTH(TODAY()),1))),6)=0,1,0),IF(Suppliers!E51="Annual",IF(MOD((YEAR(EDATE(DATE(YEAR(TODAY()),MONTH(TODAY()),1),9))-YEAR(IF(ISNUMBER(Suppliers!F51),Suppliers!F51,DATE(YEAR(TODAY()),MONTH(TODAY()),1))))*12+MONTH(EDATE(DATE(YEAR(TODAY()),MONTH(TODAY()),1),9))-MONTH(IF(ISNUMBER(Suppliers!F51),Suppliers!F51,DATE(YEAR(TODAY()),MONTH(TODAY()),1))),12)=0,1,0),IF(Suppliers!E51="One-time",IF(9=0,1,0),1)))))),"")</f>
        <v/>
      </c>
      <c r="P53" s="10" t="str">
        <f ca="1">IFERROR(IF(OR(10&gt;=$B$1,Suppliers!A51="",NOT(ISNUMBER(Suppliers!D51)),Suppliers!L51="Expired",Suppliers!L51="Terminate"),"",Suppliers!D51*-1*IF(Suppliers!E51="Monthly",IF(AND(ISNUMBER(Suppliers!G51),(YEAR(EDATE(DATE(YEAR(TODAY()),MONTH(TODAY()),1),10))*12+MONTH(EDATE(DATE(YEAR(TODAY()),MONTH(TODAY()),1),10)))&gt;(YEAR(Suppliers!G51)*12+MONTH(Suppliers!G51))),"",1),IF(Suppliers!E51="Quarterly",IF(MOD((YEAR(EDATE(DATE(YEAR(TODAY()),MONTH(TODAY()),1),10))-YEAR(IF(ISNUMBER(Suppliers!F51),Suppliers!F51,DATE(YEAR(TODAY()),MONTH(TODAY()),1))))*12+MONTH(EDATE(DATE(YEAR(TODAY()),MONTH(TODAY()),1),10))-MONTH(IF(ISNUMBER(Suppliers!F51),Suppliers!F51,DATE(YEAR(TODAY()),MONTH(TODAY()),1))),3)=0,1,0),IF(Suppliers!E51="Semi-annual",IF(MOD((YEAR(EDATE(DATE(YEAR(TODAY()),MONTH(TODAY()),1),10))-YEAR(IF(ISNUMBER(Suppliers!F51),Suppliers!F51,DATE(YEAR(TODAY()),MONTH(TODAY()),1))))*12+MONTH(EDATE(DATE(YEAR(TODAY()),MONTH(TODAY()),1),10))-MONTH(IF(ISNUMBER(Suppliers!F51),Suppliers!F51,DATE(YEAR(TODAY()),MONTH(TODAY()),1))),6)=0,1,0),IF(Suppliers!E51="Annual",IF(MOD((YEAR(EDATE(DATE(YEAR(TODAY()),MONTH(TODAY()),1),10))-YEAR(IF(ISNUMBER(Suppliers!F51),Suppliers!F51,DATE(YEAR(TODAY()),MONTH(TODAY()),1))))*12+MONTH(EDATE(DATE(YEAR(TODAY()),MONTH(TODAY()),1),10))-MONTH(IF(ISNUMBER(Suppliers!F51),Suppliers!F51,DATE(YEAR(TODAY()),MONTH(TODAY()),1))),12)=0,1,0),IF(Suppliers!E51="One-time",IF(10=0,1,0),1)))))),"")</f>
        <v/>
      </c>
      <c r="Q53" s="10" t="str">
        <f ca="1">IFERROR(IF(OR(11&gt;=$B$1,Suppliers!A51="",NOT(ISNUMBER(Suppliers!D51)),Suppliers!L51="Expired",Suppliers!L51="Terminate"),"",Suppliers!D51*-1*IF(Suppliers!E51="Monthly",IF(AND(ISNUMBER(Suppliers!G51),(YEAR(EDATE(DATE(YEAR(TODAY()),MONTH(TODAY()),1),11))*12+MONTH(EDATE(DATE(YEAR(TODAY()),MONTH(TODAY()),1),11)))&gt;(YEAR(Suppliers!G51)*12+MONTH(Suppliers!G51))),"",1),IF(Suppliers!E51="Quarterly",IF(MOD((YEAR(EDATE(DATE(YEAR(TODAY()),MONTH(TODAY()),1),11))-YEAR(IF(ISNUMBER(Suppliers!F51),Suppliers!F51,DATE(YEAR(TODAY()),MONTH(TODAY()),1))))*12+MONTH(EDATE(DATE(YEAR(TODAY()),MONTH(TODAY()),1),11))-MONTH(IF(ISNUMBER(Suppliers!F51),Suppliers!F51,DATE(YEAR(TODAY()),MONTH(TODAY()),1))),3)=0,1,0),IF(Suppliers!E51="Semi-annual",IF(MOD((YEAR(EDATE(DATE(YEAR(TODAY()),MONTH(TODAY()),1),11))-YEAR(IF(ISNUMBER(Suppliers!F51),Suppliers!F51,DATE(YEAR(TODAY()),MONTH(TODAY()),1))))*12+MONTH(EDATE(DATE(YEAR(TODAY()),MONTH(TODAY()),1),11))-MONTH(IF(ISNUMBER(Suppliers!F51),Suppliers!F51,DATE(YEAR(TODAY()),MONTH(TODAY()),1))),6)=0,1,0),IF(Suppliers!E51="Annual",IF(MOD((YEAR(EDATE(DATE(YEAR(TODAY()),MONTH(TODAY()),1),11))-YEAR(IF(ISNUMBER(Suppliers!F51),Suppliers!F51,DATE(YEAR(TODAY()),MONTH(TODAY()),1))))*12+MONTH(EDATE(DATE(YEAR(TODAY()),MONTH(TODAY()),1),11))-MONTH(IF(ISNUMBER(Suppliers!F51),Suppliers!F51,DATE(YEAR(TODAY()),MONTH(TODAY()),1))),12)=0,1,0),IF(Suppliers!E51="One-time",IF(11=0,1,0),1)))))),"")</f>
        <v/>
      </c>
      <c r="R53" s="10" t="str">
        <f ca="1">IFERROR(IF(OR(12&gt;=$B$1,Suppliers!A51="",NOT(ISNUMBER(Suppliers!D51)),Suppliers!L51="Expired",Suppliers!L51="Terminate"),"",Suppliers!D51*-1*IF(Suppliers!E51="Monthly",IF(AND(ISNUMBER(Suppliers!G51),(YEAR(EDATE(DATE(YEAR(TODAY()),MONTH(TODAY()),1),12))*12+MONTH(EDATE(DATE(YEAR(TODAY()),MONTH(TODAY()),1),12)))&gt;(YEAR(Suppliers!G51)*12+MONTH(Suppliers!G51))),"",1),IF(Suppliers!E51="Quarterly",IF(MOD((YEAR(EDATE(DATE(YEAR(TODAY()),MONTH(TODAY()),1),12))-YEAR(IF(ISNUMBER(Suppliers!F51),Suppliers!F51,DATE(YEAR(TODAY()),MONTH(TODAY()),1))))*12+MONTH(EDATE(DATE(YEAR(TODAY()),MONTH(TODAY()),1),12))-MONTH(IF(ISNUMBER(Suppliers!F51),Suppliers!F51,DATE(YEAR(TODAY()),MONTH(TODAY()),1))),3)=0,1,0),IF(Suppliers!E51="Semi-annual",IF(MOD((YEAR(EDATE(DATE(YEAR(TODAY()),MONTH(TODAY()),1),12))-YEAR(IF(ISNUMBER(Suppliers!F51),Suppliers!F51,DATE(YEAR(TODAY()),MONTH(TODAY()),1))))*12+MONTH(EDATE(DATE(YEAR(TODAY()),MONTH(TODAY()),1),12))-MONTH(IF(ISNUMBER(Suppliers!F51),Suppliers!F51,DATE(YEAR(TODAY()),MONTH(TODAY()),1))),6)=0,1,0),IF(Suppliers!E51="Annual",IF(MOD((YEAR(EDATE(DATE(YEAR(TODAY()),MONTH(TODAY()),1),12))-YEAR(IF(ISNUMBER(Suppliers!F51),Suppliers!F51,DATE(YEAR(TODAY()),MONTH(TODAY()),1))))*12+MONTH(EDATE(DATE(YEAR(TODAY()),MONTH(TODAY()),1),12))-MONTH(IF(ISNUMBER(Suppliers!F51),Suppliers!F51,DATE(YEAR(TODAY()),MONTH(TODAY()),1))),12)=0,1,0),IF(Suppliers!E51="One-time",IF(12=0,1,0),1)))))),"")</f>
        <v/>
      </c>
      <c r="S53" s="10" t="str">
        <f ca="1">IFERROR(IF(OR(13&gt;=$B$1,Suppliers!A51="",NOT(ISNUMBER(Suppliers!D51)),Suppliers!L51="Expired",Suppliers!L51="Terminate"),"",Suppliers!D51*-1*IF(Suppliers!E51="Monthly",IF(AND(ISNUMBER(Suppliers!G51),(YEAR(EDATE(DATE(YEAR(TODAY()),MONTH(TODAY()),1),13))*12+MONTH(EDATE(DATE(YEAR(TODAY()),MONTH(TODAY()),1),13)))&gt;(YEAR(Suppliers!G51)*12+MONTH(Suppliers!G51))),"",1),IF(Suppliers!E51="Quarterly",IF(MOD((YEAR(EDATE(DATE(YEAR(TODAY()),MONTH(TODAY()),1),13))-YEAR(IF(ISNUMBER(Suppliers!F51),Suppliers!F51,DATE(YEAR(TODAY()),MONTH(TODAY()),1))))*12+MONTH(EDATE(DATE(YEAR(TODAY()),MONTH(TODAY()),1),13))-MONTH(IF(ISNUMBER(Suppliers!F51),Suppliers!F51,DATE(YEAR(TODAY()),MONTH(TODAY()),1))),3)=0,1,0),IF(Suppliers!E51="Semi-annual",IF(MOD((YEAR(EDATE(DATE(YEAR(TODAY()),MONTH(TODAY()),1),13))-YEAR(IF(ISNUMBER(Suppliers!F51),Suppliers!F51,DATE(YEAR(TODAY()),MONTH(TODAY()),1))))*12+MONTH(EDATE(DATE(YEAR(TODAY()),MONTH(TODAY()),1),13))-MONTH(IF(ISNUMBER(Suppliers!F51),Suppliers!F51,DATE(YEAR(TODAY()),MONTH(TODAY()),1))),6)=0,1,0),IF(Suppliers!E51="Annual",IF(MOD((YEAR(EDATE(DATE(YEAR(TODAY()),MONTH(TODAY()),1),13))-YEAR(IF(ISNUMBER(Suppliers!F51),Suppliers!F51,DATE(YEAR(TODAY()),MONTH(TODAY()),1))))*12+MONTH(EDATE(DATE(YEAR(TODAY()),MONTH(TODAY()),1),13))-MONTH(IF(ISNUMBER(Suppliers!F51),Suppliers!F51,DATE(YEAR(TODAY()),MONTH(TODAY()),1))),12)=0,1,0),IF(Suppliers!E51="One-time",IF(13=0,1,0),1)))))),"")</f>
        <v/>
      </c>
      <c r="T53" s="10" t="str">
        <f ca="1">IFERROR(IF(OR(14&gt;=$B$1,Suppliers!A51="",NOT(ISNUMBER(Suppliers!D51)),Suppliers!L51="Expired",Suppliers!L51="Terminate"),"",Suppliers!D51*-1*IF(Suppliers!E51="Monthly",IF(AND(ISNUMBER(Suppliers!G51),(YEAR(EDATE(DATE(YEAR(TODAY()),MONTH(TODAY()),1),14))*12+MONTH(EDATE(DATE(YEAR(TODAY()),MONTH(TODAY()),1),14)))&gt;(YEAR(Suppliers!G51)*12+MONTH(Suppliers!G51))),"",1),IF(Suppliers!E51="Quarterly",IF(MOD((YEAR(EDATE(DATE(YEAR(TODAY()),MONTH(TODAY()),1),14))-YEAR(IF(ISNUMBER(Suppliers!F51),Suppliers!F51,DATE(YEAR(TODAY()),MONTH(TODAY()),1))))*12+MONTH(EDATE(DATE(YEAR(TODAY()),MONTH(TODAY()),1),14))-MONTH(IF(ISNUMBER(Suppliers!F51),Suppliers!F51,DATE(YEAR(TODAY()),MONTH(TODAY()),1))),3)=0,1,0),IF(Suppliers!E51="Semi-annual",IF(MOD((YEAR(EDATE(DATE(YEAR(TODAY()),MONTH(TODAY()),1),14))-YEAR(IF(ISNUMBER(Suppliers!F51),Suppliers!F51,DATE(YEAR(TODAY()),MONTH(TODAY()),1))))*12+MONTH(EDATE(DATE(YEAR(TODAY()),MONTH(TODAY()),1),14))-MONTH(IF(ISNUMBER(Suppliers!F51),Suppliers!F51,DATE(YEAR(TODAY()),MONTH(TODAY()),1))),6)=0,1,0),IF(Suppliers!E51="Annual",IF(MOD((YEAR(EDATE(DATE(YEAR(TODAY()),MONTH(TODAY()),1),14))-YEAR(IF(ISNUMBER(Suppliers!F51),Suppliers!F51,DATE(YEAR(TODAY()),MONTH(TODAY()),1))))*12+MONTH(EDATE(DATE(YEAR(TODAY()),MONTH(TODAY()),1),14))-MONTH(IF(ISNUMBER(Suppliers!F51),Suppliers!F51,DATE(YEAR(TODAY()),MONTH(TODAY()),1))),12)=0,1,0),IF(Suppliers!E51="One-time",IF(14=0,1,0),1)))))),"")</f>
        <v/>
      </c>
      <c r="U53" s="10" t="str">
        <f ca="1">IFERROR(IF(OR(15&gt;=$B$1,Suppliers!A51="",NOT(ISNUMBER(Suppliers!D51)),Suppliers!L51="Expired",Suppliers!L51="Terminate"),"",Suppliers!D51*-1*IF(Suppliers!E51="Monthly",IF(AND(ISNUMBER(Suppliers!G51),(YEAR(EDATE(DATE(YEAR(TODAY()),MONTH(TODAY()),1),15))*12+MONTH(EDATE(DATE(YEAR(TODAY()),MONTH(TODAY()),1),15)))&gt;(YEAR(Suppliers!G51)*12+MONTH(Suppliers!G51))),"",1),IF(Suppliers!E51="Quarterly",IF(MOD((YEAR(EDATE(DATE(YEAR(TODAY()),MONTH(TODAY()),1),15))-YEAR(IF(ISNUMBER(Suppliers!F51),Suppliers!F51,DATE(YEAR(TODAY()),MONTH(TODAY()),1))))*12+MONTH(EDATE(DATE(YEAR(TODAY()),MONTH(TODAY()),1),15))-MONTH(IF(ISNUMBER(Suppliers!F51),Suppliers!F51,DATE(YEAR(TODAY()),MONTH(TODAY()),1))),3)=0,1,0),IF(Suppliers!E51="Semi-annual",IF(MOD((YEAR(EDATE(DATE(YEAR(TODAY()),MONTH(TODAY()),1),15))-YEAR(IF(ISNUMBER(Suppliers!F51),Suppliers!F51,DATE(YEAR(TODAY()),MONTH(TODAY()),1))))*12+MONTH(EDATE(DATE(YEAR(TODAY()),MONTH(TODAY()),1),15))-MONTH(IF(ISNUMBER(Suppliers!F51),Suppliers!F51,DATE(YEAR(TODAY()),MONTH(TODAY()),1))),6)=0,1,0),IF(Suppliers!E51="Annual",IF(MOD((YEAR(EDATE(DATE(YEAR(TODAY()),MONTH(TODAY()),1),15))-YEAR(IF(ISNUMBER(Suppliers!F51),Suppliers!F51,DATE(YEAR(TODAY()),MONTH(TODAY()),1))))*12+MONTH(EDATE(DATE(YEAR(TODAY()),MONTH(TODAY()),1),15))-MONTH(IF(ISNUMBER(Suppliers!F51),Suppliers!F51,DATE(YEAR(TODAY()),MONTH(TODAY()),1))),12)=0,1,0),IF(Suppliers!E51="One-time",IF(15=0,1,0),1)))))),"")</f>
        <v/>
      </c>
      <c r="V53" s="10" t="str">
        <f ca="1">IFERROR(IF(OR(16&gt;=$B$1,Suppliers!A51="",NOT(ISNUMBER(Suppliers!D51)),Suppliers!L51="Expired",Suppliers!L51="Terminate"),"",Suppliers!D51*-1*IF(Suppliers!E51="Monthly",IF(AND(ISNUMBER(Suppliers!G51),(YEAR(EDATE(DATE(YEAR(TODAY()),MONTH(TODAY()),1),16))*12+MONTH(EDATE(DATE(YEAR(TODAY()),MONTH(TODAY()),1),16)))&gt;(YEAR(Suppliers!G51)*12+MONTH(Suppliers!G51))),"",1),IF(Suppliers!E51="Quarterly",IF(MOD((YEAR(EDATE(DATE(YEAR(TODAY()),MONTH(TODAY()),1),16))-YEAR(IF(ISNUMBER(Suppliers!F51),Suppliers!F51,DATE(YEAR(TODAY()),MONTH(TODAY()),1))))*12+MONTH(EDATE(DATE(YEAR(TODAY()),MONTH(TODAY()),1),16))-MONTH(IF(ISNUMBER(Suppliers!F51),Suppliers!F51,DATE(YEAR(TODAY()),MONTH(TODAY()),1))),3)=0,1,0),IF(Suppliers!E51="Semi-annual",IF(MOD((YEAR(EDATE(DATE(YEAR(TODAY()),MONTH(TODAY()),1),16))-YEAR(IF(ISNUMBER(Suppliers!F51),Suppliers!F51,DATE(YEAR(TODAY()),MONTH(TODAY()),1))))*12+MONTH(EDATE(DATE(YEAR(TODAY()),MONTH(TODAY()),1),16))-MONTH(IF(ISNUMBER(Suppliers!F51),Suppliers!F51,DATE(YEAR(TODAY()),MONTH(TODAY()),1))),6)=0,1,0),IF(Suppliers!E51="Annual",IF(MOD((YEAR(EDATE(DATE(YEAR(TODAY()),MONTH(TODAY()),1),16))-YEAR(IF(ISNUMBER(Suppliers!F51),Suppliers!F51,DATE(YEAR(TODAY()),MONTH(TODAY()),1))))*12+MONTH(EDATE(DATE(YEAR(TODAY()),MONTH(TODAY()),1),16))-MONTH(IF(ISNUMBER(Suppliers!F51),Suppliers!F51,DATE(YEAR(TODAY()),MONTH(TODAY()),1))),12)=0,1,0),IF(Suppliers!E51="One-time",IF(16=0,1,0),1)))))),"")</f>
        <v/>
      </c>
      <c r="W53" s="10" t="str">
        <f ca="1">IFERROR(IF(OR(17&gt;=$B$1,Suppliers!A51="",NOT(ISNUMBER(Suppliers!D51)),Suppliers!L51="Expired",Suppliers!L51="Terminate"),"",Suppliers!D51*-1*IF(Suppliers!E51="Monthly",IF(AND(ISNUMBER(Suppliers!G51),(YEAR(EDATE(DATE(YEAR(TODAY()),MONTH(TODAY()),1),17))*12+MONTH(EDATE(DATE(YEAR(TODAY()),MONTH(TODAY()),1),17)))&gt;(YEAR(Suppliers!G51)*12+MONTH(Suppliers!G51))),"",1),IF(Suppliers!E51="Quarterly",IF(MOD((YEAR(EDATE(DATE(YEAR(TODAY()),MONTH(TODAY()),1),17))-YEAR(IF(ISNUMBER(Suppliers!F51),Suppliers!F51,DATE(YEAR(TODAY()),MONTH(TODAY()),1))))*12+MONTH(EDATE(DATE(YEAR(TODAY()),MONTH(TODAY()),1),17))-MONTH(IF(ISNUMBER(Suppliers!F51),Suppliers!F51,DATE(YEAR(TODAY()),MONTH(TODAY()),1))),3)=0,1,0),IF(Suppliers!E51="Semi-annual",IF(MOD((YEAR(EDATE(DATE(YEAR(TODAY()),MONTH(TODAY()),1),17))-YEAR(IF(ISNUMBER(Suppliers!F51),Suppliers!F51,DATE(YEAR(TODAY()),MONTH(TODAY()),1))))*12+MONTH(EDATE(DATE(YEAR(TODAY()),MONTH(TODAY()),1),17))-MONTH(IF(ISNUMBER(Suppliers!F51),Suppliers!F51,DATE(YEAR(TODAY()),MONTH(TODAY()),1))),6)=0,1,0),IF(Suppliers!E51="Annual",IF(MOD((YEAR(EDATE(DATE(YEAR(TODAY()),MONTH(TODAY()),1),17))-YEAR(IF(ISNUMBER(Suppliers!F51),Suppliers!F51,DATE(YEAR(TODAY()),MONTH(TODAY()),1))))*12+MONTH(EDATE(DATE(YEAR(TODAY()),MONTH(TODAY()),1),17))-MONTH(IF(ISNUMBER(Suppliers!F51),Suppliers!F51,DATE(YEAR(TODAY()),MONTH(TODAY()),1))),12)=0,1,0),IF(Suppliers!E51="One-time",IF(17=0,1,0),1)))))),"")</f>
        <v/>
      </c>
      <c r="X53" s="10" t="str">
        <f ca="1">IFERROR(IF(OR(18&gt;=$B$1,Suppliers!A51="",NOT(ISNUMBER(Suppliers!D51)),Suppliers!L51="Expired",Suppliers!L51="Terminate"),"",Suppliers!D51*-1*IF(Suppliers!E51="Monthly",IF(AND(ISNUMBER(Suppliers!G51),(YEAR(EDATE(DATE(YEAR(TODAY()),MONTH(TODAY()),1),18))*12+MONTH(EDATE(DATE(YEAR(TODAY()),MONTH(TODAY()),1),18)))&gt;(YEAR(Suppliers!G51)*12+MONTH(Suppliers!G51))),"",1),IF(Suppliers!E51="Quarterly",IF(MOD((YEAR(EDATE(DATE(YEAR(TODAY()),MONTH(TODAY()),1),18))-YEAR(IF(ISNUMBER(Suppliers!F51),Suppliers!F51,DATE(YEAR(TODAY()),MONTH(TODAY()),1))))*12+MONTH(EDATE(DATE(YEAR(TODAY()),MONTH(TODAY()),1),18))-MONTH(IF(ISNUMBER(Suppliers!F51),Suppliers!F51,DATE(YEAR(TODAY()),MONTH(TODAY()),1))),3)=0,1,0),IF(Suppliers!E51="Semi-annual",IF(MOD((YEAR(EDATE(DATE(YEAR(TODAY()),MONTH(TODAY()),1),18))-YEAR(IF(ISNUMBER(Suppliers!F51),Suppliers!F51,DATE(YEAR(TODAY()),MONTH(TODAY()),1))))*12+MONTH(EDATE(DATE(YEAR(TODAY()),MONTH(TODAY()),1),18))-MONTH(IF(ISNUMBER(Suppliers!F51),Suppliers!F51,DATE(YEAR(TODAY()),MONTH(TODAY()),1))),6)=0,1,0),IF(Suppliers!E51="Annual",IF(MOD((YEAR(EDATE(DATE(YEAR(TODAY()),MONTH(TODAY()),1),18))-YEAR(IF(ISNUMBER(Suppliers!F51),Suppliers!F51,DATE(YEAR(TODAY()),MONTH(TODAY()),1))))*12+MONTH(EDATE(DATE(YEAR(TODAY()),MONTH(TODAY()),1),18))-MONTH(IF(ISNUMBER(Suppliers!F51),Suppliers!F51,DATE(YEAR(TODAY()),MONTH(TODAY()),1))),12)=0,1,0),IF(Suppliers!E51="One-time",IF(18=0,1,0),1)))))),"")</f>
        <v/>
      </c>
      <c r="Y53" s="10" t="str">
        <f ca="1">IFERROR(IF(OR(19&gt;=$B$1,Suppliers!A51="",NOT(ISNUMBER(Suppliers!D51)),Suppliers!L51="Expired",Suppliers!L51="Terminate"),"",Suppliers!D51*-1*IF(Suppliers!E51="Monthly",IF(AND(ISNUMBER(Suppliers!G51),(YEAR(EDATE(DATE(YEAR(TODAY()),MONTH(TODAY()),1),19))*12+MONTH(EDATE(DATE(YEAR(TODAY()),MONTH(TODAY()),1),19)))&gt;(YEAR(Suppliers!G51)*12+MONTH(Suppliers!G51))),"",1),IF(Suppliers!E51="Quarterly",IF(MOD((YEAR(EDATE(DATE(YEAR(TODAY()),MONTH(TODAY()),1),19))-YEAR(IF(ISNUMBER(Suppliers!F51),Suppliers!F51,DATE(YEAR(TODAY()),MONTH(TODAY()),1))))*12+MONTH(EDATE(DATE(YEAR(TODAY()),MONTH(TODAY()),1),19))-MONTH(IF(ISNUMBER(Suppliers!F51),Suppliers!F51,DATE(YEAR(TODAY()),MONTH(TODAY()),1))),3)=0,1,0),IF(Suppliers!E51="Semi-annual",IF(MOD((YEAR(EDATE(DATE(YEAR(TODAY()),MONTH(TODAY()),1),19))-YEAR(IF(ISNUMBER(Suppliers!F51),Suppliers!F51,DATE(YEAR(TODAY()),MONTH(TODAY()),1))))*12+MONTH(EDATE(DATE(YEAR(TODAY()),MONTH(TODAY()),1),19))-MONTH(IF(ISNUMBER(Suppliers!F51),Suppliers!F51,DATE(YEAR(TODAY()),MONTH(TODAY()),1))),6)=0,1,0),IF(Suppliers!E51="Annual",IF(MOD((YEAR(EDATE(DATE(YEAR(TODAY()),MONTH(TODAY()),1),19))-YEAR(IF(ISNUMBER(Suppliers!F51),Suppliers!F51,DATE(YEAR(TODAY()),MONTH(TODAY()),1))))*12+MONTH(EDATE(DATE(YEAR(TODAY()),MONTH(TODAY()),1),19))-MONTH(IF(ISNUMBER(Suppliers!F51),Suppliers!F51,DATE(YEAR(TODAY()),MONTH(TODAY()),1))),12)=0,1,0),IF(Suppliers!E51="One-time",IF(19=0,1,0),1)))))),"")</f>
        <v/>
      </c>
      <c r="Z53" s="10" t="str">
        <f ca="1">IFERROR(IF(OR(20&gt;=$B$1,Suppliers!A51="",NOT(ISNUMBER(Suppliers!D51)),Suppliers!L51="Expired",Suppliers!L51="Terminate"),"",Suppliers!D51*-1*IF(Suppliers!E51="Monthly",IF(AND(ISNUMBER(Suppliers!G51),(YEAR(EDATE(DATE(YEAR(TODAY()),MONTH(TODAY()),1),20))*12+MONTH(EDATE(DATE(YEAR(TODAY()),MONTH(TODAY()),1),20)))&gt;(YEAR(Suppliers!G51)*12+MONTH(Suppliers!G51))),"",1),IF(Suppliers!E51="Quarterly",IF(MOD((YEAR(EDATE(DATE(YEAR(TODAY()),MONTH(TODAY()),1),20))-YEAR(IF(ISNUMBER(Suppliers!F51),Suppliers!F51,DATE(YEAR(TODAY()),MONTH(TODAY()),1))))*12+MONTH(EDATE(DATE(YEAR(TODAY()),MONTH(TODAY()),1),20))-MONTH(IF(ISNUMBER(Suppliers!F51),Suppliers!F51,DATE(YEAR(TODAY()),MONTH(TODAY()),1))),3)=0,1,0),IF(Suppliers!E51="Semi-annual",IF(MOD((YEAR(EDATE(DATE(YEAR(TODAY()),MONTH(TODAY()),1),20))-YEAR(IF(ISNUMBER(Suppliers!F51),Suppliers!F51,DATE(YEAR(TODAY()),MONTH(TODAY()),1))))*12+MONTH(EDATE(DATE(YEAR(TODAY()),MONTH(TODAY()),1),20))-MONTH(IF(ISNUMBER(Suppliers!F51),Suppliers!F51,DATE(YEAR(TODAY()),MONTH(TODAY()),1))),6)=0,1,0),IF(Suppliers!E51="Annual",IF(MOD((YEAR(EDATE(DATE(YEAR(TODAY()),MONTH(TODAY()),1),20))-YEAR(IF(ISNUMBER(Suppliers!F51),Suppliers!F51,DATE(YEAR(TODAY()),MONTH(TODAY()),1))))*12+MONTH(EDATE(DATE(YEAR(TODAY()),MONTH(TODAY()),1),20))-MONTH(IF(ISNUMBER(Suppliers!F51),Suppliers!F51,DATE(YEAR(TODAY()),MONTH(TODAY()),1))),12)=0,1,0),IF(Suppliers!E51="One-time",IF(20=0,1,0),1)))))),"")</f>
        <v/>
      </c>
      <c r="AA53" s="10" t="str">
        <f ca="1">IFERROR(IF(OR(21&gt;=$B$1,Suppliers!A51="",NOT(ISNUMBER(Suppliers!D51)),Suppliers!L51="Expired",Suppliers!L51="Terminate"),"",Suppliers!D51*-1*IF(Suppliers!E51="Monthly",IF(AND(ISNUMBER(Suppliers!G51),(YEAR(EDATE(DATE(YEAR(TODAY()),MONTH(TODAY()),1),21))*12+MONTH(EDATE(DATE(YEAR(TODAY()),MONTH(TODAY()),1),21)))&gt;(YEAR(Suppliers!G51)*12+MONTH(Suppliers!G51))),"",1),IF(Suppliers!E51="Quarterly",IF(MOD((YEAR(EDATE(DATE(YEAR(TODAY()),MONTH(TODAY()),1),21))-YEAR(IF(ISNUMBER(Suppliers!F51),Suppliers!F51,DATE(YEAR(TODAY()),MONTH(TODAY()),1))))*12+MONTH(EDATE(DATE(YEAR(TODAY()),MONTH(TODAY()),1),21))-MONTH(IF(ISNUMBER(Suppliers!F51),Suppliers!F51,DATE(YEAR(TODAY()),MONTH(TODAY()),1))),3)=0,1,0),IF(Suppliers!E51="Semi-annual",IF(MOD((YEAR(EDATE(DATE(YEAR(TODAY()),MONTH(TODAY()),1),21))-YEAR(IF(ISNUMBER(Suppliers!F51),Suppliers!F51,DATE(YEAR(TODAY()),MONTH(TODAY()),1))))*12+MONTH(EDATE(DATE(YEAR(TODAY()),MONTH(TODAY()),1),21))-MONTH(IF(ISNUMBER(Suppliers!F51),Suppliers!F51,DATE(YEAR(TODAY()),MONTH(TODAY()),1))),6)=0,1,0),IF(Suppliers!E51="Annual",IF(MOD((YEAR(EDATE(DATE(YEAR(TODAY()),MONTH(TODAY()),1),21))-YEAR(IF(ISNUMBER(Suppliers!F51),Suppliers!F51,DATE(YEAR(TODAY()),MONTH(TODAY()),1))))*12+MONTH(EDATE(DATE(YEAR(TODAY()),MONTH(TODAY()),1),21))-MONTH(IF(ISNUMBER(Suppliers!F51),Suppliers!F51,DATE(YEAR(TODAY()),MONTH(TODAY()),1))),12)=0,1,0),IF(Suppliers!E51="One-time",IF(21=0,1,0),1)))))),"")</f>
        <v/>
      </c>
      <c r="AB53" s="10" t="str">
        <f ca="1">IFERROR(IF(OR(22&gt;=$B$1,Suppliers!A51="",NOT(ISNUMBER(Suppliers!D51)),Suppliers!L51="Expired",Suppliers!L51="Terminate"),"",Suppliers!D51*-1*IF(Suppliers!E51="Monthly",IF(AND(ISNUMBER(Suppliers!G51),(YEAR(EDATE(DATE(YEAR(TODAY()),MONTH(TODAY()),1),22))*12+MONTH(EDATE(DATE(YEAR(TODAY()),MONTH(TODAY()),1),22)))&gt;(YEAR(Suppliers!G51)*12+MONTH(Suppliers!G51))),"",1),IF(Suppliers!E51="Quarterly",IF(MOD((YEAR(EDATE(DATE(YEAR(TODAY()),MONTH(TODAY()),1),22))-YEAR(IF(ISNUMBER(Suppliers!F51),Suppliers!F51,DATE(YEAR(TODAY()),MONTH(TODAY()),1))))*12+MONTH(EDATE(DATE(YEAR(TODAY()),MONTH(TODAY()),1),22))-MONTH(IF(ISNUMBER(Suppliers!F51),Suppliers!F51,DATE(YEAR(TODAY()),MONTH(TODAY()),1))),3)=0,1,0),IF(Suppliers!E51="Semi-annual",IF(MOD((YEAR(EDATE(DATE(YEAR(TODAY()),MONTH(TODAY()),1),22))-YEAR(IF(ISNUMBER(Suppliers!F51),Suppliers!F51,DATE(YEAR(TODAY()),MONTH(TODAY()),1))))*12+MONTH(EDATE(DATE(YEAR(TODAY()),MONTH(TODAY()),1),22))-MONTH(IF(ISNUMBER(Suppliers!F51),Suppliers!F51,DATE(YEAR(TODAY()),MONTH(TODAY()),1))),6)=0,1,0),IF(Suppliers!E51="Annual",IF(MOD((YEAR(EDATE(DATE(YEAR(TODAY()),MONTH(TODAY()),1),22))-YEAR(IF(ISNUMBER(Suppliers!F51),Suppliers!F51,DATE(YEAR(TODAY()),MONTH(TODAY()),1))))*12+MONTH(EDATE(DATE(YEAR(TODAY()),MONTH(TODAY()),1),22))-MONTH(IF(ISNUMBER(Suppliers!F51),Suppliers!F51,DATE(YEAR(TODAY()),MONTH(TODAY()),1))),12)=0,1,0),IF(Suppliers!E51="One-time",IF(22=0,1,0),1)))))),"")</f>
        <v/>
      </c>
      <c r="AC53" s="10" t="str">
        <f ca="1">IFERROR(IF(OR(23&gt;=$B$1,Suppliers!A51="",NOT(ISNUMBER(Suppliers!D51)),Suppliers!L51="Expired",Suppliers!L51="Terminate"),"",Suppliers!D51*-1*IF(Suppliers!E51="Monthly",IF(AND(ISNUMBER(Suppliers!G51),(YEAR(EDATE(DATE(YEAR(TODAY()),MONTH(TODAY()),1),23))*12+MONTH(EDATE(DATE(YEAR(TODAY()),MONTH(TODAY()),1),23)))&gt;(YEAR(Suppliers!G51)*12+MONTH(Suppliers!G51))),"",1),IF(Suppliers!E51="Quarterly",IF(MOD((YEAR(EDATE(DATE(YEAR(TODAY()),MONTH(TODAY()),1),23))-YEAR(IF(ISNUMBER(Suppliers!F51),Suppliers!F51,DATE(YEAR(TODAY()),MONTH(TODAY()),1))))*12+MONTH(EDATE(DATE(YEAR(TODAY()),MONTH(TODAY()),1),23))-MONTH(IF(ISNUMBER(Suppliers!F51),Suppliers!F51,DATE(YEAR(TODAY()),MONTH(TODAY()),1))),3)=0,1,0),IF(Suppliers!E51="Semi-annual",IF(MOD((YEAR(EDATE(DATE(YEAR(TODAY()),MONTH(TODAY()),1),23))-YEAR(IF(ISNUMBER(Suppliers!F51),Suppliers!F51,DATE(YEAR(TODAY()),MONTH(TODAY()),1))))*12+MONTH(EDATE(DATE(YEAR(TODAY()),MONTH(TODAY()),1),23))-MONTH(IF(ISNUMBER(Suppliers!F51),Suppliers!F51,DATE(YEAR(TODAY()),MONTH(TODAY()),1))),6)=0,1,0),IF(Suppliers!E51="Annual",IF(MOD((YEAR(EDATE(DATE(YEAR(TODAY()),MONTH(TODAY()),1),23))-YEAR(IF(ISNUMBER(Suppliers!F51),Suppliers!F51,DATE(YEAR(TODAY()),MONTH(TODAY()),1))))*12+MONTH(EDATE(DATE(YEAR(TODAY()),MONTH(TODAY()),1),23))-MONTH(IF(ISNUMBER(Suppliers!F51),Suppliers!F51,DATE(YEAR(TODAY()),MONTH(TODAY()),1))),12)=0,1,0),IF(Suppliers!E51="One-time",IF(23=0,1,0),1)))))),"")</f>
        <v/>
      </c>
    </row>
    <row r="54" spans="1:30" ht="15" customHeight="1" x14ac:dyDescent="0.35">
      <c r="A54" s="4" t="s">
        <v>80</v>
      </c>
      <c r="B54" s="4" t="str">
        <f>IF(Suppliers!A52="","",Suppliers!A52)</f>
        <v/>
      </c>
      <c r="C54" s="10" t="str">
        <f>IF(Suppliers!C52="","",Suppliers!C52)</f>
        <v/>
      </c>
      <c r="D54" s="10" t="str">
        <f>IF(Suppliers!D52="","",Suppliers!D52)</f>
        <v/>
      </c>
      <c r="E54" s="4" t="str">
        <f>IF(Suppliers!E52="","",Suppliers!E52)</f>
        <v/>
      </c>
      <c r="F54" s="10" t="str">
        <f ca="1">IFERROR(IF(OR(0&gt;=$B$1,Suppliers!A52="",NOT(ISNUMBER(Suppliers!D52)),Suppliers!L52="Expired",Suppliers!L52="Terminate"),"",Suppliers!D52*-1*IF(Suppliers!E52="Monthly",IF(AND(ISNUMBER(Suppliers!G52),(YEAR(EDATE(DATE(YEAR(TODAY()),MONTH(TODAY()),1),0))*12+MONTH(EDATE(DATE(YEAR(TODAY()),MONTH(TODAY()),1),0)))&gt;(YEAR(Suppliers!G52)*12+MONTH(Suppliers!G52))),"",1),IF(Suppliers!E52="Quarterly",IF(MOD((YEAR(EDATE(DATE(YEAR(TODAY()),MONTH(TODAY()),1),0))-YEAR(IF(ISNUMBER(Suppliers!F52),Suppliers!F52,DATE(YEAR(TODAY()),MONTH(TODAY()),1))))*12+MONTH(EDATE(DATE(YEAR(TODAY()),MONTH(TODAY()),1),0))-MONTH(IF(ISNUMBER(Suppliers!F52),Suppliers!F52,DATE(YEAR(TODAY()),MONTH(TODAY()),1))),3)=0,1,0),IF(Suppliers!E52="Semi-annual",IF(MOD((YEAR(EDATE(DATE(YEAR(TODAY()),MONTH(TODAY()),1),0))-YEAR(IF(ISNUMBER(Suppliers!F52),Suppliers!F52,DATE(YEAR(TODAY()),MONTH(TODAY()),1))))*12+MONTH(EDATE(DATE(YEAR(TODAY()),MONTH(TODAY()),1),0))-MONTH(IF(ISNUMBER(Suppliers!F52),Suppliers!F52,DATE(YEAR(TODAY()),MONTH(TODAY()),1))),6)=0,1,0),IF(Suppliers!E52="Annual",IF(MOD((YEAR(EDATE(DATE(YEAR(TODAY()),MONTH(TODAY()),1),0))-YEAR(IF(ISNUMBER(Suppliers!F52),Suppliers!F52,DATE(YEAR(TODAY()),MONTH(TODAY()),1))))*12+MONTH(EDATE(DATE(YEAR(TODAY()),MONTH(TODAY()),1),0))-MONTH(IF(ISNUMBER(Suppliers!F52),Suppliers!F52,DATE(YEAR(TODAY()),MONTH(TODAY()),1))),12)=0,1,0),IF(Suppliers!E52="One-time",IF(0=0,1,0),1)))))),"")</f>
        <v/>
      </c>
      <c r="G54" s="10" t="str">
        <f ca="1">IFERROR(IF(OR(1&gt;=$B$1,Suppliers!A52="",NOT(ISNUMBER(Suppliers!D52)),Suppliers!L52="Expired",Suppliers!L52="Terminate"),"",Suppliers!D52*-1*IF(Suppliers!E52="Monthly",IF(AND(ISNUMBER(Suppliers!G52),(YEAR(EDATE(DATE(YEAR(TODAY()),MONTH(TODAY()),1),1))*12+MONTH(EDATE(DATE(YEAR(TODAY()),MONTH(TODAY()),1),1)))&gt;(YEAR(Suppliers!G52)*12+MONTH(Suppliers!G52))),"",1),IF(Suppliers!E52="Quarterly",IF(MOD((YEAR(EDATE(DATE(YEAR(TODAY()),MONTH(TODAY()),1),1))-YEAR(IF(ISNUMBER(Suppliers!F52),Suppliers!F52,DATE(YEAR(TODAY()),MONTH(TODAY()),1))))*12+MONTH(EDATE(DATE(YEAR(TODAY()),MONTH(TODAY()),1),1))-MONTH(IF(ISNUMBER(Suppliers!F52),Suppliers!F52,DATE(YEAR(TODAY()),MONTH(TODAY()),1))),3)=0,1,0),IF(Suppliers!E52="Semi-annual",IF(MOD((YEAR(EDATE(DATE(YEAR(TODAY()),MONTH(TODAY()),1),1))-YEAR(IF(ISNUMBER(Suppliers!F52),Suppliers!F52,DATE(YEAR(TODAY()),MONTH(TODAY()),1))))*12+MONTH(EDATE(DATE(YEAR(TODAY()),MONTH(TODAY()),1),1))-MONTH(IF(ISNUMBER(Suppliers!F52),Suppliers!F52,DATE(YEAR(TODAY()),MONTH(TODAY()),1))),6)=0,1,0),IF(Suppliers!E52="Annual",IF(MOD((YEAR(EDATE(DATE(YEAR(TODAY()),MONTH(TODAY()),1),1))-YEAR(IF(ISNUMBER(Suppliers!F52),Suppliers!F52,DATE(YEAR(TODAY()),MONTH(TODAY()),1))))*12+MONTH(EDATE(DATE(YEAR(TODAY()),MONTH(TODAY()),1),1))-MONTH(IF(ISNUMBER(Suppliers!F52),Suppliers!F52,DATE(YEAR(TODAY()),MONTH(TODAY()),1))),12)=0,1,0),IF(Suppliers!E52="One-time",IF(1=0,1,0),1)))))),"")</f>
        <v/>
      </c>
      <c r="H54" s="10" t="str">
        <f ca="1">IFERROR(IF(OR(2&gt;=$B$1,Suppliers!A52="",NOT(ISNUMBER(Suppliers!D52)),Suppliers!L52="Expired",Suppliers!L52="Terminate"),"",Suppliers!D52*-1*IF(Suppliers!E52="Monthly",IF(AND(ISNUMBER(Suppliers!G52),(YEAR(EDATE(DATE(YEAR(TODAY()),MONTH(TODAY()),1),2))*12+MONTH(EDATE(DATE(YEAR(TODAY()),MONTH(TODAY()),1),2)))&gt;(YEAR(Suppliers!G52)*12+MONTH(Suppliers!G52))),"",1),IF(Suppliers!E52="Quarterly",IF(MOD((YEAR(EDATE(DATE(YEAR(TODAY()),MONTH(TODAY()),1),2))-YEAR(IF(ISNUMBER(Suppliers!F52),Suppliers!F52,DATE(YEAR(TODAY()),MONTH(TODAY()),1))))*12+MONTH(EDATE(DATE(YEAR(TODAY()),MONTH(TODAY()),1),2))-MONTH(IF(ISNUMBER(Suppliers!F52),Suppliers!F52,DATE(YEAR(TODAY()),MONTH(TODAY()),1))),3)=0,1,0),IF(Suppliers!E52="Semi-annual",IF(MOD((YEAR(EDATE(DATE(YEAR(TODAY()),MONTH(TODAY()),1),2))-YEAR(IF(ISNUMBER(Suppliers!F52),Suppliers!F52,DATE(YEAR(TODAY()),MONTH(TODAY()),1))))*12+MONTH(EDATE(DATE(YEAR(TODAY()),MONTH(TODAY()),1),2))-MONTH(IF(ISNUMBER(Suppliers!F52),Suppliers!F52,DATE(YEAR(TODAY()),MONTH(TODAY()),1))),6)=0,1,0),IF(Suppliers!E52="Annual",IF(MOD((YEAR(EDATE(DATE(YEAR(TODAY()),MONTH(TODAY()),1),2))-YEAR(IF(ISNUMBER(Suppliers!F52),Suppliers!F52,DATE(YEAR(TODAY()),MONTH(TODAY()),1))))*12+MONTH(EDATE(DATE(YEAR(TODAY()),MONTH(TODAY()),1),2))-MONTH(IF(ISNUMBER(Suppliers!F52),Suppliers!F52,DATE(YEAR(TODAY()),MONTH(TODAY()),1))),12)=0,1,0),IF(Suppliers!E52="One-time",IF(2=0,1,0),1)))))),"")</f>
        <v/>
      </c>
      <c r="I54" s="10" t="str">
        <f ca="1">IFERROR(IF(OR(3&gt;=$B$1,Suppliers!A52="",NOT(ISNUMBER(Suppliers!D52)),Suppliers!L52="Expired",Suppliers!L52="Terminate"),"",Suppliers!D52*-1*IF(Suppliers!E52="Monthly",IF(AND(ISNUMBER(Suppliers!G52),(YEAR(EDATE(DATE(YEAR(TODAY()),MONTH(TODAY()),1),3))*12+MONTH(EDATE(DATE(YEAR(TODAY()),MONTH(TODAY()),1),3)))&gt;(YEAR(Suppliers!G52)*12+MONTH(Suppliers!G52))),"",1),IF(Suppliers!E52="Quarterly",IF(MOD((YEAR(EDATE(DATE(YEAR(TODAY()),MONTH(TODAY()),1),3))-YEAR(IF(ISNUMBER(Suppliers!F52),Suppliers!F52,DATE(YEAR(TODAY()),MONTH(TODAY()),1))))*12+MONTH(EDATE(DATE(YEAR(TODAY()),MONTH(TODAY()),1),3))-MONTH(IF(ISNUMBER(Suppliers!F52),Suppliers!F52,DATE(YEAR(TODAY()),MONTH(TODAY()),1))),3)=0,1,0),IF(Suppliers!E52="Semi-annual",IF(MOD((YEAR(EDATE(DATE(YEAR(TODAY()),MONTH(TODAY()),1),3))-YEAR(IF(ISNUMBER(Suppliers!F52),Suppliers!F52,DATE(YEAR(TODAY()),MONTH(TODAY()),1))))*12+MONTH(EDATE(DATE(YEAR(TODAY()),MONTH(TODAY()),1),3))-MONTH(IF(ISNUMBER(Suppliers!F52),Suppliers!F52,DATE(YEAR(TODAY()),MONTH(TODAY()),1))),6)=0,1,0),IF(Suppliers!E52="Annual",IF(MOD((YEAR(EDATE(DATE(YEAR(TODAY()),MONTH(TODAY()),1),3))-YEAR(IF(ISNUMBER(Suppliers!F52),Suppliers!F52,DATE(YEAR(TODAY()),MONTH(TODAY()),1))))*12+MONTH(EDATE(DATE(YEAR(TODAY()),MONTH(TODAY()),1),3))-MONTH(IF(ISNUMBER(Suppliers!F52),Suppliers!F52,DATE(YEAR(TODAY()),MONTH(TODAY()),1))),12)=0,1,0),IF(Suppliers!E52="One-time",IF(3=0,1,0),1)))))),"")</f>
        <v/>
      </c>
      <c r="J54" s="10" t="str">
        <f ca="1">IFERROR(IF(OR(4&gt;=$B$1,Suppliers!A52="",NOT(ISNUMBER(Suppliers!D52)),Suppliers!L52="Expired",Suppliers!L52="Terminate"),"",Suppliers!D52*-1*IF(Suppliers!E52="Monthly",IF(AND(ISNUMBER(Suppliers!G52),(YEAR(EDATE(DATE(YEAR(TODAY()),MONTH(TODAY()),1),4))*12+MONTH(EDATE(DATE(YEAR(TODAY()),MONTH(TODAY()),1),4)))&gt;(YEAR(Suppliers!G52)*12+MONTH(Suppliers!G52))),"",1),IF(Suppliers!E52="Quarterly",IF(MOD((YEAR(EDATE(DATE(YEAR(TODAY()),MONTH(TODAY()),1),4))-YEAR(IF(ISNUMBER(Suppliers!F52),Suppliers!F52,DATE(YEAR(TODAY()),MONTH(TODAY()),1))))*12+MONTH(EDATE(DATE(YEAR(TODAY()),MONTH(TODAY()),1),4))-MONTH(IF(ISNUMBER(Suppliers!F52),Suppliers!F52,DATE(YEAR(TODAY()),MONTH(TODAY()),1))),3)=0,1,0),IF(Suppliers!E52="Semi-annual",IF(MOD((YEAR(EDATE(DATE(YEAR(TODAY()),MONTH(TODAY()),1),4))-YEAR(IF(ISNUMBER(Suppliers!F52),Suppliers!F52,DATE(YEAR(TODAY()),MONTH(TODAY()),1))))*12+MONTH(EDATE(DATE(YEAR(TODAY()),MONTH(TODAY()),1),4))-MONTH(IF(ISNUMBER(Suppliers!F52),Suppliers!F52,DATE(YEAR(TODAY()),MONTH(TODAY()),1))),6)=0,1,0),IF(Suppliers!E52="Annual",IF(MOD((YEAR(EDATE(DATE(YEAR(TODAY()),MONTH(TODAY()),1),4))-YEAR(IF(ISNUMBER(Suppliers!F52),Suppliers!F52,DATE(YEAR(TODAY()),MONTH(TODAY()),1))))*12+MONTH(EDATE(DATE(YEAR(TODAY()),MONTH(TODAY()),1),4))-MONTH(IF(ISNUMBER(Suppliers!F52),Suppliers!F52,DATE(YEAR(TODAY()),MONTH(TODAY()),1))),12)=0,1,0),IF(Suppliers!E52="One-time",IF(4=0,1,0),1)))))),"")</f>
        <v/>
      </c>
      <c r="K54" s="10" t="str">
        <f ca="1">IFERROR(IF(OR(5&gt;=$B$1,Suppliers!A52="",NOT(ISNUMBER(Suppliers!D52)),Suppliers!L52="Expired",Suppliers!L52="Terminate"),"",Suppliers!D52*-1*IF(Suppliers!E52="Monthly",IF(AND(ISNUMBER(Suppliers!G52),(YEAR(EDATE(DATE(YEAR(TODAY()),MONTH(TODAY()),1),5))*12+MONTH(EDATE(DATE(YEAR(TODAY()),MONTH(TODAY()),1),5)))&gt;(YEAR(Suppliers!G52)*12+MONTH(Suppliers!G52))),"",1),IF(Suppliers!E52="Quarterly",IF(MOD((YEAR(EDATE(DATE(YEAR(TODAY()),MONTH(TODAY()),1),5))-YEAR(IF(ISNUMBER(Suppliers!F52),Suppliers!F52,DATE(YEAR(TODAY()),MONTH(TODAY()),1))))*12+MONTH(EDATE(DATE(YEAR(TODAY()),MONTH(TODAY()),1),5))-MONTH(IF(ISNUMBER(Suppliers!F52),Suppliers!F52,DATE(YEAR(TODAY()),MONTH(TODAY()),1))),3)=0,1,0),IF(Suppliers!E52="Semi-annual",IF(MOD((YEAR(EDATE(DATE(YEAR(TODAY()),MONTH(TODAY()),1),5))-YEAR(IF(ISNUMBER(Suppliers!F52),Suppliers!F52,DATE(YEAR(TODAY()),MONTH(TODAY()),1))))*12+MONTH(EDATE(DATE(YEAR(TODAY()),MONTH(TODAY()),1),5))-MONTH(IF(ISNUMBER(Suppliers!F52),Suppliers!F52,DATE(YEAR(TODAY()),MONTH(TODAY()),1))),6)=0,1,0),IF(Suppliers!E52="Annual",IF(MOD((YEAR(EDATE(DATE(YEAR(TODAY()),MONTH(TODAY()),1),5))-YEAR(IF(ISNUMBER(Suppliers!F52),Suppliers!F52,DATE(YEAR(TODAY()),MONTH(TODAY()),1))))*12+MONTH(EDATE(DATE(YEAR(TODAY()),MONTH(TODAY()),1),5))-MONTH(IF(ISNUMBER(Suppliers!F52),Suppliers!F52,DATE(YEAR(TODAY()),MONTH(TODAY()),1))),12)=0,1,0),IF(Suppliers!E52="One-time",IF(5=0,1,0),1)))))),"")</f>
        <v/>
      </c>
      <c r="L54" s="10" t="str">
        <f ca="1">IFERROR(IF(OR(6&gt;=$B$1,Suppliers!A52="",NOT(ISNUMBER(Suppliers!D52)),Suppliers!L52="Expired",Suppliers!L52="Terminate"),"",Suppliers!D52*-1*IF(Suppliers!E52="Monthly",IF(AND(ISNUMBER(Suppliers!G52),(YEAR(EDATE(DATE(YEAR(TODAY()),MONTH(TODAY()),1),6))*12+MONTH(EDATE(DATE(YEAR(TODAY()),MONTH(TODAY()),1),6)))&gt;(YEAR(Suppliers!G52)*12+MONTH(Suppliers!G52))),"",1),IF(Suppliers!E52="Quarterly",IF(MOD((YEAR(EDATE(DATE(YEAR(TODAY()),MONTH(TODAY()),1),6))-YEAR(IF(ISNUMBER(Suppliers!F52),Suppliers!F52,DATE(YEAR(TODAY()),MONTH(TODAY()),1))))*12+MONTH(EDATE(DATE(YEAR(TODAY()),MONTH(TODAY()),1),6))-MONTH(IF(ISNUMBER(Suppliers!F52),Suppliers!F52,DATE(YEAR(TODAY()),MONTH(TODAY()),1))),3)=0,1,0),IF(Suppliers!E52="Semi-annual",IF(MOD((YEAR(EDATE(DATE(YEAR(TODAY()),MONTH(TODAY()),1),6))-YEAR(IF(ISNUMBER(Suppliers!F52),Suppliers!F52,DATE(YEAR(TODAY()),MONTH(TODAY()),1))))*12+MONTH(EDATE(DATE(YEAR(TODAY()),MONTH(TODAY()),1),6))-MONTH(IF(ISNUMBER(Suppliers!F52),Suppliers!F52,DATE(YEAR(TODAY()),MONTH(TODAY()),1))),6)=0,1,0),IF(Suppliers!E52="Annual",IF(MOD((YEAR(EDATE(DATE(YEAR(TODAY()),MONTH(TODAY()),1),6))-YEAR(IF(ISNUMBER(Suppliers!F52),Suppliers!F52,DATE(YEAR(TODAY()),MONTH(TODAY()),1))))*12+MONTH(EDATE(DATE(YEAR(TODAY()),MONTH(TODAY()),1),6))-MONTH(IF(ISNUMBER(Suppliers!F52),Suppliers!F52,DATE(YEAR(TODAY()),MONTH(TODAY()),1))),12)=0,1,0),IF(Suppliers!E52="One-time",IF(6=0,1,0),1)))))),"")</f>
        <v/>
      </c>
      <c r="M54" s="10" t="str">
        <f ca="1">IFERROR(IF(OR(7&gt;=$B$1,Suppliers!A52="",NOT(ISNUMBER(Suppliers!D52)),Suppliers!L52="Expired",Suppliers!L52="Terminate"),"",Suppliers!D52*-1*IF(Suppliers!E52="Monthly",IF(AND(ISNUMBER(Suppliers!G52),(YEAR(EDATE(DATE(YEAR(TODAY()),MONTH(TODAY()),1),7))*12+MONTH(EDATE(DATE(YEAR(TODAY()),MONTH(TODAY()),1),7)))&gt;(YEAR(Suppliers!G52)*12+MONTH(Suppliers!G52))),"",1),IF(Suppliers!E52="Quarterly",IF(MOD((YEAR(EDATE(DATE(YEAR(TODAY()),MONTH(TODAY()),1),7))-YEAR(IF(ISNUMBER(Suppliers!F52),Suppliers!F52,DATE(YEAR(TODAY()),MONTH(TODAY()),1))))*12+MONTH(EDATE(DATE(YEAR(TODAY()),MONTH(TODAY()),1),7))-MONTH(IF(ISNUMBER(Suppliers!F52),Suppliers!F52,DATE(YEAR(TODAY()),MONTH(TODAY()),1))),3)=0,1,0),IF(Suppliers!E52="Semi-annual",IF(MOD((YEAR(EDATE(DATE(YEAR(TODAY()),MONTH(TODAY()),1),7))-YEAR(IF(ISNUMBER(Suppliers!F52),Suppliers!F52,DATE(YEAR(TODAY()),MONTH(TODAY()),1))))*12+MONTH(EDATE(DATE(YEAR(TODAY()),MONTH(TODAY()),1),7))-MONTH(IF(ISNUMBER(Suppliers!F52),Suppliers!F52,DATE(YEAR(TODAY()),MONTH(TODAY()),1))),6)=0,1,0),IF(Suppliers!E52="Annual",IF(MOD((YEAR(EDATE(DATE(YEAR(TODAY()),MONTH(TODAY()),1),7))-YEAR(IF(ISNUMBER(Suppliers!F52),Suppliers!F52,DATE(YEAR(TODAY()),MONTH(TODAY()),1))))*12+MONTH(EDATE(DATE(YEAR(TODAY()),MONTH(TODAY()),1),7))-MONTH(IF(ISNUMBER(Suppliers!F52),Suppliers!F52,DATE(YEAR(TODAY()),MONTH(TODAY()),1))),12)=0,1,0),IF(Suppliers!E52="One-time",IF(7=0,1,0),1)))))),"")</f>
        <v/>
      </c>
      <c r="N54" s="10" t="str">
        <f ca="1">IFERROR(IF(OR(8&gt;=$B$1,Suppliers!A52="",NOT(ISNUMBER(Suppliers!D52)),Suppliers!L52="Expired",Suppliers!L52="Terminate"),"",Suppliers!D52*-1*IF(Suppliers!E52="Monthly",IF(AND(ISNUMBER(Suppliers!G52),(YEAR(EDATE(DATE(YEAR(TODAY()),MONTH(TODAY()),1),8))*12+MONTH(EDATE(DATE(YEAR(TODAY()),MONTH(TODAY()),1),8)))&gt;(YEAR(Suppliers!G52)*12+MONTH(Suppliers!G52))),"",1),IF(Suppliers!E52="Quarterly",IF(MOD((YEAR(EDATE(DATE(YEAR(TODAY()),MONTH(TODAY()),1),8))-YEAR(IF(ISNUMBER(Suppliers!F52),Suppliers!F52,DATE(YEAR(TODAY()),MONTH(TODAY()),1))))*12+MONTH(EDATE(DATE(YEAR(TODAY()),MONTH(TODAY()),1),8))-MONTH(IF(ISNUMBER(Suppliers!F52),Suppliers!F52,DATE(YEAR(TODAY()),MONTH(TODAY()),1))),3)=0,1,0),IF(Suppliers!E52="Semi-annual",IF(MOD((YEAR(EDATE(DATE(YEAR(TODAY()),MONTH(TODAY()),1),8))-YEAR(IF(ISNUMBER(Suppliers!F52),Suppliers!F52,DATE(YEAR(TODAY()),MONTH(TODAY()),1))))*12+MONTH(EDATE(DATE(YEAR(TODAY()),MONTH(TODAY()),1),8))-MONTH(IF(ISNUMBER(Suppliers!F52),Suppliers!F52,DATE(YEAR(TODAY()),MONTH(TODAY()),1))),6)=0,1,0),IF(Suppliers!E52="Annual",IF(MOD((YEAR(EDATE(DATE(YEAR(TODAY()),MONTH(TODAY()),1),8))-YEAR(IF(ISNUMBER(Suppliers!F52),Suppliers!F52,DATE(YEAR(TODAY()),MONTH(TODAY()),1))))*12+MONTH(EDATE(DATE(YEAR(TODAY()),MONTH(TODAY()),1),8))-MONTH(IF(ISNUMBER(Suppliers!F52),Suppliers!F52,DATE(YEAR(TODAY()),MONTH(TODAY()),1))),12)=0,1,0),IF(Suppliers!E52="One-time",IF(8=0,1,0),1)))))),"")</f>
        <v/>
      </c>
      <c r="O54" s="10" t="str">
        <f ca="1">IFERROR(IF(OR(9&gt;=$B$1,Suppliers!A52="",NOT(ISNUMBER(Suppliers!D52)),Suppliers!L52="Expired",Suppliers!L52="Terminate"),"",Suppliers!D52*-1*IF(Suppliers!E52="Monthly",IF(AND(ISNUMBER(Suppliers!G52),(YEAR(EDATE(DATE(YEAR(TODAY()),MONTH(TODAY()),1),9))*12+MONTH(EDATE(DATE(YEAR(TODAY()),MONTH(TODAY()),1),9)))&gt;(YEAR(Suppliers!G52)*12+MONTH(Suppliers!G52))),"",1),IF(Suppliers!E52="Quarterly",IF(MOD((YEAR(EDATE(DATE(YEAR(TODAY()),MONTH(TODAY()),1),9))-YEAR(IF(ISNUMBER(Suppliers!F52),Suppliers!F52,DATE(YEAR(TODAY()),MONTH(TODAY()),1))))*12+MONTH(EDATE(DATE(YEAR(TODAY()),MONTH(TODAY()),1),9))-MONTH(IF(ISNUMBER(Suppliers!F52),Suppliers!F52,DATE(YEAR(TODAY()),MONTH(TODAY()),1))),3)=0,1,0),IF(Suppliers!E52="Semi-annual",IF(MOD((YEAR(EDATE(DATE(YEAR(TODAY()),MONTH(TODAY()),1),9))-YEAR(IF(ISNUMBER(Suppliers!F52),Suppliers!F52,DATE(YEAR(TODAY()),MONTH(TODAY()),1))))*12+MONTH(EDATE(DATE(YEAR(TODAY()),MONTH(TODAY()),1),9))-MONTH(IF(ISNUMBER(Suppliers!F52),Suppliers!F52,DATE(YEAR(TODAY()),MONTH(TODAY()),1))),6)=0,1,0),IF(Suppliers!E52="Annual",IF(MOD((YEAR(EDATE(DATE(YEAR(TODAY()),MONTH(TODAY()),1),9))-YEAR(IF(ISNUMBER(Suppliers!F52),Suppliers!F52,DATE(YEAR(TODAY()),MONTH(TODAY()),1))))*12+MONTH(EDATE(DATE(YEAR(TODAY()),MONTH(TODAY()),1),9))-MONTH(IF(ISNUMBER(Suppliers!F52),Suppliers!F52,DATE(YEAR(TODAY()),MONTH(TODAY()),1))),12)=0,1,0),IF(Suppliers!E52="One-time",IF(9=0,1,0),1)))))),"")</f>
        <v/>
      </c>
      <c r="P54" s="10" t="str">
        <f ca="1">IFERROR(IF(OR(10&gt;=$B$1,Suppliers!A52="",NOT(ISNUMBER(Suppliers!D52)),Suppliers!L52="Expired",Suppliers!L52="Terminate"),"",Suppliers!D52*-1*IF(Suppliers!E52="Monthly",IF(AND(ISNUMBER(Suppliers!G52),(YEAR(EDATE(DATE(YEAR(TODAY()),MONTH(TODAY()),1),10))*12+MONTH(EDATE(DATE(YEAR(TODAY()),MONTH(TODAY()),1),10)))&gt;(YEAR(Suppliers!G52)*12+MONTH(Suppliers!G52))),"",1),IF(Suppliers!E52="Quarterly",IF(MOD((YEAR(EDATE(DATE(YEAR(TODAY()),MONTH(TODAY()),1),10))-YEAR(IF(ISNUMBER(Suppliers!F52),Suppliers!F52,DATE(YEAR(TODAY()),MONTH(TODAY()),1))))*12+MONTH(EDATE(DATE(YEAR(TODAY()),MONTH(TODAY()),1),10))-MONTH(IF(ISNUMBER(Suppliers!F52),Suppliers!F52,DATE(YEAR(TODAY()),MONTH(TODAY()),1))),3)=0,1,0),IF(Suppliers!E52="Semi-annual",IF(MOD((YEAR(EDATE(DATE(YEAR(TODAY()),MONTH(TODAY()),1),10))-YEAR(IF(ISNUMBER(Suppliers!F52),Suppliers!F52,DATE(YEAR(TODAY()),MONTH(TODAY()),1))))*12+MONTH(EDATE(DATE(YEAR(TODAY()),MONTH(TODAY()),1),10))-MONTH(IF(ISNUMBER(Suppliers!F52),Suppliers!F52,DATE(YEAR(TODAY()),MONTH(TODAY()),1))),6)=0,1,0),IF(Suppliers!E52="Annual",IF(MOD((YEAR(EDATE(DATE(YEAR(TODAY()),MONTH(TODAY()),1),10))-YEAR(IF(ISNUMBER(Suppliers!F52),Suppliers!F52,DATE(YEAR(TODAY()),MONTH(TODAY()),1))))*12+MONTH(EDATE(DATE(YEAR(TODAY()),MONTH(TODAY()),1),10))-MONTH(IF(ISNUMBER(Suppliers!F52),Suppliers!F52,DATE(YEAR(TODAY()),MONTH(TODAY()),1))),12)=0,1,0),IF(Suppliers!E52="One-time",IF(10=0,1,0),1)))))),"")</f>
        <v/>
      </c>
      <c r="Q54" s="10" t="str">
        <f ca="1">IFERROR(IF(OR(11&gt;=$B$1,Suppliers!A52="",NOT(ISNUMBER(Suppliers!D52)),Suppliers!L52="Expired",Suppliers!L52="Terminate"),"",Suppliers!D52*-1*IF(Suppliers!E52="Monthly",IF(AND(ISNUMBER(Suppliers!G52),(YEAR(EDATE(DATE(YEAR(TODAY()),MONTH(TODAY()),1),11))*12+MONTH(EDATE(DATE(YEAR(TODAY()),MONTH(TODAY()),1),11)))&gt;(YEAR(Suppliers!G52)*12+MONTH(Suppliers!G52))),"",1),IF(Suppliers!E52="Quarterly",IF(MOD((YEAR(EDATE(DATE(YEAR(TODAY()),MONTH(TODAY()),1),11))-YEAR(IF(ISNUMBER(Suppliers!F52),Suppliers!F52,DATE(YEAR(TODAY()),MONTH(TODAY()),1))))*12+MONTH(EDATE(DATE(YEAR(TODAY()),MONTH(TODAY()),1),11))-MONTH(IF(ISNUMBER(Suppliers!F52),Suppliers!F52,DATE(YEAR(TODAY()),MONTH(TODAY()),1))),3)=0,1,0),IF(Suppliers!E52="Semi-annual",IF(MOD((YEAR(EDATE(DATE(YEAR(TODAY()),MONTH(TODAY()),1),11))-YEAR(IF(ISNUMBER(Suppliers!F52),Suppliers!F52,DATE(YEAR(TODAY()),MONTH(TODAY()),1))))*12+MONTH(EDATE(DATE(YEAR(TODAY()),MONTH(TODAY()),1),11))-MONTH(IF(ISNUMBER(Suppliers!F52),Suppliers!F52,DATE(YEAR(TODAY()),MONTH(TODAY()),1))),6)=0,1,0),IF(Suppliers!E52="Annual",IF(MOD((YEAR(EDATE(DATE(YEAR(TODAY()),MONTH(TODAY()),1),11))-YEAR(IF(ISNUMBER(Suppliers!F52),Suppliers!F52,DATE(YEAR(TODAY()),MONTH(TODAY()),1))))*12+MONTH(EDATE(DATE(YEAR(TODAY()),MONTH(TODAY()),1),11))-MONTH(IF(ISNUMBER(Suppliers!F52),Suppliers!F52,DATE(YEAR(TODAY()),MONTH(TODAY()),1))),12)=0,1,0),IF(Suppliers!E52="One-time",IF(11=0,1,0),1)))))),"")</f>
        <v/>
      </c>
      <c r="R54" s="10" t="str">
        <f ca="1">IFERROR(IF(OR(12&gt;=$B$1,Suppliers!A52="",NOT(ISNUMBER(Suppliers!D52)),Suppliers!L52="Expired",Suppliers!L52="Terminate"),"",Suppliers!D52*-1*IF(Suppliers!E52="Monthly",IF(AND(ISNUMBER(Suppliers!G52),(YEAR(EDATE(DATE(YEAR(TODAY()),MONTH(TODAY()),1),12))*12+MONTH(EDATE(DATE(YEAR(TODAY()),MONTH(TODAY()),1),12)))&gt;(YEAR(Suppliers!G52)*12+MONTH(Suppliers!G52))),"",1),IF(Suppliers!E52="Quarterly",IF(MOD((YEAR(EDATE(DATE(YEAR(TODAY()),MONTH(TODAY()),1),12))-YEAR(IF(ISNUMBER(Suppliers!F52),Suppliers!F52,DATE(YEAR(TODAY()),MONTH(TODAY()),1))))*12+MONTH(EDATE(DATE(YEAR(TODAY()),MONTH(TODAY()),1),12))-MONTH(IF(ISNUMBER(Suppliers!F52),Suppliers!F52,DATE(YEAR(TODAY()),MONTH(TODAY()),1))),3)=0,1,0),IF(Suppliers!E52="Semi-annual",IF(MOD((YEAR(EDATE(DATE(YEAR(TODAY()),MONTH(TODAY()),1),12))-YEAR(IF(ISNUMBER(Suppliers!F52),Suppliers!F52,DATE(YEAR(TODAY()),MONTH(TODAY()),1))))*12+MONTH(EDATE(DATE(YEAR(TODAY()),MONTH(TODAY()),1),12))-MONTH(IF(ISNUMBER(Suppliers!F52),Suppliers!F52,DATE(YEAR(TODAY()),MONTH(TODAY()),1))),6)=0,1,0),IF(Suppliers!E52="Annual",IF(MOD((YEAR(EDATE(DATE(YEAR(TODAY()),MONTH(TODAY()),1),12))-YEAR(IF(ISNUMBER(Suppliers!F52),Suppliers!F52,DATE(YEAR(TODAY()),MONTH(TODAY()),1))))*12+MONTH(EDATE(DATE(YEAR(TODAY()),MONTH(TODAY()),1),12))-MONTH(IF(ISNUMBER(Suppliers!F52),Suppliers!F52,DATE(YEAR(TODAY()),MONTH(TODAY()),1))),12)=0,1,0),IF(Suppliers!E52="One-time",IF(12=0,1,0),1)))))),"")</f>
        <v/>
      </c>
      <c r="S54" s="10" t="str">
        <f ca="1">IFERROR(IF(OR(13&gt;=$B$1,Suppliers!A52="",NOT(ISNUMBER(Suppliers!D52)),Suppliers!L52="Expired",Suppliers!L52="Terminate"),"",Suppliers!D52*-1*IF(Suppliers!E52="Monthly",IF(AND(ISNUMBER(Suppliers!G52),(YEAR(EDATE(DATE(YEAR(TODAY()),MONTH(TODAY()),1),13))*12+MONTH(EDATE(DATE(YEAR(TODAY()),MONTH(TODAY()),1),13)))&gt;(YEAR(Suppliers!G52)*12+MONTH(Suppliers!G52))),"",1),IF(Suppliers!E52="Quarterly",IF(MOD((YEAR(EDATE(DATE(YEAR(TODAY()),MONTH(TODAY()),1),13))-YEAR(IF(ISNUMBER(Suppliers!F52),Suppliers!F52,DATE(YEAR(TODAY()),MONTH(TODAY()),1))))*12+MONTH(EDATE(DATE(YEAR(TODAY()),MONTH(TODAY()),1),13))-MONTH(IF(ISNUMBER(Suppliers!F52),Suppliers!F52,DATE(YEAR(TODAY()),MONTH(TODAY()),1))),3)=0,1,0),IF(Suppliers!E52="Semi-annual",IF(MOD((YEAR(EDATE(DATE(YEAR(TODAY()),MONTH(TODAY()),1),13))-YEAR(IF(ISNUMBER(Suppliers!F52),Suppliers!F52,DATE(YEAR(TODAY()),MONTH(TODAY()),1))))*12+MONTH(EDATE(DATE(YEAR(TODAY()),MONTH(TODAY()),1),13))-MONTH(IF(ISNUMBER(Suppliers!F52),Suppliers!F52,DATE(YEAR(TODAY()),MONTH(TODAY()),1))),6)=0,1,0),IF(Suppliers!E52="Annual",IF(MOD((YEAR(EDATE(DATE(YEAR(TODAY()),MONTH(TODAY()),1),13))-YEAR(IF(ISNUMBER(Suppliers!F52),Suppliers!F52,DATE(YEAR(TODAY()),MONTH(TODAY()),1))))*12+MONTH(EDATE(DATE(YEAR(TODAY()),MONTH(TODAY()),1),13))-MONTH(IF(ISNUMBER(Suppliers!F52),Suppliers!F52,DATE(YEAR(TODAY()),MONTH(TODAY()),1))),12)=0,1,0),IF(Suppliers!E52="One-time",IF(13=0,1,0),1)))))),"")</f>
        <v/>
      </c>
      <c r="T54" s="10" t="str">
        <f ca="1">IFERROR(IF(OR(14&gt;=$B$1,Suppliers!A52="",NOT(ISNUMBER(Suppliers!D52)),Suppliers!L52="Expired",Suppliers!L52="Terminate"),"",Suppliers!D52*-1*IF(Suppliers!E52="Monthly",IF(AND(ISNUMBER(Suppliers!G52),(YEAR(EDATE(DATE(YEAR(TODAY()),MONTH(TODAY()),1),14))*12+MONTH(EDATE(DATE(YEAR(TODAY()),MONTH(TODAY()),1),14)))&gt;(YEAR(Suppliers!G52)*12+MONTH(Suppliers!G52))),"",1),IF(Suppliers!E52="Quarterly",IF(MOD((YEAR(EDATE(DATE(YEAR(TODAY()),MONTH(TODAY()),1),14))-YEAR(IF(ISNUMBER(Suppliers!F52),Suppliers!F52,DATE(YEAR(TODAY()),MONTH(TODAY()),1))))*12+MONTH(EDATE(DATE(YEAR(TODAY()),MONTH(TODAY()),1),14))-MONTH(IF(ISNUMBER(Suppliers!F52),Suppliers!F52,DATE(YEAR(TODAY()),MONTH(TODAY()),1))),3)=0,1,0),IF(Suppliers!E52="Semi-annual",IF(MOD((YEAR(EDATE(DATE(YEAR(TODAY()),MONTH(TODAY()),1),14))-YEAR(IF(ISNUMBER(Suppliers!F52),Suppliers!F52,DATE(YEAR(TODAY()),MONTH(TODAY()),1))))*12+MONTH(EDATE(DATE(YEAR(TODAY()),MONTH(TODAY()),1),14))-MONTH(IF(ISNUMBER(Suppliers!F52),Suppliers!F52,DATE(YEAR(TODAY()),MONTH(TODAY()),1))),6)=0,1,0),IF(Suppliers!E52="Annual",IF(MOD((YEAR(EDATE(DATE(YEAR(TODAY()),MONTH(TODAY()),1),14))-YEAR(IF(ISNUMBER(Suppliers!F52),Suppliers!F52,DATE(YEAR(TODAY()),MONTH(TODAY()),1))))*12+MONTH(EDATE(DATE(YEAR(TODAY()),MONTH(TODAY()),1),14))-MONTH(IF(ISNUMBER(Suppliers!F52),Suppliers!F52,DATE(YEAR(TODAY()),MONTH(TODAY()),1))),12)=0,1,0),IF(Suppliers!E52="One-time",IF(14=0,1,0),1)))))),"")</f>
        <v/>
      </c>
      <c r="U54" s="10" t="str">
        <f ca="1">IFERROR(IF(OR(15&gt;=$B$1,Suppliers!A52="",NOT(ISNUMBER(Suppliers!D52)),Suppliers!L52="Expired",Suppliers!L52="Terminate"),"",Suppliers!D52*-1*IF(Suppliers!E52="Monthly",IF(AND(ISNUMBER(Suppliers!G52),(YEAR(EDATE(DATE(YEAR(TODAY()),MONTH(TODAY()),1),15))*12+MONTH(EDATE(DATE(YEAR(TODAY()),MONTH(TODAY()),1),15)))&gt;(YEAR(Suppliers!G52)*12+MONTH(Suppliers!G52))),"",1),IF(Suppliers!E52="Quarterly",IF(MOD((YEAR(EDATE(DATE(YEAR(TODAY()),MONTH(TODAY()),1),15))-YEAR(IF(ISNUMBER(Suppliers!F52),Suppliers!F52,DATE(YEAR(TODAY()),MONTH(TODAY()),1))))*12+MONTH(EDATE(DATE(YEAR(TODAY()),MONTH(TODAY()),1),15))-MONTH(IF(ISNUMBER(Suppliers!F52),Suppliers!F52,DATE(YEAR(TODAY()),MONTH(TODAY()),1))),3)=0,1,0),IF(Suppliers!E52="Semi-annual",IF(MOD((YEAR(EDATE(DATE(YEAR(TODAY()),MONTH(TODAY()),1),15))-YEAR(IF(ISNUMBER(Suppliers!F52),Suppliers!F52,DATE(YEAR(TODAY()),MONTH(TODAY()),1))))*12+MONTH(EDATE(DATE(YEAR(TODAY()),MONTH(TODAY()),1),15))-MONTH(IF(ISNUMBER(Suppliers!F52),Suppliers!F52,DATE(YEAR(TODAY()),MONTH(TODAY()),1))),6)=0,1,0),IF(Suppliers!E52="Annual",IF(MOD((YEAR(EDATE(DATE(YEAR(TODAY()),MONTH(TODAY()),1),15))-YEAR(IF(ISNUMBER(Suppliers!F52),Suppliers!F52,DATE(YEAR(TODAY()),MONTH(TODAY()),1))))*12+MONTH(EDATE(DATE(YEAR(TODAY()),MONTH(TODAY()),1),15))-MONTH(IF(ISNUMBER(Suppliers!F52),Suppliers!F52,DATE(YEAR(TODAY()),MONTH(TODAY()),1))),12)=0,1,0),IF(Suppliers!E52="One-time",IF(15=0,1,0),1)))))),"")</f>
        <v/>
      </c>
      <c r="V54" s="10" t="str">
        <f ca="1">IFERROR(IF(OR(16&gt;=$B$1,Suppliers!A52="",NOT(ISNUMBER(Suppliers!D52)),Suppliers!L52="Expired",Suppliers!L52="Terminate"),"",Suppliers!D52*-1*IF(Suppliers!E52="Monthly",IF(AND(ISNUMBER(Suppliers!G52),(YEAR(EDATE(DATE(YEAR(TODAY()),MONTH(TODAY()),1),16))*12+MONTH(EDATE(DATE(YEAR(TODAY()),MONTH(TODAY()),1),16)))&gt;(YEAR(Suppliers!G52)*12+MONTH(Suppliers!G52))),"",1),IF(Suppliers!E52="Quarterly",IF(MOD((YEAR(EDATE(DATE(YEAR(TODAY()),MONTH(TODAY()),1),16))-YEAR(IF(ISNUMBER(Suppliers!F52),Suppliers!F52,DATE(YEAR(TODAY()),MONTH(TODAY()),1))))*12+MONTH(EDATE(DATE(YEAR(TODAY()),MONTH(TODAY()),1),16))-MONTH(IF(ISNUMBER(Suppliers!F52),Suppliers!F52,DATE(YEAR(TODAY()),MONTH(TODAY()),1))),3)=0,1,0),IF(Suppliers!E52="Semi-annual",IF(MOD((YEAR(EDATE(DATE(YEAR(TODAY()),MONTH(TODAY()),1),16))-YEAR(IF(ISNUMBER(Suppliers!F52),Suppliers!F52,DATE(YEAR(TODAY()),MONTH(TODAY()),1))))*12+MONTH(EDATE(DATE(YEAR(TODAY()),MONTH(TODAY()),1),16))-MONTH(IF(ISNUMBER(Suppliers!F52),Suppliers!F52,DATE(YEAR(TODAY()),MONTH(TODAY()),1))),6)=0,1,0),IF(Suppliers!E52="Annual",IF(MOD((YEAR(EDATE(DATE(YEAR(TODAY()),MONTH(TODAY()),1),16))-YEAR(IF(ISNUMBER(Suppliers!F52),Suppliers!F52,DATE(YEAR(TODAY()),MONTH(TODAY()),1))))*12+MONTH(EDATE(DATE(YEAR(TODAY()),MONTH(TODAY()),1),16))-MONTH(IF(ISNUMBER(Suppliers!F52),Suppliers!F52,DATE(YEAR(TODAY()),MONTH(TODAY()),1))),12)=0,1,0),IF(Suppliers!E52="One-time",IF(16=0,1,0),1)))))),"")</f>
        <v/>
      </c>
      <c r="W54" s="10" t="str">
        <f ca="1">IFERROR(IF(OR(17&gt;=$B$1,Suppliers!A52="",NOT(ISNUMBER(Suppliers!D52)),Suppliers!L52="Expired",Suppliers!L52="Terminate"),"",Suppliers!D52*-1*IF(Suppliers!E52="Monthly",IF(AND(ISNUMBER(Suppliers!G52),(YEAR(EDATE(DATE(YEAR(TODAY()),MONTH(TODAY()),1),17))*12+MONTH(EDATE(DATE(YEAR(TODAY()),MONTH(TODAY()),1),17)))&gt;(YEAR(Suppliers!G52)*12+MONTH(Suppliers!G52))),"",1),IF(Suppliers!E52="Quarterly",IF(MOD((YEAR(EDATE(DATE(YEAR(TODAY()),MONTH(TODAY()),1),17))-YEAR(IF(ISNUMBER(Suppliers!F52),Suppliers!F52,DATE(YEAR(TODAY()),MONTH(TODAY()),1))))*12+MONTH(EDATE(DATE(YEAR(TODAY()),MONTH(TODAY()),1),17))-MONTH(IF(ISNUMBER(Suppliers!F52),Suppliers!F52,DATE(YEAR(TODAY()),MONTH(TODAY()),1))),3)=0,1,0),IF(Suppliers!E52="Semi-annual",IF(MOD((YEAR(EDATE(DATE(YEAR(TODAY()),MONTH(TODAY()),1),17))-YEAR(IF(ISNUMBER(Suppliers!F52),Suppliers!F52,DATE(YEAR(TODAY()),MONTH(TODAY()),1))))*12+MONTH(EDATE(DATE(YEAR(TODAY()),MONTH(TODAY()),1),17))-MONTH(IF(ISNUMBER(Suppliers!F52),Suppliers!F52,DATE(YEAR(TODAY()),MONTH(TODAY()),1))),6)=0,1,0),IF(Suppliers!E52="Annual",IF(MOD((YEAR(EDATE(DATE(YEAR(TODAY()),MONTH(TODAY()),1),17))-YEAR(IF(ISNUMBER(Suppliers!F52),Suppliers!F52,DATE(YEAR(TODAY()),MONTH(TODAY()),1))))*12+MONTH(EDATE(DATE(YEAR(TODAY()),MONTH(TODAY()),1),17))-MONTH(IF(ISNUMBER(Suppliers!F52),Suppliers!F52,DATE(YEAR(TODAY()),MONTH(TODAY()),1))),12)=0,1,0),IF(Suppliers!E52="One-time",IF(17=0,1,0),1)))))),"")</f>
        <v/>
      </c>
      <c r="X54" s="10" t="str">
        <f ca="1">IFERROR(IF(OR(18&gt;=$B$1,Suppliers!A52="",NOT(ISNUMBER(Suppliers!D52)),Suppliers!L52="Expired",Suppliers!L52="Terminate"),"",Suppliers!D52*-1*IF(Suppliers!E52="Monthly",IF(AND(ISNUMBER(Suppliers!G52),(YEAR(EDATE(DATE(YEAR(TODAY()),MONTH(TODAY()),1),18))*12+MONTH(EDATE(DATE(YEAR(TODAY()),MONTH(TODAY()),1),18)))&gt;(YEAR(Suppliers!G52)*12+MONTH(Suppliers!G52))),"",1),IF(Suppliers!E52="Quarterly",IF(MOD((YEAR(EDATE(DATE(YEAR(TODAY()),MONTH(TODAY()),1),18))-YEAR(IF(ISNUMBER(Suppliers!F52),Suppliers!F52,DATE(YEAR(TODAY()),MONTH(TODAY()),1))))*12+MONTH(EDATE(DATE(YEAR(TODAY()),MONTH(TODAY()),1),18))-MONTH(IF(ISNUMBER(Suppliers!F52),Suppliers!F52,DATE(YEAR(TODAY()),MONTH(TODAY()),1))),3)=0,1,0),IF(Suppliers!E52="Semi-annual",IF(MOD((YEAR(EDATE(DATE(YEAR(TODAY()),MONTH(TODAY()),1),18))-YEAR(IF(ISNUMBER(Suppliers!F52),Suppliers!F52,DATE(YEAR(TODAY()),MONTH(TODAY()),1))))*12+MONTH(EDATE(DATE(YEAR(TODAY()),MONTH(TODAY()),1),18))-MONTH(IF(ISNUMBER(Suppliers!F52),Suppliers!F52,DATE(YEAR(TODAY()),MONTH(TODAY()),1))),6)=0,1,0),IF(Suppliers!E52="Annual",IF(MOD((YEAR(EDATE(DATE(YEAR(TODAY()),MONTH(TODAY()),1),18))-YEAR(IF(ISNUMBER(Suppliers!F52),Suppliers!F52,DATE(YEAR(TODAY()),MONTH(TODAY()),1))))*12+MONTH(EDATE(DATE(YEAR(TODAY()),MONTH(TODAY()),1),18))-MONTH(IF(ISNUMBER(Suppliers!F52),Suppliers!F52,DATE(YEAR(TODAY()),MONTH(TODAY()),1))),12)=0,1,0),IF(Suppliers!E52="One-time",IF(18=0,1,0),1)))))),"")</f>
        <v/>
      </c>
      <c r="Y54" s="10" t="str">
        <f ca="1">IFERROR(IF(OR(19&gt;=$B$1,Suppliers!A52="",NOT(ISNUMBER(Suppliers!D52)),Suppliers!L52="Expired",Suppliers!L52="Terminate"),"",Suppliers!D52*-1*IF(Suppliers!E52="Monthly",IF(AND(ISNUMBER(Suppliers!G52),(YEAR(EDATE(DATE(YEAR(TODAY()),MONTH(TODAY()),1),19))*12+MONTH(EDATE(DATE(YEAR(TODAY()),MONTH(TODAY()),1),19)))&gt;(YEAR(Suppliers!G52)*12+MONTH(Suppliers!G52))),"",1),IF(Suppliers!E52="Quarterly",IF(MOD((YEAR(EDATE(DATE(YEAR(TODAY()),MONTH(TODAY()),1),19))-YEAR(IF(ISNUMBER(Suppliers!F52),Suppliers!F52,DATE(YEAR(TODAY()),MONTH(TODAY()),1))))*12+MONTH(EDATE(DATE(YEAR(TODAY()),MONTH(TODAY()),1),19))-MONTH(IF(ISNUMBER(Suppliers!F52),Suppliers!F52,DATE(YEAR(TODAY()),MONTH(TODAY()),1))),3)=0,1,0),IF(Suppliers!E52="Semi-annual",IF(MOD((YEAR(EDATE(DATE(YEAR(TODAY()),MONTH(TODAY()),1),19))-YEAR(IF(ISNUMBER(Suppliers!F52),Suppliers!F52,DATE(YEAR(TODAY()),MONTH(TODAY()),1))))*12+MONTH(EDATE(DATE(YEAR(TODAY()),MONTH(TODAY()),1),19))-MONTH(IF(ISNUMBER(Suppliers!F52),Suppliers!F52,DATE(YEAR(TODAY()),MONTH(TODAY()),1))),6)=0,1,0),IF(Suppliers!E52="Annual",IF(MOD((YEAR(EDATE(DATE(YEAR(TODAY()),MONTH(TODAY()),1),19))-YEAR(IF(ISNUMBER(Suppliers!F52),Suppliers!F52,DATE(YEAR(TODAY()),MONTH(TODAY()),1))))*12+MONTH(EDATE(DATE(YEAR(TODAY()),MONTH(TODAY()),1),19))-MONTH(IF(ISNUMBER(Suppliers!F52),Suppliers!F52,DATE(YEAR(TODAY()),MONTH(TODAY()),1))),12)=0,1,0),IF(Suppliers!E52="One-time",IF(19=0,1,0),1)))))),"")</f>
        <v/>
      </c>
      <c r="Z54" s="10" t="str">
        <f ca="1">IFERROR(IF(OR(20&gt;=$B$1,Suppliers!A52="",NOT(ISNUMBER(Suppliers!D52)),Suppliers!L52="Expired",Suppliers!L52="Terminate"),"",Suppliers!D52*-1*IF(Suppliers!E52="Monthly",IF(AND(ISNUMBER(Suppliers!G52),(YEAR(EDATE(DATE(YEAR(TODAY()),MONTH(TODAY()),1),20))*12+MONTH(EDATE(DATE(YEAR(TODAY()),MONTH(TODAY()),1),20)))&gt;(YEAR(Suppliers!G52)*12+MONTH(Suppliers!G52))),"",1),IF(Suppliers!E52="Quarterly",IF(MOD((YEAR(EDATE(DATE(YEAR(TODAY()),MONTH(TODAY()),1),20))-YEAR(IF(ISNUMBER(Suppliers!F52),Suppliers!F52,DATE(YEAR(TODAY()),MONTH(TODAY()),1))))*12+MONTH(EDATE(DATE(YEAR(TODAY()),MONTH(TODAY()),1),20))-MONTH(IF(ISNUMBER(Suppliers!F52),Suppliers!F52,DATE(YEAR(TODAY()),MONTH(TODAY()),1))),3)=0,1,0),IF(Suppliers!E52="Semi-annual",IF(MOD((YEAR(EDATE(DATE(YEAR(TODAY()),MONTH(TODAY()),1),20))-YEAR(IF(ISNUMBER(Suppliers!F52),Suppliers!F52,DATE(YEAR(TODAY()),MONTH(TODAY()),1))))*12+MONTH(EDATE(DATE(YEAR(TODAY()),MONTH(TODAY()),1),20))-MONTH(IF(ISNUMBER(Suppliers!F52),Suppliers!F52,DATE(YEAR(TODAY()),MONTH(TODAY()),1))),6)=0,1,0),IF(Suppliers!E52="Annual",IF(MOD((YEAR(EDATE(DATE(YEAR(TODAY()),MONTH(TODAY()),1),20))-YEAR(IF(ISNUMBER(Suppliers!F52),Suppliers!F52,DATE(YEAR(TODAY()),MONTH(TODAY()),1))))*12+MONTH(EDATE(DATE(YEAR(TODAY()),MONTH(TODAY()),1),20))-MONTH(IF(ISNUMBER(Suppliers!F52),Suppliers!F52,DATE(YEAR(TODAY()),MONTH(TODAY()),1))),12)=0,1,0),IF(Suppliers!E52="One-time",IF(20=0,1,0),1)))))),"")</f>
        <v/>
      </c>
      <c r="AA54" s="10" t="str">
        <f ca="1">IFERROR(IF(OR(21&gt;=$B$1,Suppliers!A52="",NOT(ISNUMBER(Suppliers!D52)),Suppliers!L52="Expired",Suppliers!L52="Terminate"),"",Suppliers!D52*-1*IF(Suppliers!E52="Monthly",IF(AND(ISNUMBER(Suppliers!G52),(YEAR(EDATE(DATE(YEAR(TODAY()),MONTH(TODAY()),1),21))*12+MONTH(EDATE(DATE(YEAR(TODAY()),MONTH(TODAY()),1),21)))&gt;(YEAR(Suppliers!G52)*12+MONTH(Suppliers!G52))),"",1),IF(Suppliers!E52="Quarterly",IF(MOD((YEAR(EDATE(DATE(YEAR(TODAY()),MONTH(TODAY()),1),21))-YEAR(IF(ISNUMBER(Suppliers!F52),Suppliers!F52,DATE(YEAR(TODAY()),MONTH(TODAY()),1))))*12+MONTH(EDATE(DATE(YEAR(TODAY()),MONTH(TODAY()),1),21))-MONTH(IF(ISNUMBER(Suppliers!F52),Suppliers!F52,DATE(YEAR(TODAY()),MONTH(TODAY()),1))),3)=0,1,0),IF(Suppliers!E52="Semi-annual",IF(MOD((YEAR(EDATE(DATE(YEAR(TODAY()),MONTH(TODAY()),1),21))-YEAR(IF(ISNUMBER(Suppliers!F52),Suppliers!F52,DATE(YEAR(TODAY()),MONTH(TODAY()),1))))*12+MONTH(EDATE(DATE(YEAR(TODAY()),MONTH(TODAY()),1),21))-MONTH(IF(ISNUMBER(Suppliers!F52),Suppliers!F52,DATE(YEAR(TODAY()),MONTH(TODAY()),1))),6)=0,1,0),IF(Suppliers!E52="Annual",IF(MOD((YEAR(EDATE(DATE(YEAR(TODAY()),MONTH(TODAY()),1),21))-YEAR(IF(ISNUMBER(Suppliers!F52),Suppliers!F52,DATE(YEAR(TODAY()),MONTH(TODAY()),1))))*12+MONTH(EDATE(DATE(YEAR(TODAY()),MONTH(TODAY()),1),21))-MONTH(IF(ISNUMBER(Suppliers!F52),Suppliers!F52,DATE(YEAR(TODAY()),MONTH(TODAY()),1))),12)=0,1,0),IF(Suppliers!E52="One-time",IF(21=0,1,0),1)))))),"")</f>
        <v/>
      </c>
      <c r="AB54" s="10" t="str">
        <f ca="1">IFERROR(IF(OR(22&gt;=$B$1,Suppliers!A52="",NOT(ISNUMBER(Suppliers!D52)),Suppliers!L52="Expired",Suppliers!L52="Terminate"),"",Suppliers!D52*-1*IF(Suppliers!E52="Monthly",IF(AND(ISNUMBER(Suppliers!G52),(YEAR(EDATE(DATE(YEAR(TODAY()),MONTH(TODAY()),1),22))*12+MONTH(EDATE(DATE(YEAR(TODAY()),MONTH(TODAY()),1),22)))&gt;(YEAR(Suppliers!G52)*12+MONTH(Suppliers!G52))),"",1),IF(Suppliers!E52="Quarterly",IF(MOD((YEAR(EDATE(DATE(YEAR(TODAY()),MONTH(TODAY()),1),22))-YEAR(IF(ISNUMBER(Suppliers!F52),Suppliers!F52,DATE(YEAR(TODAY()),MONTH(TODAY()),1))))*12+MONTH(EDATE(DATE(YEAR(TODAY()),MONTH(TODAY()),1),22))-MONTH(IF(ISNUMBER(Suppliers!F52),Suppliers!F52,DATE(YEAR(TODAY()),MONTH(TODAY()),1))),3)=0,1,0),IF(Suppliers!E52="Semi-annual",IF(MOD((YEAR(EDATE(DATE(YEAR(TODAY()),MONTH(TODAY()),1),22))-YEAR(IF(ISNUMBER(Suppliers!F52),Suppliers!F52,DATE(YEAR(TODAY()),MONTH(TODAY()),1))))*12+MONTH(EDATE(DATE(YEAR(TODAY()),MONTH(TODAY()),1),22))-MONTH(IF(ISNUMBER(Suppliers!F52),Suppliers!F52,DATE(YEAR(TODAY()),MONTH(TODAY()),1))),6)=0,1,0),IF(Suppliers!E52="Annual",IF(MOD((YEAR(EDATE(DATE(YEAR(TODAY()),MONTH(TODAY()),1),22))-YEAR(IF(ISNUMBER(Suppliers!F52),Suppliers!F52,DATE(YEAR(TODAY()),MONTH(TODAY()),1))))*12+MONTH(EDATE(DATE(YEAR(TODAY()),MONTH(TODAY()),1),22))-MONTH(IF(ISNUMBER(Suppliers!F52),Suppliers!F52,DATE(YEAR(TODAY()),MONTH(TODAY()),1))),12)=0,1,0),IF(Suppliers!E52="One-time",IF(22=0,1,0),1)))))),"")</f>
        <v/>
      </c>
      <c r="AC54" s="10" t="str">
        <f ca="1">IFERROR(IF(OR(23&gt;=$B$1,Suppliers!A52="",NOT(ISNUMBER(Suppliers!D52)),Suppliers!L52="Expired",Suppliers!L52="Terminate"),"",Suppliers!D52*-1*IF(Suppliers!E52="Monthly",IF(AND(ISNUMBER(Suppliers!G52),(YEAR(EDATE(DATE(YEAR(TODAY()),MONTH(TODAY()),1),23))*12+MONTH(EDATE(DATE(YEAR(TODAY()),MONTH(TODAY()),1),23)))&gt;(YEAR(Suppliers!G52)*12+MONTH(Suppliers!G52))),"",1),IF(Suppliers!E52="Quarterly",IF(MOD((YEAR(EDATE(DATE(YEAR(TODAY()),MONTH(TODAY()),1),23))-YEAR(IF(ISNUMBER(Suppliers!F52),Suppliers!F52,DATE(YEAR(TODAY()),MONTH(TODAY()),1))))*12+MONTH(EDATE(DATE(YEAR(TODAY()),MONTH(TODAY()),1),23))-MONTH(IF(ISNUMBER(Suppliers!F52),Suppliers!F52,DATE(YEAR(TODAY()),MONTH(TODAY()),1))),3)=0,1,0),IF(Suppliers!E52="Semi-annual",IF(MOD((YEAR(EDATE(DATE(YEAR(TODAY()),MONTH(TODAY()),1),23))-YEAR(IF(ISNUMBER(Suppliers!F52),Suppliers!F52,DATE(YEAR(TODAY()),MONTH(TODAY()),1))))*12+MONTH(EDATE(DATE(YEAR(TODAY()),MONTH(TODAY()),1),23))-MONTH(IF(ISNUMBER(Suppliers!F52),Suppliers!F52,DATE(YEAR(TODAY()),MONTH(TODAY()),1))),6)=0,1,0),IF(Suppliers!E52="Annual",IF(MOD((YEAR(EDATE(DATE(YEAR(TODAY()),MONTH(TODAY()),1),23))-YEAR(IF(ISNUMBER(Suppliers!F52),Suppliers!F52,DATE(YEAR(TODAY()),MONTH(TODAY()),1))))*12+MONTH(EDATE(DATE(YEAR(TODAY()),MONTH(TODAY()),1),23))-MONTH(IF(ISNUMBER(Suppliers!F52),Suppliers!F52,DATE(YEAR(TODAY()),MONTH(TODAY()),1))),12)=0,1,0),IF(Suppliers!E52="One-time",IF(23=0,1,0),1)))))),"")</f>
        <v/>
      </c>
    </row>
    <row r="55" spans="1:30" ht="15" customHeight="1" x14ac:dyDescent="0.35">
      <c r="A55" s="4" t="s">
        <v>80</v>
      </c>
      <c r="B55" s="4" t="str">
        <f>IF(Suppliers!A53="","",Suppliers!A53)</f>
        <v/>
      </c>
      <c r="C55" s="10" t="str">
        <f>IF(Suppliers!C53="","",Suppliers!C53)</f>
        <v/>
      </c>
      <c r="D55" s="10" t="str">
        <f>IF(Suppliers!D53="","",Suppliers!D53)</f>
        <v/>
      </c>
      <c r="E55" s="4" t="str">
        <f>IF(Suppliers!E53="","",Suppliers!E53)</f>
        <v/>
      </c>
      <c r="F55" s="10" t="str">
        <f ca="1">IFERROR(IF(OR(0&gt;=$B$1,Suppliers!A53="",NOT(ISNUMBER(Suppliers!D53)),Suppliers!L53="Expired",Suppliers!L53="Terminate"),"",Suppliers!D53*-1*IF(Suppliers!E53="Monthly",IF(AND(ISNUMBER(Suppliers!G53),(YEAR(EDATE(DATE(YEAR(TODAY()),MONTH(TODAY()),1),0))*12+MONTH(EDATE(DATE(YEAR(TODAY()),MONTH(TODAY()),1),0)))&gt;(YEAR(Suppliers!G53)*12+MONTH(Suppliers!G53))),"",1),IF(Suppliers!E53="Quarterly",IF(MOD((YEAR(EDATE(DATE(YEAR(TODAY()),MONTH(TODAY()),1),0))-YEAR(IF(ISNUMBER(Suppliers!F53),Suppliers!F53,DATE(YEAR(TODAY()),MONTH(TODAY()),1))))*12+MONTH(EDATE(DATE(YEAR(TODAY()),MONTH(TODAY()),1),0))-MONTH(IF(ISNUMBER(Suppliers!F53),Suppliers!F53,DATE(YEAR(TODAY()),MONTH(TODAY()),1))),3)=0,1,0),IF(Suppliers!E53="Semi-annual",IF(MOD((YEAR(EDATE(DATE(YEAR(TODAY()),MONTH(TODAY()),1),0))-YEAR(IF(ISNUMBER(Suppliers!F53),Suppliers!F53,DATE(YEAR(TODAY()),MONTH(TODAY()),1))))*12+MONTH(EDATE(DATE(YEAR(TODAY()),MONTH(TODAY()),1),0))-MONTH(IF(ISNUMBER(Suppliers!F53),Suppliers!F53,DATE(YEAR(TODAY()),MONTH(TODAY()),1))),6)=0,1,0),IF(Suppliers!E53="Annual",IF(MOD((YEAR(EDATE(DATE(YEAR(TODAY()),MONTH(TODAY()),1),0))-YEAR(IF(ISNUMBER(Suppliers!F53),Suppliers!F53,DATE(YEAR(TODAY()),MONTH(TODAY()),1))))*12+MONTH(EDATE(DATE(YEAR(TODAY()),MONTH(TODAY()),1),0))-MONTH(IF(ISNUMBER(Suppliers!F53),Suppliers!F53,DATE(YEAR(TODAY()),MONTH(TODAY()),1))),12)=0,1,0),IF(Suppliers!E53="One-time",IF(0=0,1,0),1)))))),"")</f>
        <v/>
      </c>
      <c r="G55" s="10" t="str">
        <f ca="1">IFERROR(IF(OR(1&gt;=$B$1,Suppliers!A53="",NOT(ISNUMBER(Suppliers!D53)),Suppliers!L53="Expired",Suppliers!L53="Terminate"),"",Suppliers!D53*-1*IF(Suppliers!E53="Monthly",IF(AND(ISNUMBER(Suppliers!G53),(YEAR(EDATE(DATE(YEAR(TODAY()),MONTH(TODAY()),1),1))*12+MONTH(EDATE(DATE(YEAR(TODAY()),MONTH(TODAY()),1),1)))&gt;(YEAR(Suppliers!G53)*12+MONTH(Suppliers!G53))),"",1),IF(Suppliers!E53="Quarterly",IF(MOD((YEAR(EDATE(DATE(YEAR(TODAY()),MONTH(TODAY()),1),1))-YEAR(IF(ISNUMBER(Suppliers!F53),Suppliers!F53,DATE(YEAR(TODAY()),MONTH(TODAY()),1))))*12+MONTH(EDATE(DATE(YEAR(TODAY()),MONTH(TODAY()),1),1))-MONTH(IF(ISNUMBER(Suppliers!F53),Suppliers!F53,DATE(YEAR(TODAY()),MONTH(TODAY()),1))),3)=0,1,0),IF(Suppliers!E53="Semi-annual",IF(MOD((YEAR(EDATE(DATE(YEAR(TODAY()),MONTH(TODAY()),1),1))-YEAR(IF(ISNUMBER(Suppliers!F53),Suppliers!F53,DATE(YEAR(TODAY()),MONTH(TODAY()),1))))*12+MONTH(EDATE(DATE(YEAR(TODAY()),MONTH(TODAY()),1),1))-MONTH(IF(ISNUMBER(Suppliers!F53),Suppliers!F53,DATE(YEAR(TODAY()),MONTH(TODAY()),1))),6)=0,1,0),IF(Suppliers!E53="Annual",IF(MOD((YEAR(EDATE(DATE(YEAR(TODAY()),MONTH(TODAY()),1),1))-YEAR(IF(ISNUMBER(Suppliers!F53),Suppliers!F53,DATE(YEAR(TODAY()),MONTH(TODAY()),1))))*12+MONTH(EDATE(DATE(YEAR(TODAY()),MONTH(TODAY()),1),1))-MONTH(IF(ISNUMBER(Suppliers!F53),Suppliers!F53,DATE(YEAR(TODAY()),MONTH(TODAY()),1))),12)=0,1,0),IF(Suppliers!E53="One-time",IF(1=0,1,0),1)))))),"")</f>
        <v/>
      </c>
      <c r="H55" s="10" t="str">
        <f ca="1">IFERROR(IF(OR(2&gt;=$B$1,Suppliers!A53="",NOT(ISNUMBER(Suppliers!D53)),Suppliers!L53="Expired",Suppliers!L53="Terminate"),"",Suppliers!D53*-1*IF(Suppliers!E53="Monthly",IF(AND(ISNUMBER(Suppliers!G53),(YEAR(EDATE(DATE(YEAR(TODAY()),MONTH(TODAY()),1),2))*12+MONTH(EDATE(DATE(YEAR(TODAY()),MONTH(TODAY()),1),2)))&gt;(YEAR(Suppliers!G53)*12+MONTH(Suppliers!G53))),"",1),IF(Suppliers!E53="Quarterly",IF(MOD((YEAR(EDATE(DATE(YEAR(TODAY()),MONTH(TODAY()),1),2))-YEAR(IF(ISNUMBER(Suppliers!F53),Suppliers!F53,DATE(YEAR(TODAY()),MONTH(TODAY()),1))))*12+MONTH(EDATE(DATE(YEAR(TODAY()),MONTH(TODAY()),1),2))-MONTH(IF(ISNUMBER(Suppliers!F53),Suppliers!F53,DATE(YEAR(TODAY()),MONTH(TODAY()),1))),3)=0,1,0),IF(Suppliers!E53="Semi-annual",IF(MOD((YEAR(EDATE(DATE(YEAR(TODAY()),MONTH(TODAY()),1),2))-YEAR(IF(ISNUMBER(Suppliers!F53),Suppliers!F53,DATE(YEAR(TODAY()),MONTH(TODAY()),1))))*12+MONTH(EDATE(DATE(YEAR(TODAY()),MONTH(TODAY()),1),2))-MONTH(IF(ISNUMBER(Suppliers!F53),Suppliers!F53,DATE(YEAR(TODAY()),MONTH(TODAY()),1))),6)=0,1,0),IF(Suppliers!E53="Annual",IF(MOD((YEAR(EDATE(DATE(YEAR(TODAY()),MONTH(TODAY()),1),2))-YEAR(IF(ISNUMBER(Suppliers!F53),Suppliers!F53,DATE(YEAR(TODAY()),MONTH(TODAY()),1))))*12+MONTH(EDATE(DATE(YEAR(TODAY()),MONTH(TODAY()),1),2))-MONTH(IF(ISNUMBER(Suppliers!F53),Suppliers!F53,DATE(YEAR(TODAY()),MONTH(TODAY()),1))),12)=0,1,0),IF(Suppliers!E53="One-time",IF(2=0,1,0),1)))))),"")</f>
        <v/>
      </c>
      <c r="I55" s="10" t="str">
        <f ca="1">IFERROR(IF(OR(3&gt;=$B$1,Suppliers!A53="",NOT(ISNUMBER(Suppliers!D53)),Suppliers!L53="Expired",Suppliers!L53="Terminate"),"",Suppliers!D53*-1*IF(Suppliers!E53="Monthly",IF(AND(ISNUMBER(Suppliers!G53),(YEAR(EDATE(DATE(YEAR(TODAY()),MONTH(TODAY()),1),3))*12+MONTH(EDATE(DATE(YEAR(TODAY()),MONTH(TODAY()),1),3)))&gt;(YEAR(Suppliers!G53)*12+MONTH(Suppliers!G53))),"",1),IF(Suppliers!E53="Quarterly",IF(MOD((YEAR(EDATE(DATE(YEAR(TODAY()),MONTH(TODAY()),1),3))-YEAR(IF(ISNUMBER(Suppliers!F53),Suppliers!F53,DATE(YEAR(TODAY()),MONTH(TODAY()),1))))*12+MONTH(EDATE(DATE(YEAR(TODAY()),MONTH(TODAY()),1),3))-MONTH(IF(ISNUMBER(Suppliers!F53),Suppliers!F53,DATE(YEAR(TODAY()),MONTH(TODAY()),1))),3)=0,1,0),IF(Suppliers!E53="Semi-annual",IF(MOD((YEAR(EDATE(DATE(YEAR(TODAY()),MONTH(TODAY()),1),3))-YEAR(IF(ISNUMBER(Suppliers!F53),Suppliers!F53,DATE(YEAR(TODAY()),MONTH(TODAY()),1))))*12+MONTH(EDATE(DATE(YEAR(TODAY()),MONTH(TODAY()),1),3))-MONTH(IF(ISNUMBER(Suppliers!F53),Suppliers!F53,DATE(YEAR(TODAY()),MONTH(TODAY()),1))),6)=0,1,0),IF(Suppliers!E53="Annual",IF(MOD((YEAR(EDATE(DATE(YEAR(TODAY()),MONTH(TODAY()),1),3))-YEAR(IF(ISNUMBER(Suppliers!F53),Suppliers!F53,DATE(YEAR(TODAY()),MONTH(TODAY()),1))))*12+MONTH(EDATE(DATE(YEAR(TODAY()),MONTH(TODAY()),1),3))-MONTH(IF(ISNUMBER(Suppliers!F53),Suppliers!F53,DATE(YEAR(TODAY()),MONTH(TODAY()),1))),12)=0,1,0),IF(Suppliers!E53="One-time",IF(3=0,1,0),1)))))),"")</f>
        <v/>
      </c>
      <c r="J55" s="10" t="str">
        <f ca="1">IFERROR(IF(OR(4&gt;=$B$1,Suppliers!A53="",NOT(ISNUMBER(Suppliers!D53)),Suppliers!L53="Expired",Suppliers!L53="Terminate"),"",Suppliers!D53*-1*IF(Suppliers!E53="Monthly",IF(AND(ISNUMBER(Suppliers!G53),(YEAR(EDATE(DATE(YEAR(TODAY()),MONTH(TODAY()),1),4))*12+MONTH(EDATE(DATE(YEAR(TODAY()),MONTH(TODAY()),1),4)))&gt;(YEAR(Suppliers!G53)*12+MONTH(Suppliers!G53))),"",1),IF(Suppliers!E53="Quarterly",IF(MOD((YEAR(EDATE(DATE(YEAR(TODAY()),MONTH(TODAY()),1),4))-YEAR(IF(ISNUMBER(Suppliers!F53),Suppliers!F53,DATE(YEAR(TODAY()),MONTH(TODAY()),1))))*12+MONTH(EDATE(DATE(YEAR(TODAY()),MONTH(TODAY()),1),4))-MONTH(IF(ISNUMBER(Suppliers!F53),Suppliers!F53,DATE(YEAR(TODAY()),MONTH(TODAY()),1))),3)=0,1,0),IF(Suppliers!E53="Semi-annual",IF(MOD((YEAR(EDATE(DATE(YEAR(TODAY()),MONTH(TODAY()),1),4))-YEAR(IF(ISNUMBER(Suppliers!F53),Suppliers!F53,DATE(YEAR(TODAY()),MONTH(TODAY()),1))))*12+MONTH(EDATE(DATE(YEAR(TODAY()),MONTH(TODAY()),1),4))-MONTH(IF(ISNUMBER(Suppliers!F53),Suppliers!F53,DATE(YEAR(TODAY()),MONTH(TODAY()),1))),6)=0,1,0),IF(Suppliers!E53="Annual",IF(MOD((YEAR(EDATE(DATE(YEAR(TODAY()),MONTH(TODAY()),1),4))-YEAR(IF(ISNUMBER(Suppliers!F53),Suppliers!F53,DATE(YEAR(TODAY()),MONTH(TODAY()),1))))*12+MONTH(EDATE(DATE(YEAR(TODAY()),MONTH(TODAY()),1),4))-MONTH(IF(ISNUMBER(Suppliers!F53),Suppliers!F53,DATE(YEAR(TODAY()),MONTH(TODAY()),1))),12)=0,1,0),IF(Suppliers!E53="One-time",IF(4=0,1,0),1)))))),"")</f>
        <v/>
      </c>
      <c r="K55" s="10" t="str">
        <f ca="1">IFERROR(IF(OR(5&gt;=$B$1,Suppliers!A53="",NOT(ISNUMBER(Suppliers!D53)),Suppliers!L53="Expired",Suppliers!L53="Terminate"),"",Suppliers!D53*-1*IF(Suppliers!E53="Monthly",IF(AND(ISNUMBER(Suppliers!G53),(YEAR(EDATE(DATE(YEAR(TODAY()),MONTH(TODAY()),1),5))*12+MONTH(EDATE(DATE(YEAR(TODAY()),MONTH(TODAY()),1),5)))&gt;(YEAR(Suppliers!G53)*12+MONTH(Suppliers!G53))),"",1),IF(Suppliers!E53="Quarterly",IF(MOD((YEAR(EDATE(DATE(YEAR(TODAY()),MONTH(TODAY()),1),5))-YEAR(IF(ISNUMBER(Suppliers!F53),Suppliers!F53,DATE(YEAR(TODAY()),MONTH(TODAY()),1))))*12+MONTH(EDATE(DATE(YEAR(TODAY()),MONTH(TODAY()),1),5))-MONTH(IF(ISNUMBER(Suppliers!F53),Suppliers!F53,DATE(YEAR(TODAY()),MONTH(TODAY()),1))),3)=0,1,0),IF(Suppliers!E53="Semi-annual",IF(MOD((YEAR(EDATE(DATE(YEAR(TODAY()),MONTH(TODAY()),1),5))-YEAR(IF(ISNUMBER(Suppliers!F53),Suppliers!F53,DATE(YEAR(TODAY()),MONTH(TODAY()),1))))*12+MONTH(EDATE(DATE(YEAR(TODAY()),MONTH(TODAY()),1),5))-MONTH(IF(ISNUMBER(Suppliers!F53),Suppliers!F53,DATE(YEAR(TODAY()),MONTH(TODAY()),1))),6)=0,1,0),IF(Suppliers!E53="Annual",IF(MOD((YEAR(EDATE(DATE(YEAR(TODAY()),MONTH(TODAY()),1),5))-YEAR(IF(ISNUMBER(Suppliers!F53),Suppliers!F53,DATE(YEAR(TODAY()),MONTH(TODAY()),1))))*12+MONTH(EDATE(DATE(YEAR(TODAY()),MONTH(TODAY()),1),5))-MONTH(IF(ISNUMBER(Suppliers!F53),Suppliers!F53,DATE(YEAR(TODAY()),MONTH(TODAY()),1))),12)=0,1,0),IF(Suppliers!E53="One-time",IF(5=0,1,0),1)))))),"")</f>
        <v/>
      </c>
      <c r="L55" s="10" t="str">
        <f ca="1">IFERROR(IF(OR(6&gt;=$B$1,Suppliers!A53="",NOT(ISNUMBER(Suppliers!D53)),Suppliers!L53="Expired",Suppliers!L53="Terminate"),"",Suppliers!D53*-1*IF(Suppliers!E53="Monthly",IF(AND(ISNUMBER(Suppliers!G53),(YEAR(EDATE(DATE(YEAR(TODAY()),MONTH(TODAY()),1),6))*12+MONTH(EDATE(DATE(YEAR(TODAY()),MONTH(TODAY()),1),6)))&gt;(YEAR(Suppliers!G53)*12+MONTH(Suppliers!G53))),"",1),IF(Suppliers!E53="Quarterly",IF(MOD((YEAR(EDATE(DATE(YEAR(TODAY()),MONTH(TODAY()),1),6))-YEAR(IF(ISNUMBER(Suppliers!F53),Suppliers!F53,DATE(YEAR(TODAY()),MONTH(TODAY()),1))))*12+MONTH(EDATE(DATE(YEAR(TODAY()),MONTH(TODAY()),1),6))-MONTH(IF(ISNUMBER(Suppliers!F53),Suppliers!F53,DATE(YEAR(TODAY()),MONTH(TODAY()),1))),3)=0,1,0),IF(Suppliers!E53="Semi-annual",IF(MOD((YEAR(EDATE(DATE(YEAR(TODAY()),MONTH(TODAY()),1),6))-YEAR(IF(ISNUMBER(Suppliers!F53),Suppliers!F53,DATE(YEAR(TODAY()),MONTH(TODAY()),1))))*12+MONTH(EDATE(DATE(YEAR(TODAY()),MONTH(TODAY()),1),6))-MONTH(IF(ISNUMBER(Suppliers!F53),Suppliers!F53,DATE(YEAR(TODAY()),MONTH(TODAY()),1))),6)=0,1,0),IF(Suppliers!E53="Annual",IF(MOD((YEAR(EDATE(DATE(YEAR(TODAY()),MONTH(TODAY()),1),6))-YEAR(IF(ISNUMBER(Suppliers!F53),Suppliers!F53,DATE(YEAR(TODAY()),MONTH(TODAY()),1))))*12+MONTH(EDATE(DATE(YEAR(TODAY()),MONTH(TODAY()),1),6))-MONTH(IF(ISNUMBER(Suppliers!F53),Suppliers!F53,DATE(YEAR(TODAY()),MONTH(TODAY()),1))),12)=0,1,0),IF(Suppliers!E53="One-time",IF(6=0,1,0),1)))))),"")</f>
        <v/>
      </c>
      <c r="M55" s="10" t="str">
        <f ca="1">IFERROR(IF(OR(7&gt;=$B$1,Suppliers!A53="",NOT(ISNUMBER(Suppliers!D53)),Suppliers!L53="Expired",Suppliers!L53="Terminate"),"",Suppliers!D53*-1*IF(Suppliers!E53="Monthly",IF(AND(ISNUMBER(Suppliers!G53),(YEAR(EDATE(DATE(YEAR(TODAY()),MONTH(TODAY()),1),7))*12+MONTH(EDATE(DATE(YEAR(TODAY()),MONTH(TODAY()),1),7)))&gt;(YEAR(Suppliers!G53)*12+MONTH(Suppliers!G53))),"",1),IF(Suppliers!E53="Quarterly",IF(MOD((YEAR(EDATE(DATE(YEAR(TODAY()),MONTH(TODAY()),1),7))-YEAR(IF(ISNUMBER(Suppliers!F53),Suppliers!F53,DATE(YEAR(TODAY()),MONTH(TODAY()),1))))*12+MONTH(EDATE(DATE(YEAR(TODAY()),MONTH(TODAY()),1),7))-MONTH(IF(ISNUMBER(Suppliers!F53),Suppliers!F53,DATE(YEAR(TODAY()),MONTH(TODAY()),1))),3)=0,1,0),IF(Suppliers!E53="Semi-annual",IF(MOD((YEAR(EDATE(DATE(YEAR(TODAY()),MONTH(TODAY()),1),7))-YEAR(IF(ISNUMBER(Suppliers!F53),Suppliers!F53,DATE(YEAR(TODAY()),MONTH(TODAY()),1))))*12+MONTH(EDATE(DATE(YEAR(TODAY()),MONTH(TODAY()),1),7))-MONTH(IF(ISNUMBER(Suppliers!F53),Suppliers!F53,DATE(YEAR(TODAY()),MONTH(TODAY()),1))),6)=0,1,0),IF(Suppliers!E53="Annual",IF(MOD((YEAR(EDATE(DATE(YEAR(TODAY()),MONTH(TODAY()),1),7))-YEAR(IF(ISNUMBER(Suppliers!F53),Suppliers!F53,DATE(YEAR(TODAY()),MONTH(TODAY()),1))))*12+MONTH(EDATE(DATE(YEAR(TODAY()),MONTH(TODAY()),1),7))-MONTH(IF(ISNUMBER(Suppliers!F53),Suppliers!F53,DATE(YEAR(TODAY()),MONTH(TODAY()),1))),12)=0,1,0),IF(Suppliers!E53="One-time",IF(7=0,1,0),1)))))),"")</f>
        <v/>
      </c>
      <c r="N55" s="10" t="str">
        <f ca="1">IFERROR(IF(OR(8&gt;=$B$1,Suppliers!A53="",NOT(ISNUMBER(Suppliers!D53)),Suppliers!L53="Expired",Suppliers!L53="Terminate"),"",Suppliers!D53*-1*IF(Suppliers!E53="Monthly",IF(AND(ISNUMBER(Suppliers!G53),(YEAR(EDATE(DATE(YEAR(TODAY()),MONTH(TODAY()),1),8))*12+MONTH(EDATE(DATE(YEAR(TODAY()),MONTH(TODAY()),1),8)))&gt;(YEAR(Suppliers!G53)*12+MONTH(Suppliers!G53))),"",1),IF(Suppliers!E53="Quarterly",IF(MOD((YEAR(EDATE(DATE(YEAR(TODAY()),MONTH(TODAY()),1),8))-YEAR(IF(ISNUMBER(Suppliers!F53),Suppliers!F53,DATE(YEAR(TODAY()),MONTH(TODAY()),1))))*12+MONTH(EDATE(DATE(YEAR(TODAY()),MONTH(TODAY()),1),8))-MONTH(IF(ISNUMBER(Suppliers!F53),Suppliers!F53,DATE(YEAR(TODAY()),MONTH(TODAY()),1))),3)=0,1,0),IF(Suppliers!E53="Semi-annual",IF(MOD((YEAR(EDATE(DATE(YEAR(TODAY()),MONTH(TODAY()),1),8))-YEAR(IF(ISNUMBER(Suppliers!F53),Suppliers!F53,DATE(YEAR(TODAY()),MONTH(TODAY()),1))))*12+MONTH(EDATE(DATE(YEAR(TODAY()),MONTH(TODAY()),1),8))-MONTH(IF(ISNUMBER(Suppliers!F53),Suppliers!F53,DATE(YEAR(TODAY()),MONTH(TODAY()),1))),6)=0,1,0),IF(Suppliers!E53="Annual",IF(MOD((YEAR(EDATE(DATE(YEAR(TODAY()),MONTH(TODAY()),1),8))-YEAR(IF(ISNUMBER(Suppliers!F53),Suppliers!F53,DATE(YEAR(TODAY()),MONTH(TODAY()),1))))*12+MONTH(EDATE(DATE(YEAR(TODAY()),MONTH(TODAY()),1),8))-MONTH(IF(ISNUMBER(Suppliers!F53),Suppliers!F53,DATE(YEAR(TODAY()),MONTH(TODAY()),1))),12)=0,1,0),IF(Suppliers!E53="One-time",IF(8=0,1,0),1)))))),"")</f>
        <v/>
      </c>
      <c r="O55" s="10" t="str">
        <f ca="1">IFERROR(IF(OR(9&gt;=$B$1,Suppliers!A53="",NOT(ISNUMBER(Suppliers!D53)),Suppliers!L53="Expired",Suppliers!L53="Terminate"),"",Suppliers!D53*-1*IF(Suppliers!E53="Monthly",IF(AND(ISNUMBER(Suppliers!G53),(YEAR(EDATE(DATE(YEAR(TODAY()),MONTH(TODAY()),1),9))*12+MONTH(EDATE(DATE(YEAR(TODAY()),MONTH(TODAY()),1),9)))&gt;(YEAR(Suppliers!G53)*12+MONTH(Suppliers!G53))),"",1),IF(Suppliers!E53="Quarterly",IF(MOD((YEAR(EDATE(DATE(YEAR(TODAY()),MONTH(TODAY()),1),9))-YEAR(IF(ISNUMBER(Suppliers!F53),Suppliers!F53,DATE(YEAR(TODAY()),MONTH(TODAY()),1))))*12+MONTH(EDATE(DATE(YEAR(TODAY()),MONTH(TODAY()),1),9))-MONTH(IF(ISNUMBER(Suppliers!F53),Suppliers!F53,DATE(YEAR(TODAY()),MONTH(TODAY()),1))),3)=0,1,0),IF(Suppliers!E53="Semi-annual",IF(MOD((YEAR(EDATE(DATE(YEAR(TODAY()),MONTH(TODAY()),1),9))-YEAR(IF(ISNUMBER(Suppliers!F53),Suppliers!F53,DATE(YEAR(TODAY()),MONTH(TODAY()),1))))*12+MONTH(EDATE(DATE(YEAR(TODAY()),MONTH(TODAY()),1),9))-MONTH(IF(ISNUMBER(Suppliers!F53),Suppliers!F53,DATE(YEAR(TODAY()),MONTH(TODAY()),1))),6)=0,1,0),IF(Suppliers!E53="Annual",IF(MOD((YEAR(EDATE(DATE(YEAR(TODAY()),MONTH(TODAY()),1),9))-YEAR(IF(ISNUMBER(Suppliers!F53),Suppliers!F53,DATE(YEAR(TODAY()),MONTH(TODAY()),1))))*12+MONTH(EDATE(DATE(YEAR(TODAY()),MONTH(TODAY()),1),9))-MONTH(IF(ISNUMBER(Suppliers!F53),Suppliers!F53,DATE(YEAR(TODAY()),MONTH(TODAY()),1))),12)=0,1,0),IF(Suppliers!E53="One-time",IF(9=0,1,0),1)))))),"")</f>
        <v/>
      </c>
      <c r="P55" s="10" t="str">
        <f ca="1">IFERROR(IF(OR(10&gt;=$B$1,Suppliers!A53="",NOT(ISNUMBER(Suppliers!D53)),Suppliers!L53="Expired",Suppliers!L53="Terminate"),"",Suppliers!D53*-1*IF(Suppliers!E53="Monthly",IF(AND(ISNUMBER(Suppliers!G53),(YEAR(EDATE(DATE(YEAR(TODAY()),MONTH(TODAY()),1),10))*12+MONTH(EDATE(DATE(YEAR(TODAY()),MONTH(TODAY()),1),10)))&gt;(YEAR(Suppliers!G53)*12+MONTH(Suppliers!G53))),"",1),IF(Suppliers!E53="Quarterly",IF(MOD((YEAR(EDATE(DATE(YEAR(TODAY()),MONTH(TODAY()),1),10))-YEAR(IF(ISNUMBER(Suppliers!F53),Suppliers!F53,DATE(YEAR(TODAY()),MONTH(TODAY()),1))))*12+MONTH(EDATE(DATE(YEAR(TODAY()),MONTH(TODAY()),1),10))-MONTH(IF(ISNUMBER(Suppliers!F53),Suppliers!F53,DATE(YEAR(TODAY()),MONTH(TODAY()),1))),3)=0,1,0),IF(Suppliers!E53="Semi-annual",IF(MOD((YEAR(EDATE(DATE(YEAR(TODAY()),MONTH(TODAY()),1),10))-YEAR(IF(ISNUMBER(Suppliers!F53),Suppliers!F53,DATE(YEAR(TODAY()),MONTH(TODAY()),1))))*12+MONTH(EDATE(DATE(YEAR(TODAY()),MONTH(TODAY()),1),10))-MONTH(IF(ISNUMBER(Suppliers!F53),Suppliers!F53,DATE(YEAR(TODAY()),MONTH(TODAY()),1))),6)=0,1,0),IF(Suppliers!E53="Annual",IF(MOD((YEAR(EDATE(DATE(YEAR(TODAY()),MONTH(TODAY()),1),10))-YEAR(IF(ISNUMBER(Suppliers!F53),Suppliers!F53,DATE(YEAR(TODAY()),MONTH(TODAY()),1))))*12+MONTH(EDATE(DATE(YEAR(TODAY()),MONTH(TODAY()),1),10))-MONTH(IF(ISNUMBER(Suppliers!F53),Suppliers!F53,DATE(YEAR(TODAY()),MONTH(TODAY()),1))),12)=0,1,0),IF(Suppliers!E53="One-time",IF(10=0,1,0),1)))))),"")</f>
        <v/>
      </c>
      <c r="Q55" s="10" t="str">
        <f ca="1">IFERROR(IF(OR(11&gt;=$B$1,Suppliers!A53="",NOT(ISNUMBER(Suppliers!D53)),Suppliers!L53="Expired",Suppliers!L53="Terminate"),"",Suppliers!D53*-1*IF(Suppliers!E53="Monthly",IF(AND(ISNUMBER(Suppliers!G53),(YEAR(EDATE(DATE(YEAR(TODAY()),MONTH(TODAY()),1),11))*12+MONTH(EDATE(DATE(YEAR(TODAY()),MONTH(TODAY()),1),11)))&gt;(YEAR(Suppliers!G53)*12+MONTH(Suppliers!G53))),"",1),IF(Suppliers!E53="Quarterly",IF(MOD((YEAR(EDATE(DATE(YEAR(TODAY()),MONTH(TODAY()),1),11))-YEAR(IF(ISNUMBER(Suppliers!F53),Suppliers!F53,DATE(YEAR(TODAY()),MONTH(TODAY()),1))))*12+MONTH(EDATE(DATE(YEAR(TODAY()),MONTH(TODAY()),1),11))-MONTH(IF(ISNUMBER(Suppliers!F53),Suppliers!F53,DATE(YEAR(TODAY()),MONTH(TODAY()),1))),3)=0,1,0),IF(Suppliers!E53="Semi-annual",IF(MOD((YEAR(EDATE(DATE(YEAR(TODAY()),MONTH(TODAY()),1),11))-YEAR(IF(ISNUMBER(Suppliers!F53),Suppliers!F53,DATE(YEAR(TODAY()),MONTH(TODAY()),1))))*12+MONTH(EDATE(DATE(YEAR(TODAY()),MONTH(TODAY()),1),11))-MONTH(IF(ISNUMBER(Suppliers!F53),Suppliers!F53,DATE(YEAR(TODAY()),MONTH(TODAY()),1))),6)=0,1,0),IF(Suppliers!E53="Annual",IF(MOD((YEAR(EDATE(DATE(YEAR(TODAY()),MONTH(TODAY()),1),11))-YEAR(IF(ISNUMBER(Suppliers!F53),Suppliers!F53,DATE(YEAR(TODAY()),MONTH(TODAY()),1))))*12+MONTH(EDATE(DATE(YEAR(TODAY()),MONTH(TODAY()),1),11))-MONTH(IF(ISNUMBER(Suppliers!F53),Suppliers!F53,DATE(YEAR(TODAY()),MONTH(TODAY()),1))),12)=0,1,0),IF(Suppliers!E53="One-time",IF(11=0,1,0),1)))))),"")</f>
        <v/>
      </c>
      <c r="R55" s="10" t="str">
        <f ca="1">IFERROR(IF(OR(12&gt;=$B$1,Suppliers!A53="",NOT(ISNUMBER(Suppliers!D53)),Suppliers!L53="Expired",Suppliers!L53="Terminate"),"",Suppliers!D53*-1*IF(Suppliers!E53="Monthly",IF(AND(ISNUMBER(Suppliers!G53),(YEAR(EDATE(DATE(YEAR(TODAY()),MONTH(TODAY()),1),12))*12+MONTH(EDATE(DATE(YEAR(TODAY()),MONTH(TODAY()),1),12)))&gt;(YEAR(Suppliers!G53)*12+MONTH(Suppliers!G53))),"",1),IF(Suppliers!E53="Quarterly",IF(MOD((YEAR(EDATE(DATE(YEAR(TODAY()),MONTH(TODAY()),1),12))-YEAR(IF(ISNUMBER(Suppliers!F53),Suppliers!F53,DATE(YEAR(TODAY()),MONTH(TODAY()),1))))*12+MONTH(EDATE(DATE(YEAR(TODAY()),MONTH(TODAY()),1),12))-MONTH(IF(ISNUMBER(Suppliers!F53),Suppliers!F53,DATE(YEAR(TODAY()),MONTH(TODAY()),1))),3)=0,1,0),IF(Suppliers!E53="Semi-annual",IF(MOD((YEAR(EDATE(DATE(YEAR(TODAY()),MONTH(TODAY()),1),12))-YEAR(IF(ISNUMBER(Suppliers!F53),Suppliers!F53,DATE(YEAR(TODAY()),MONTH(TODAY()),1))))*12+MONTH(EDATE(DATE(YEAR(TODAY()),MONTH(TODAY()),1),12))-MONTH(IF(ISNUMBER(Suppliers!F53),Suppliers!F53,DATE(YEAR(TODAY()),MONTH(TODAY()),1))),6)=0,1,0),IF(Suppliers!E53="Annual",IF(MOD((YEAR(EDATE(DATE(YEAR(TODAY()),MONTH(TODAY()),1),12))-YEAR(IF(ISNUMBER(Suppliers!F53),Suppliers!F53,DATE(YEAR(TODAY()),MONTH(TODAY()),1))))*12+MONTH(EDATE(DATE(YEAR(TODAY()),MONTH(TODAY()),1),12))-MONTH(IF(ISNUMBER(Suppliers!F53),Suppliers!F53,DATE(YEAR(TODAY()),MONTH(TODAY()),1))),12)=0,1,0),IF(Suppliers!E53="One-time",IF(12=0,1,0),1)))))),"")</f>
        <v/>
      </c>
      <c r="S55" s="10" t="str">
        <f ca="1">IFERROR(IF(OR(13&gt;=$B$1,Suppliers!A53="",NOT(ISNUMBER(Suppliers!D53)),Suppliers!L53="Expired",Suppliers!L53="Terminate"),"",Suppliers!D53*-1*IF(Suppliers!E53="Monthly",IF(AND(ISNUMBER(Suppliers!G53),(YEAR(EDATE(DATE(YEAR(TODAY()),MONTH(TODAY()),1),13))*12+MONTH(EDATE(DATE(YEAR(TODAY()),MONTH(TODAY()),1),13)))&gt;(YEAR(Suppliers!G53)*12+MONTH(Suppliers!G53))),"",1),IF(Suppliers!E53="Quarterly",IF(MOD((YEAR(EDATE(DATE(YEAR(TODAY()),MONTH(TODAY()),1),13))-YEAR(IF(ISNUMBER(Suppliers!F53),Suppliers!F53,DATE(YEAR(TODAY()),MONTH(TODAY()),1))))*12+MONTH(EDATE(DATE(YEAR(TODAY()),MONTH(TODAY()),1),13))-MONTH(IF(ISNUMBER(Suppliers!F53),Suppliers!F53,DATE(YEAR(TODAY()),MONTH(TODAY()),1))),3)=0,1,0),IF(Suppliers!E53="Semi-annual",IF(MOD((YEAR(EDATE(DATE(YEAR(TODAY()),MONTH(TODAY()),1),13))-YEAR(IF(ISNUMBER(Suppliers!F53),Suppliers!F53,DATE(YEAR(TODAY()),MONTH(TODAY()),1))))*12+MONTH(EDATE(DATE(YEAR(TODAY()),MONTH(TODAY()),1),13))-MONTH(IF(ISNUMBER(Suppliers!F53),Suppliers!F53,DATE(YEAR(TODAY()),MONTH(TODAY()),1))),6)=0,1,0),IF(Suppliers!E53="Annual",IF(MOD((YEAR(EDATE(DATE(YEAR(TODAY()),MONTH(TODAY()),1),13))-YEAR(IF(ISNUMBER(Suppliers!F53),Suppliers!F53,DATE(YEAR(TODAY()),MONTH(TODAY()),1))))*12+MONTH(EDATE(DATE(YEAR(TODAY()),MONTH(TODAY()),1),13))-MONTH(IF(ISNUMBER(Suppliers!F53),Suppliers!F53,DATE(YEAR(TODAY()),MONTH(TODAY()),1))),12)=0,1,0),IF(Suppliers!E53="One-time",IF(13=0,1,0),1)))))),"")</f>
        <v/>
      </c>
      <c r="T55" s="10" t="str">
        <f ca="1">IFERROR(IF(OR(14&gt;=$B$1,Suppliers!A53="",NOT(ISNUMBER(Suppliers!D53)),Suppliers!L53="Expired",Suppliers!L53="Terminate"),"",Suppliers!D53*-1*IF(Suppliers!E53="Monthly",IF(AND(ISNUMBER(Suppliers!G53),(YEAR(EDATE(DATE(YEAR(TODAY()),MONTH(TODAY()),1),14))*12+MONTH(EDATE(DATE(YEAR(TODAY()),MONTH(TODAY()),1),14)))&gt;(YEAR(Suppliers!G53)*12+MONTH(Suppliers!G53))),"",1),IF(Suppliers!E53="Quarterly",IF(MOD((YEAR(EDATE(DATE(YEAR(TODAY()),MONTH(TODAY()),1),14))-YEAR(IF(ISNUMBER(Suppliers!F53),Suppliers!F53,DATE(YEAR(TODAY()),MONTH(TODAY()),1))))*12+MONTH(EDATE(DATE(YEAR(TODAY()),MONTH(TODAY()),1),14))-MONTH(IF(ISNUMBER(Suppliers!F53),Suppliers!F53,DATE(YEAR(TODAY()),MONTH(TODAY()),1))),3)=0,1,0),IF(Suppliers!E53="Semi-annual",IF(MOD((YEAR(EDATE(DATE(YEAR(TODAY()),MONTH(TODAY()),1),14))-YEAR(IF(ISNUMBER(Suppliers!F53),Suppliers!F53,DATE(YEAR(TODAY()),MONTH(TODAY()),1))))*12+MONTH(EDATE(DATE(YEAR(TODAY()),MONTH(TODAY()),1),14))-MONTH(IF(ISNUMBER(Suppliers!F53),Suppliers!F53,DATE(YEAR(TODAY()),MONTH(TODAY()),1))),6)=0,1,0),IF(Suppliers!E53="Annual",IF(MOD((YEAR(EDATE(DATE(YEAR(TODAY()),MONTH(TODAY()),1),14))-YEAR(IF(ISNUMBER(Suppliers!F53),Suppliers!F53,DATE(YEAR(TODAY()),MONTH(TODAY()),1))))*12+MONTH(EDATE(DATE(YEAR(TODAY()),MONTH(TODAY()),1),14))-MONTH(IF(ISNUMBER(Suppliers!F53),Suppliers!F53,DATE(YEAR(TODAY()),MONTH(TODAY()),1))),12)=0,1,0),IF(Suppliers!E53="One-time",IF(14=0,1,0),1)))))),"")</f>
        <v/>
      </c>
      <c r="U55" s="10" t="str">
        <f ca="1">IFERROR(IF(OR(15&gt;=$B$1,Suppliers!A53="",NOT(ISNUMBER(Suppliers!D53)),Suppliers!L53="Expired",Suppliers!L53="Terminate"),"",Suppliers!D53*-1*IF(Suppliers!E53="Monthly",IF(AND(ISNUMBER(Suppliers!G53),(YEAR(EDATE(DATE(YEAR(TODAY()),MONTH(TODAY()),1),15))*12+MONTH(EDATE(DATE(YEAR(TODAY()),MONTH(TODAY()),1),15)))&gt;(YEAR(Suppliers!G53)*12+MONTH(Suppliers!G53))),"",1),IF(Suppliers!E53="Quarterly",IF(MOD((YEAR(EDATE(DATE(YEAR(TODAY()),MONTH(TODAY()),1),15))-YEAR(IF(ISNUMBER(Suppliers!F53),Suppliers!F53,DATE(YEAR(TODAY()),MONTH(TODAY()),1))))*12+MONTH(EDATE(DATE(YEAR(TODAY()),MONTH(TODAY()),1),15))-MONTH(IF(ISNUMBER(Suppliers!F53),Suppliers!F53,DATE(YEAR(TODAY()),MONTH(TODAY()),1))),3)=0,1,0),IF(Suppliers!E53="Semi-annual",IF(MOD((YEAR(EDATE(DATE(YEAR(TODAY()),MONTH(TODAY()),1),15))-YEAR(IF(ISNUMBER(Suppliers!F53),Suppliers!F53,DATE(YEAR(TODAY()),MONTH(TODAY()),1))))*12+MONTH(EDATE(DATE(YEAR(TODAY()),MONTH(TODAY()),1),15))-MONTH(IF(ISNUMBER(Suppliers!F53),Suppliers!F53,DATE(YEAR(TODAY()),MONTH(TODAY()),1))),6)=0,1,0),IF(Suppliers!E53="Annual",IF(MOD((YEAR(EDATE(DATE(YEAR(TODAY()),MONTH(TODAY()),1),15))-YEAR(IF(ISNUMBER(Suppliers!F53),Suppliers!F53,DATE(YEAR(TODAY()),MONTH(TODAY()),1))))*12+MONTH(EDATE(DATE(YEAR(TODAY()),MONTH(TODAY()),1),15))-MONTH(IF(ISNUMBER(Suppliers!F53),Suppliers!F53,DATE(YEAR(TODAY()),MONTH(TODAY()),1))),12)=0,1,0),IF(Suppliers!E53="One-time",IF(15=0,1,0),1)))))),"")</f>
        <v/>
      </c>
      <c r="V55" s="10" t="str">
        <f ca="1">IFERROR(IF(OR(16&gt;=$B$1,Suppliers!A53="",NOT(ISNUMBER(Suppliers!D53)),Suppliers!L53="Expired",Suppliers!L53="Terminate"),"",Suppliers!D53*-1*IF(Suppliers!E53="Monthly",IF(AND(ISNUMBER(Suppliers!G53),(YEAR(EDATE(DATE(YEAR(TODAY()),MONTH(TODAY()),1),16))*12+MONTH(EDATE(DATE(YEAR(TODAY()),MONTH(TODAY()),1),16)))&gt;(YEAR(Suppliers!G53)*12+MONTH(Suppliers!G53))),"",1),IF(Suppliers!E53="Quarterly",IF(MOD((YEAR(EDATE(DATE(YEAR(TODAY()),MONTH(TODAY()),1),16))-YEAR(IF(ISNUMBER(Suppliers!F53),Suppliers!F53,DATE(YEAR(TODAY()),MONTH(TODAY()),1))))*12+MONTH(EDATE(DATE(YEAR(TODAY()),MONTH(TODAY()),1),16))-MONTH(IF(ISNUMBER(Suppliers!F53),Suppliers!F53,DATE(YEAR(TODAY()),MONTH(TODAY()),1))),3)=0,1,0),IF(Suppliers!E53="Semi-annual",IF(MOD((YEAR(EDATE(DATE(YEAR(TODAY()),MONTH(TODAY()),1),16))-YEAR(IF(ISNUMBER(Suppliers!F53),Suppliers!F53,DATE(YEAR(TODAY()),MONTH(TODAY()),1))))*12+MONTH(EDATE(DATE(YEAR(TODAY()),MONTH(TODAY()),1),16))-MONTH(IF(ISNUMBER(Suppliers!F53),Suppliers!F53,DATE(YEAR(TODAY()),MONTH(TODAY()),1))),6)=0,1,0),IF(Suppliers!E53="Annual",IF(MOD((YEAR(EDATE(DATE(YEAR(TODAY()),MONTH(TODAY()),1),16))-YEAR(IF(ISNUMBER(Suppliers!F53),Suppliers!F53,DATE(YEAR(TODAY()),MONTH(TODAY()),1))))*12+MONTH(EDATE(DATE(YEAR(TODAY()),MONTH(TODAY()),1),16))-MONTH(IF(ISNUMBER(Suppliers!F53),Suppliers!F53,DATE(YEAR(TODAY()),MONTH(TODAY()),1))),12)=0,1,0),IF(Suppliers!E53="One-time",IF(16=0,1,0),1)))))),"")</f>
        <v/>
      </c>
      <c r="W55" s="10" t="str">
        <f ca="1">IFERROR(IF(OR(17&gt;=$B$1,Suppliers!A53="",NOT(ISNUMBER(Suppliers!D53)),Suppliers!L53="Expired",Suppliers!L53="Terminate"),"",Suppliers!D53*-1*IF(Suppliers!E53="Monthly",IF(AND(ISNUMBER(Suppliers!G53),(YEAR(EDATE(DATE(YEAR(TODAY()),MONTH(TODAY()),1),17))*12+MONTH(EDATE(DATE(YEAR(TODAY()),MONTH(TODAY()),1),17)))&gt;(YEAR(Suppliers!G53)*12+MONTH(Suppliers!G53))),"",1),IF(Suppliers!E53="Quarterly",IF(MOD((YEAR(EDATE(DATE(YEAR(TODAY()),MONTH(TODAY()),1),17))-YEAR(IF(ISNUMBER(Suppliers!F53),Suppliers!F53,DATE(YEAR(TODAY()),MONTH(TODAY()),1))))*12+MONTH(EDATE(DATE(YEAR(TODAY()),MONTH(TODAY()),1),17))-MONTH(IF(ISNUMBER(Suppliers!F53),Suppliers!F53,DATE(YEAR(TODAY()),MONTH(TODAY()),1))),3)=0,1,0),IF(Suppliers!E53="Semi-annual",IF(MOD((YEAR(EDATE(DATE(YEAR(TODAY()),MONTH(TODAY()),1),17))-YEAR(IF(ISNUMBER(Suppliers!F53),Suppliers!F53,DATE(YEAR(TODAY()),MONTH(TODAY()),1))))*12+MONTH(EDATE(DATE(YEAR(TODAY()),MONTH(TODAY()),1),17))-MONTH(IF(ISNUMBER(Suppliers!F53),Suppliers!F53,DATE(YEAR(TODAY()),MONTH(TODAY()),1))),6)=0,1,0),IF(Suppliers!E53="Annual",IF(MOD((YEAR(EDATE(DATE(YEAR(TODAY()),MONTH(TODAY()),1),17))-YEAR(IF(ISNUMBER(Suppliers!F53),Suppliers!F53,DATE(YEAR(TODAY()),MONTH(TODAY()),1))))*12+MONTH(EDATE(DATE(YEAR(TODAY()),MONTH(TODAY()),1),17))-MONTH(IF(ISNUMBER(Suppliers!F53),Suppliers!F53,DATE(YEAR(TODAY()),MONTH(TODAY()),1))),12)=0,1,0),IF(Suppliers!E53="One-time",IF(17=0,1,0),1)))))),"")</f>
        <v/>
      </c>
      <c r="X55" s="10" t="str">
        <f ca="1">IFERROR(IF(OR(18&gt;=$B$1,Suppliers!A53="",NOT(ISNUMBER(Suppliers!D53)),Suppliers!L53="Expired",Suppliers!L53="Terminate"),"",Suppliers!D53*-1*IF(Suppliers!E53="Monthly",IF(AND(ISNUMBER(Suppliers!G53),(YEAR(EDATE(DATE(YEAR(TODAY()),MONTH(TODAY()),1),18))*12+MONTH(EDATE(DATE(YEAR(TODAY()),MONTH(TODAY()),1),18)))&gt;(YEAR(Suppliers!G53)*12+MONTH(Suppliers!G53))),"",1),IF(Suppliers!E53="Quarterly",IF(MOD((YEAR(EDATE(DATE(YEAR(TODAY()),MONTH(TODAY()),1),18))-YEAR(IF(ISNUMBER(Suppliers!F53),Suppliers!F53,DATE(YEAR(TODAY()),MONTH(TODAY()),1))))*12+MONTH(EDATE(DATE(YEAR(TODAY()),MONTH(TODAY()),1),18))-MONTH(IF(ISNUMBER(Suppliers!F53),Suppliers!F53,DATE(YEAR(TODAY()),MONTH(TODAY()),1))),3)=0,1,0),IF(Suppliers!E53="Semi-annual",IF(MOD((YEAR(EDATE(DATE(YEAR(TODAY()),MONTH(TODAY()),1),18))-YEAR(IF(ISNUMBER(Suppliers!F53),Suppliers!F53,DATE(YEAR(TODAY()),MONTH(TODAY()),1))))*12+MONTH(EDATE(DATE(YEAR(TODAY()),MONTH(TODAY()),1),18))-MONTH(IF(ISNUMBER(Suppliers!F53),Suppliers!F53,DATE(YEAR(TODAY()),MONTH(TODAY()),1))),6)=0,1,0),IF(Suppliers!E53="Annual",IF(MOD((YEAR(EDATE(DATE(YEAR(TODAY()),MONTH(TODAY()),1),18))-YEAR(IF(ISNUMBER(Suppliers!F53),Suppliers!F53,DATE(YEAR(TODAY()),MONTH(TODAY()),1))))*12+MONTH(EDATE(DATE(YEAR(TODAY()),MONTH(TODAY()),1),18))-MONTH(IF(ISNUMBER(Suppliers!F53),Suppliers!F53,DATE(YEAR(TODAY()),MONTH(TODAY()),1))),12)=0,1,0),IF(Suppliers!E53="One-time",IF(18=0,1,0),1)))))),"")</f>
        <v/>
      </c>
      <c r="Y55" s="10" t="str">
        <f ca="1">IFERROR(IF(OR(19&gt;=$B$1,Suppliers!A53="",NOT(ISNUMBER(Suppliers!D53)),Suppliers!L53="Expired",Suppliers!L53="Terminate"),"",Suppliers!D53*-1*IF(Suppliers!E53="Monthly",IF(AND(ISNUMBER(Suppliers!G53),(YEAR(EDATE(DATE(YEAR(TODAY()),MONTH(TODAY()),1),19))*12+MONTH(EDATE(DATE(YEAR(TODAY()),MONTH(TODAY()),1),19)))&gt;(YEAR(Suppliers!G53)*12+MONTH(Suppliers!G53))),"",1),IF(Suppliers!E53="Quarterly",IF(MOD((YEAR(EDATE(DATE(YEAR(TODAY()),MONTH(TODAY()),1),19))-YEAR(IF(ISNUMBER(Suppliers!F53),Suppliers!F53,DATE(YEAR(TODAY()),MONTH(TODAY()),1))))*12+MONTH(EDATE(DATE(YEAR(TODAY()),MONTH(TODAY()),1),19))-MONTH(IF(ISNUMBER(Suppliers!F53),Suppliers!F53,DATE(YEAR(TODAY()),MONTH(TODAY()),1))),3)=0,1,0),IF(Suppliers!E53="Semi-annual",IF(MOD((YEAR(EDATE(DATE(YEAR(TODAY()),MONTH(TODAY()),1),19))-YEAR(IF(ISNUMBER(Suppliers!F53),Suppliers!F53,DATE(YEAR(TODAY()),MONTH(TODAY()),1))))*12+MONTH(EDATE(DATE(YEAR(TODAY()),MONTH(TODAY()),1),19))-MONTH(IF(ISNUMBER(Suppliers!F53),Suppliers!F53,DATE(YEAR(TODAY()),MONTH(TODAY()),1))),6)=0,1,0),IF(Suppliers!E53="Annual",IF(MOD((YEAR(EDATE(DATE(YEAR(TODAY()),MONTH(TODAY()),1),19))-YEAR(IF(ISNUMBER(Suppliers!F53),Suppliers!F53,DATE(YEAR(TODAY()),MONTH(TODAY()),1))))*12+MONTH(EDATE(DATE(YEAR(TODAY()),MONTH(TODAY()),1),19))-MONTH(IF(ISNUMBER(Suppliers!F53),Suppliers!F53,DATE(YEAR(TODAY()),MONTH(TODAY()),1))),12)=0,1,0),IF(Suppliers!E53="One-time",IF(19=0,1,0),1)))))),"")</f>
        <v/>
      </c>
      <c r="Z55" s="10" t="str">
        <f ca="1">IFERROR(IF(OR(20&gt;=$B$1,Suppliers!A53="",NOT(ISNUMBER(Suppliers!D53)),Suppliers!L53="Expired",Suppliers!L53="Terminate"),"",Suppliers!D53*-1*IF(Suppliers!E53="Monthly",IF(AND(ISNUMBER(Suppliers!G53),(YEAR(EDATE(DATE(YEAR(TODAY()),MONTH(TODAY()),1),20))*12+MONTH(EDATE(DATE(YEAR(TODAY()),MONTH(TODAY()),1),20)))&gt;(YEAR(Suppliers!G53)*12+MONTH(Suppliers!G53))),"",1),IF(Suppliers!E53="Quarterly",IF(MOD((YEAR(EDATE(DATE(YEAR(TODAY()),MONTH(TODAY()),1),20))-YEAR(IF(ISNUMBER(Suppliers!F53),Suppliers!F53,DATE(YEAR(TODAY()),MONTH(TODAY()),1))))*12+MONTH(EDATE(DATE(YEAR(TODAY()),MONTH(TODAY()),1),20))-MONTH(IF(ISNUMBER(Suppliers!F53),Suppliers!F53,DATE(YEAR(TODAY()),MONTH(TODAY()),1))),3)=0,1,0),IF(Suppliers!E53="Semi-annual",IF(MOD((YEAR(EDATE(DATE(YEAR(TODAY()),MONTH(TODAY()),1),20))-YEAR(IF(ISNUMBER(Suppliers!F53),Suppliers!F53,DATE(YEAR(TODAY()),MONTH(TODAY()),1))))*12+MONTH(EDATE(DATE(YEAR(TODAY()),MONTH(TODAY()),1),20))-MONTH(IF(ISNUMBER(Suppliers!F53),Suppliers!F53,DATE(YEAR(TODAY()),MONTH(TODAY()),1))),6)=0,1,0),IF(Suppliers!E53="Annual",IF(MOD((YEAR(EDATE(DATE(YEAR(TODAY()),MONTH(TODAY()),1),20))-YEAR(IF(ISNUMBER(Suppliers!F53),Suppliers!F53,DATE(YEAR(TODAY()),MONTH(TODAY()),1))))*12+MONTH(EDATE(DATE(YEAR(TODAY()),MONTH(TODAY()),1),20))-MONTH(IF(ISNUMBER(Suppliers!F53),Suppliers!F53,DATE(YEAR(TODAY()),MONTH(TODAY()),1))),12)=0,1,0),IF(Suppliers!E53="One-time",IF(20=0,1,0),1)))))),"")</f>
        <v/>
      </c>
      <c r="AA55" s="10" t="str">
        <f ca="1">IFERROR(IF(OR(21&gt;=$B$1,Suppliers!A53="",NOT(ISNUMBER(Suppliers!D53)),Suppliers!L53="Expired",Suppliers!L53="Terminate"),"",Suppliers!D53*-1*IF(Suppliers!E53="Monthly",IF(AND(ISNUMBER(Suppliers!G53),(YEAR(EDATE(DATE(YEAR(TODAY()),MONTH(TODAY()),1),21))*12+MONTH(EDATE(DATE(YEAR(TODAY()),MONTH(TODAY()),1),21)))&gt;(YEAR(Suppliers!G53)*12+MONTH(Suppliers!G53))),"",1),IF(Suppliers!E53="Quarterly",IF(MOD((YEAR(EDATE(DATE(YEAR(TODAY()),MONTH(TODAY()),1),21))-YEAR(IF(ISNUMBER(Suppliers!F53),Suppliers!F53,DATE(YEAR(TODAY()),MONTH(TODAY()),1))))*12+MONTH(EDATE(DATE(YEAR(TODAY()),MONTH(TODAY()),1),21))-MONTH(IF(ISNUMBER(Suppliers!F53),Suppliers!F53,DATE(YEAR(TODAY()),MONTH(TODAY()),1))),3)=0,1,0),IF(Suppliers!E53="Semi-annual",IF(MOD((YEAR(EDATE(DATE(YEAR(TODAY()),MONTH(TODAY()),1),21))-YEAR(IF(ISNUMBER(Suppliers!F53),Suppliers!F53,DATE(YEAR(TODAY()),MONTH(TODAY()),1))))*12+MONTH(EDATE(DATE(YEAR(TODAY()),MONTH(TODAY()),1),21))-MONTH(IF(ISNUMBER(Suppliers!F53),Suppliers!F53,DATE(YEAR(TODAY()),MONTH(TODAY()),1))),6)=0,1,0),IF(Suppliers!E53="Annual",IF(MOD((YEAR(EDATE(DATE(YEAR(TODAY()),MONTH(TODAY()),1),21))-YEAR(IF(ISNUMBER(Suppliers!F53),Suppliers!F53,DATE(YEAR(TODAY()),MONTH(TODAY()),1))))*12+MONTH(EDATE(DATE(YEAR(TODAY()),MONTH(TODAY()),1),21))-MONTH(IF(ISNUMBER(Suppliers!F53),Suppliers!F53,DATE(YEAR(TODAY()),MONTH(TODAY()),1))),12)=0,1,0),IF(Suppliers!E53="One-time",IF(21=0,1,0),1)))))),"")</f>
        <v/>
      </c>
      <c r="AB55" s="10" t="str">
        <f ca="1">IFERROR(IF(OR(22&gt;=$B$1,Suppliers!A53="",NOT(ISNUMBER(Suppliers!D53)),Suppliers!L53="Expired",Suppliers!L53="Terminate"),"",Suppliers!D53*-1*IF(Suppliers!E53="Monthly",IF(AND(ISNUMBER(Suppliers!G53),(YEAR(EDATE(DATE(YEAR(TODAY()),MONTH(TODAY()),1),22))*12+MONTH(EDATE(DATE(YEAR(TODAY()),MONTH(TODAY()),1),22)))&gt;(YEAR(Suppliers!G53)*12+MONTH(Suppliers!G53))),"",1),IF(Suppliers!E53="Quarterly",IF(MOD((YEAR(EDATE(DATE(YEAR(TODAY()),MONTH(TODAY()),1),22))-YEAR(IF(ISNUMBER(Suppliers!F53),Suppliers!F53,DATE(YEAR(TODAY()),MONTH(TODAY()),1))))*12+MONTH(EDATE(DATE(YEAR(TODAY()),MONTH(TODAY()),1),22))-MONTH(IF(ISNUMBER(Suppliers!F53),Suppliers!F53,DATE(YEAR(TODAY()),MONTH(TODAY()),1))),3)=0,1,0),IF(Suppliers!E53="Semi-annual",IF(MOD((YEAR(EDATE(DATE(YEAR(TODAY()),MONTH(TODAY()),1),22))-YEAR(IF(ISNUMBER(Suppliers!F53),Suppliers!F53,DATE(YEAR(TODAY()),MONTH(TODAY()),1))))*12+MONTH(EDATE(DATE(YEAR(TODAY()),MONTH(TODAY()),1),22))-MONTH(IF(ISNUMBER(Suppliers!F53),Suppliers!F53,DATE(YEAR(TODAY()),MONTH(TODAY()),1))),6)=0,1,0),IF(Suppliers!E53="Annual",IF(MOD((YEAR(EDATE(DATE(YEAR(TODAY()),MONTH(TODAY()),1),22))-YEAR(IF(ISNUMBER(Suppliers!F53),Suppliers!F53,DATE(YEAR(TODAY()),MONTH(TODAY()),1))))*12+MONTH(EDATE(DATE(YEAR(TODAY()),MONTH(TODAY()),1),22))-MONTH(IF(ISNUMBER(Suppliers!F53),Suppliers!F53,DATE(YEAR(TODAY()),MONTH(TODAY()),1))),12)=0,1,0),IF(Suppliers!E53="One-time",IF(22=0,1,0),1)))))),"")</f>
        <v/>
      </c>
      <c r="AC55" s="10" t="str">
        <f ca="1">IFERROR(IF(OR(23&gt;=$B$1,Suppliers!A53="",NOT(ISNUMBER(Suppliers!D53)),Suppliers!L53="Expired",Suppliers!L53="Terminate"),"",Suppliers!D53*-1*IF(Suppliers!E53="Monthly",IF(AND(ISNUMBER(Suppliers!G53),(YEAR(EDATE(DATE(YEAR(TODAY()),MONTH(TODAY()),1),23))*12+MONTH(EDATE(DATE(YEAR(TODAY()),MONTH(TODAY()),1),23)))&gt;(YEAR(Suppliers!G53)*12+MONTH(Suppliers!G53))),"",1),IF(Suppliers!E53="Quarterly",IF(MOD((YEAR(EDATE(DATE(YEAR(TODAY()),MONTH(TODAY()),1),23))-YEAR(IF(ISNUMBER(Suppliers!F53),Suppliers!F53,DATE(YEAR(TODAY()),MONTH(TODAY()),1))))*12+MONTH(EDATE(DATE(YEAR(TODAY()),MONTH(TODAY()),1),23))-MONTH(IF(ISNUMBER(Suppliers!F53),Suppliers!F53,DATE(YEAR(TODAY()),MONTH(TODAY()),1))),3)=0,1,0),IF(Suppliers!E53="Semi-annual",IF(MOD((YEAR(EDATE(DATE(YEAR(TODAY()),MONTH(TODAY()),1),23))-YEAR(IF(ISNUMBER(Suppliers!F53),Suppliers!F53,DATE(YEAR(TODAY()),MONTH(TODAY()),1))))*12+MONTH(EDATE(DATE(YEAR(TODAY()),MONTH(TODAY()),1),23))-MONTH(IF(ISNUMBER(Suppliers!F53),Suppliers!F53,DATE(YEAR(TODAY()),MONTH(TODAY()),1))),6)=0,1,0),IF(Suppliers!E53="Annual",IF(MOD((YEAR(EDATE(DATE(YEAR(TODAY()),MONTH(TODAY()),1),23))-YEAR(IF(ISNUMBER(Suppliers!F53),Suppliers!F53,DATE(YEAR(TODAY()),MONTH(TODAY()),1))))*12+MONTH(EDATE(DATE(YEAR(TODAY()),MONTH(TODAY()),1),23))-MONTH(IF(ISNUMBER(Suppliers!F53),Suppliers!F53,DATE(YEAR(TODAY()),MONTH(TODAY()),1))),12)=0,1,0),IF(Suppliers!E53="One-time",IF(23=0,1,0),1)))))),"")</f>
        <v/>
      </c>
    </row>
    <row r="56" spans="1:30" ht="15" customHeight="1" x14ac:dyDescent="0.35">
      <c r="A56" s="4" t="s">
        <v>80</v>
      </c>
      <c r="B56" s="4" t="str">
        <f>IF(Suppliers!A54="","",Suppliers!A54)</f>
        <v/>
      </c>
      <c r="C56" s="10" t="str">
        <f>IF(Suppliers!C54="","",Suppliers!C54)</f>
        <v/>
      </c>
      <c r="D56" s="10" t="str">
        <f>IF(Suppliers!D54="","",Suppliers!D54)</f>
        <v/>
      </c>
      <c r="E56" s="4" t="str">
        <f>IF(Suppliers!E54="","",Suppliers!E54)</f>
        <v/>
      </c>
      <c r="F56" s="10" t="str">
        <f ca="1">IFERROR(IF(OR(0&gt;=$B$1,Suppliers!A54="",NOT(ISNUMBER(Suppliers!D54)),Suppliers!L54="Expired",Suppliers!L54="Terminate"),"",Suppliers!D54*-1*IF(Suppliers!E54="Monthly",IF(AND(ISNUMBER(Suppliers!G54),(YEAR(EDATE(DATE(YEAR(TODAY()),MONTH(TODAY()),1),0))*12+MONTH(EDATE(DATE(YEAR(TODAY()),MONTH(TODAY()),1),0)))&gt;(YEAR(Suppliers!G54)*12+MONTH(Suppliers!G54))),"",1),IF(Suppliers!E54="Quarterly",IF(MOD((YEAR(EDATE(DATE(YEAR(TODAY()),MONTH(TODAY()),1),0))-YEAR(IF(ISNUMBER(Suppliers!F54),Suppliers!F54,DATE(YEAR(TODAY()),MONTH(TODAY()),1))))*12+MONTH(EDATE(DATE(YEAR(TODAY()),MONTH(TODAY()),1),0))-MONTH(IF(ISNUMBER(Suppliers!F54),Suppliers!F54,DATE(YEAR(TODAY()),MONTH(TODAY()),1))),3)=0,1,0),IF(Suppliers!E54="Semi-annual",IF(MOD((YEAR(EDATE(DATE(YEAR(TODAY()),MONTH(TODAY()),1),0))-YEAR(IF(ISNUMBER(Suppliers!F54),Suppliers!F54,DATE(YEAR(TODAY()),MONTH(TODAY()),1))))*12+MONTH(EDATE(DATE(YEAR(TODAY()),MONTH(TODAY()),1),0))-MONTH(IF(ISNUMBER(Suppliers!F54),Suppliers!F54,DATE(YEAR(TODAY()),MONTH(TODAY()),1))),6)=0,1,0),IF(Suppliers!E54="Annual",IF(MOD((YEAR(EDATE(DATE(YEAR(TODAY()),MONTH(TODAY()),1),0))-YEAR(IF(ISNUMBER(Suppliers!F54),Suppliers!F54,DATE(YEAR(TODAY()),MONTH(TODAY()),1))))*12+MONTH(EDATE(DATE(YEAR(TODAY()),MONTH(TODAY()),1),0))-MONTH(IF(ISNUMBER(Suppliers!F54),Suppliers!F54,DATE(YEAR(TODAY()),MONTH(TODAY()),1))),12)=0,1,0),IF(Suppliers!E54="One-time",IF(0=0,1,0),1)))))),"")</f>
        <v/>
      </c>
      <c r="G56" s="10" t="str">
        <f ca="1">IFERROR(IF(OR(1&gt;=$B$1,Suppliers!A54="",NOT(ISNUMBER(Suppliers!D54)),Suppliers!L54="Expired",Suppliers!L54="Terminate"),"",Suppliers!D54*-1*IF(Suppliers!E54="Monthly",IF(AND(ISNUMBER(Suppliers!G54),(YEAR(EDATE(DATE(YEAR(TODAY()),MONTH(TODAY()),1),1))*12+MONTH(EDATE(DATE(YEAR(TODAY()),MONTH(TODAY()),1),1)))&gt;(YEAR(Suppliers!G54)*12+MONTH(Suppliers!G54))),"",1),IF(Suppliers!E54="Quarterly",IF(MOD((YEAR(EDATE(DATE(YEAR(TODAY()),MONTH(TODAY()),1),1))-YEAR(IF(ISNUMBER(Suppliers!F54),Suppliers!F54,DATE(YEAR(TODAY()),MONTH(TODAY()),1))))*12+MONTH(EDATE(DATE(YEAR(TODAY()),MONTH(TODAY()),1),1))-MONTH(IF(ISNUMBER(Suppliers!F54),Suppliers!F54,DATE(YEAR(TODAY()),MONTH(TODAY()),1))),3)=0,1,0),IF(Suppliers!E54="Semi-annual",IF(MOD((YEAR(EDATE(DATE(YEAR(TODAY()),MONTH(TODAY()),1),1))-YEAR(IF(ISNUMBER(Suppliers!F54),Suppliers!F54,DATE(YEAR(TODAY()),MONTH(TODAY()),1))))*12+MONTH(EDATE(DATE(YEAR(TODAY()),MONTH(TODAY()),1),1))-MONTH(IF(ISNUMBER(Suppliers!F54),Suppliers!F54,DATE(YEAR(TODAY()),MONTH(TODAY()),1))),6)=0,1,0),IF(Suppliers!E54="Annual",IF(MOD((YEAR(EDATE(DATE(YEAR(TODAY()),MONTH(TODAY()),1),1))-YEAR(IF(ISNUMBER(Suppliers!F54),Suppliers!F54,DATE(YEAR(TODAY()),MONTH(TODAY()),1))))*12+MONTH(EDATE(DATE(YEAR(TODAY()),MONTH(TODAY()),1),1))-MONTH(IF(ISNUMBER(Suppliers!F54),Suppliers!F54,DATE(YEAR(TODAY()),MONTH(TODAY()),1))),12)=0,1,0),IF(Suppliers!E54="One-time",IF(1=0,1,0),1)))))),"")</f>
        <v/>
      </c>
      <c r="H56" s="10" t="str">
        <f ca="1">IFERROR(IF(OR(2&gt;=$B$1,Suppliers!A54="",NOT(ISNUMBER(Suppliers!D54)),Suppliers!L54="Expired",Suppliers!L54="Terminate"),"",Suppliers!D54*-1*IF(Suppliers!E54="Monthly",IF(AND(ISNUMBER(Suppliers!G54),(YEAR(EDATE(DATE(YEAR(TODAY()),MONTH(TODAY()),1),2))*12+MONTH(EDATE(DATE(YEAR(TODAY()),MONTH(TODAY()),1),2)))&gt;(YEAR(Suppliers!G54)*12+MONTH(Suppliers!G54))),"",1),IF(Suppliers!E54="Quarterly",IF(MOD((YEAR(EDATE(DATE(YEAR(TODAY()),MONTH(TODAY()),1),2))-YEAR(IF(ISNUMBER(Suppliers!F54),Suppliers!F54,DATE(YEAR(TODAY()),MONTH(TODAY()),1))))*12+MONTH(EDATE(DATE(YEAR(TODAY()),MONTH(TODAY()),1),2))-MONTH(IF(ISNUMBER(Suppliers!F54),Suppliers!F54,DATE(YEAR(TODAY()),MONTH(TODAY()),1))),3)=0,1,0),IF(Suppliers!E54="Semi-annual",IF(MOD((YEAR(EDATE(DATE(YEAR(TODAY()),MONTH(TODAY()),1),2))-YEAR(IF(ISNUMBER(Suppliers!F54),Suppliers!F54,DATE(YEAR(TODAY()),MONTH(TODAY()),1))))*12+MONTH(EDATE(DATE(YEAR(TODAY()),MONTH(TODAY()),1),2))-MONTH(IF(ISNUMBER(Suppliers!F54),Suppliers!F54,DATE(YEAR(TODAY()),MONTH(TODAY()),1))),6)=0,1,0),IF(Suppliers!E54="Annual",IF(MOD((YEAR(EDATE(DATE(YEAR(TODAY()),MONTH(TODAY()),1),2))-YEAR(IF(ISNUMBER(Suppliers!F54),Suppliers!F54,DATE(YEAR(TODAY()),MONTH(TODAY()),1))))*12+MONTH(EDATE(DATE(YEAR(TODAY()),MONTH(TODAY()),1),2))-MONTH(IF(ISNUMBER(Suppliers!F54),Suppliers!F54,DATE(YEAR(TODAY()),MONTH(TODAY()),1))),12)=0,1,0),IF(Suppliers!E54="One-time",IF(2=0,1,0),1)))))),"")</f>
        <v/>
      </c>
      <c r="I56" s="10" t="str">
        <f ca="1">IFERROR(IF(OR(3&gt;=$B$1,Suppliers!A54="",NOT(ISNUMBER(Suppliers!D54)),Suppliers!L54="Expired",Suppliers!L54="Terminate"),"",Suppliers!D54*-1*IF(Suppliers!E54="Monthly",IF(AND(ISNUMBER(Suppliers!G54),(YEAR(EDATE(DATE(YEAR(TODAY()),MONTH(TODAY()),1),3))*12+MONTH(EDATE(DATE(YEAR(TODAY()),MONTH(TODAY()),1),3)))&gt;(YEAR(Suppliers!G54)*12+MONTH(Suppliers!G54))),"",1),IF(Suppliers!E54="Quarterly",IF(MOD((YEAR(EDATE(DATE(YEAR(TODAY()),MONTH(TODAY()),1),3))-YEAR(IF(ISNUMBER(Suppliers!F54),Suppliers!F54,DATE(YEAR(TODAY()),MONTH(TODAY()),1))))*12+MONTH(EDATE(DATE(YEAR(TODAY()),MONTH(TODAY()),1),3))-MONTH(IF(ISNUMBER(Suppliers!F54),Suppliers!F54,DATE(YEAR(TODAY()),MONTH(TODAY()),1))),3)=0,1,0),IF(Suppliers!E54="Semi-annual",IF(MOD((YEAR(EDATE(DATE(YEAR(TODAY()),MONTH(TODAY()),1),3))-YEAR(IF(ISNUMBER(Suppliers!F54),Suppliers!F54,DATE(YEAR(TODAY()),MONTH(TODAY()),1))))*12+MONTH(EDATE(DATE(YEAR(TODAY()),MONTH(TODAY()),1),3))-MONTH(IF(ISNUMBER(Suppliers!F54),Suppliers!F54,DATE(YEAR(TODAY()),MONTH(TODAY()),1))),6)=0,1,0),IF(Suppliers!E54="Annual",IF(MOD((YEAR(EDATE(DATE(YEAR(TODAY()),MONTH(TODAY()),1),3))-YEAR(IF(ISNUMBER(Suppliers!F54),Suppliers!F54,DATE(YEAR(TODAY()),MONTH(TODAY()),1))))*12+MONTH(EDATE(DATE(YEAR(TODAY()),MONTH(TODAY()),1),3))-MONTH(IF(ISNUMBER(Suppliers!F54),Suppliers!F54,DATE(YEAR(TODAY()),MONTH(TODAY()),1))),12)=0,1,0),IF(Suppliers!E54="One-time",IF(3=0,1,0),1)))))),"")</f>
        <v/>
      </c>
      <c r="J56" s="10" t="str">
        <f ca="1">IFERROR(IF(OR(4&gt;=$B$1,Suppliers!A54="",NOT(ISNUMBER(Suppliers!D54)),Suppliers!L54="Expired",Suppliers!L54="Terminate"),"",Suppliers!D54*-1*IF(Suppliers!E54="Monthly",IF(AND(ISNUMBER(Suppliers!G54),(YEAR(EDATE(DATE(YEAR(TODAY()),MONTH(TODAY()),1),4))*12+MONTH(EDATE(DATE(YEAR(TODAY()),MONTH(TODAY()),1),4)))&gt;(YEAR(Suppliers!G54)*12+MONTH(Suppliers!G54))),"",1),IF(Suppliers!E54="Quarterly",IF(MOD((YEAR(EDATE(DATE(YEAR(TODAY()),MONTH(TODAY()),1),4))-YEAR(IF(ISNUMBER(Suppliers!F54),Suppliers!F54,DATE(YEAR(TODAY()),MONTH(TODAY()),1))))*12+MONTH(EDATE(DATE(YEAR(TODAY()),MONTH(TODAY()),1),4))-MONTH(IF(ISNUMBER(Suppliers!F54),Suppliers!F54,DATE(YEAR(TODAY()),MONTH(TODAY()),1))),3)=0,1,0),IF(Suppliers!E54="Semi-annual",IF(MOD((YEAR(EDATE(DATE(YEAR(TODAY()),MONTH(TODAY()),1),4))-YEAR(IF(ISNUMBER(Suppliers!F54),Suppliers!F54,DATE(YEAR(TODAY()),MONTH(TODAY()),1))))*12+MONTH(EDATE(DATE(YEAR(TODAY()),MONTH(TODAY()),1),4))-MONTH(IF(ISNUMBER(Suppliers!F54),Suppliers!F54,DATE(YEAR(TODAY()),MONTH(TODAY()),1))),6)=0,1,0),IF(Suppliers!E54="Annual",IF(MOD((YEAR(EDATE(DATE(YEAR(TODAY()),MONTH(TODAY()),1),4))-YEAR(IF(ISNUMBER(Suppliers!F54),Suppliers!F54,DATE(YEAR(TODAY()),MONTH(TODAY()),1))))*12+MONTH(EDATE(DATE(YEAR(TODAY()),MONTH(TODAY()),1),4))-MONTH(IF(ISNUMBER(Suppliers!F54),Suppliers!F54,DATE(YEAR(TODAY()),MONTH(TODAY()),1))),12)=0,1,0),IF(Suppliers!E54="One-time",IF(4=0,1,0),1)))))),"")</f>
        <v/>
      </c>
      <c r="K56" s="10" t="str">
        <f ca="1">IFERROR(IF(OR(5&gt;=$B$1,Suppliers!A54="",NOT(ISNUMBER(Suppliers!D54)),Suppliers!L54="Expired",Suppliers!L54="Terminate"),"",Suppliers!D54*-1*IF(Suppliers!E54="Monthly",IF(AND(ISNUMBER(Suppliers!G54),(YEAR(EDATE(DATE(YEAR(TODAY()),MONTH(TODAY()),1),5))*12+MONTH(EDATE(DATE(YEAR(TODAY()),MONTH(TODAY()),1),5)))&gt;(YEAR(Suppliers!G54)*12+MONTH(Suppliers!G54))),"",1),IF(Suppliers!E54="Quarterly",IF(MOD((YEAR(EDATE(DATE(YEAR(TODAY()),MONTH(TODAY()),1),5))-YEAR(IF(ISNUMBER(Suppliers!F54),Suppliers!F54,DATE(YEAR(TODAY()),MONTH(TODAY()),1))))*12+MONTH(EDATE(DATE(YEAR(TODAY()),MONTH(TODAY()),1),5))-MONTH(IF(ISNUMBER(Suppliers!F54),Suppliers!F54,DATE(YEAR(TODAY()),MONTH(TODAY()),1))),3)=0,1,0),IF(Suppliers!E54="Semi-annual",IF(MOD((YEAR(EDATE(DATE(YEAR(TODAY()),MONTH(TODAY()),1),5))-YEAR(IF(ISNUMBER(Suppliers!F54),Suppliers!F54,DATE(YEAR(TODAY()),MONTH(TODAY()),1))))*12+MONTH(EDATE(DATE(YEAR(TODAY()),MONTH(TODAY()),1),5))-MONTH(IF(ISNUMBER(Suppliers!F54),Suppliers!F54,DATE(YEAR(TODAY()),MONTH(TODAY()),1))),6)=0,1,0),IF(Suppliers!E54="Annual",IF(MOD((YEAR(EDATE(DATE(YEAR(TODAY()),MONTH(TODAY()),1),5))-YEAR(IF(ISNUMBER(Suppliers!F54),Suppliers!F54,DATE(YEAR(TODAY()),MONTH(TODAY()),1))))*12+MONTH(EDATE(DATE(YEAR(TODAY()),MONTH(TODAY()),1),5))-MONTH(IF(ISNUMBER(Suppliers!F54),Suppliers!F54,DATE(YEAR(TODAY()),MONTH(TODAY()),1))),12)=0,1,0),IF(Suppliers!E54="One-time",IF(5=0,1,0),1)))))),"")</f>
        <v/>
      </c>
      <c r="L56" s="10" t="str">
        <f ca="1">IFERROR(IF(OR(6&gt;=$B$1,Suppliers!A54="",NOT(ISNUMBER(Suppliers!D54)),Suppliers!L54="Expired",Suppliers!L54="Terminate"),"",Suppliers!D54*-1*IF(Suppliers!E54="Monthly",IF(AND(ISNUMBER(Suppliers!G54),(YEAR(EDATE(DATE(YEAR(TODAY()),MONTH(TODAY()),1),6))*12+MONTH(EDATE(DATE(YEAR(TODAY()),MONTH(TODAY()),1),6)))&gt;(YEAR(Suppliers!G54)*12+MONTH(Suppliers!G54))),"",1),IF(Suppliers!E54="Quarterly",IF(MOD((YEAR(EDATE(DATE(YEAR(TODAY()),MONTH(TODAY()),1),6))-YEAR(IF(ISNUMBER(Suppliers!F54),Suppliers!F54,DATE(YEAR(TODAY()),MONTH(TODAY()),1))))*12+MONTH(EDATE(DATE(YEAR(TODAY()),MONTH(TODAY()),1),6))-MONTH(IF(ISNUMBER(Suppliers!F54),Suppliers!F54,DATE(YEAR(TODAY()),MONTH(TODAY()),1))),3)=0,1,0),IF(Suppliers!E54="Semi-annual",IF(MOD((YEAR(EDATE(DATE(YEAR(TODAY()),MONTH(TODAY()),1),6))-YEAR(IF(ISNUMBER(Suppliers!F54),Suppliers!F54,DATE(YEAR(TODAY()),MONTH(TODAY()),1))))*12+MONTH(EDATE(DATE(YEAR(TODAY()),MONTH(TODAY()),1),6))-MONTH(IF(ISNUMBER(Suppliers!F54),Suppliers!F54,DATE(YEAR(TODAY()),MONTH(TODAY()),1))),6)=0,1,0),IF(Suppliers!E54="Annual",IF(MOD((YEAR(EDATE(DATE(YEAR(TODAY()),MONTH(TODAY()),1),6))-YEAR(IF(ISNUMBER(Suppliers!F54),Suppliers!F54,DATE(YEAR(TODAY()),MONTH(TODAY()),1))))*12+MONTH(EDATE(DATE(YEAR(TODAY()),MONTH(TODAY()),1),6))-MONTH(IF(ISNUMBER(Suppliers!F54),Suppliers!F54,DATE(YEAR(TODAY()),MONTH(TODAY()),1))),12)=0,1,0),IF(Suppliers!E54="One-time",IF(6=0,1,0),1)))))),"")</f>
        <v/>
      </c>
      <c r="M56" s="10" t="str">
        <f ca="1">IFERROR(IF(OR(7&gt;=$B$1,Suppliers!A54="",NOT(ISNUMBER(Suppliers!D54)),Suppliers!L54="Expired",Suppliers!L54="Terminate"),"",Suppliers!D54*-1*IF(Suppliers!E54="Monthly",IF(AND(ISNUMBER(Suppliers!G54),(YEAR(EDATE(DATE(YEAR(TODAY()),MONTH(TODAY()),1),7))*12+MONTH(EDATE(DATE(YEAR(TODAY()),MONTH(TODAY()),1),7)))&gt;(YEAR(Suppliers!G54)*12+MONTH(Suppliers!G54))),"",1),IF(Suppliers!E54="Quarterly",IF(MOD((YEAR(EDATE(DATE(YEAR(TODAY()),MONTH(TODAY()),1),7))-YEAR(IF(ISNUMBER(Suppliers!F54),Suppliers!F54,DATE(YEAR(TODAY()),MONTH(TODAY()),1))))*12+MONTH(EDATE(DATE(YEAR(TODAY()),MONTH(TODAY()),1),7))-MONTH(IF(ISNUMBER(Suppliers!F54),Suppliers!F54,DATE(YEAR(TODAY()),MONTH(TODAY()),1))),3)=0,1,0),IF(Suppliers!E54="Semi-annual",IF(MOD((YEAR(EDATE(DATE(YEAR(TODAY()),MONTH(TODAY()),1),7))-YEAR(IF(ISNUMBER(Suppliers!F54),Suppliers!F54,DATE(YEAR(TODAY()),MONTH(TODAY()),1))))*12+MONTH(EDATE(DATE(YEAR(TODAY()),MONTH(TODAY()),1),7))-MONTH(IF(ISNUMBER(Suppliers!F54),Suppliers!F54,DATE(YEAR(TODAY()),MONTH(TODAY()),1))),6)=0,1,0),IF(Suppliers!E54="Annual",IF(MOD((YEAR(EDATE(DATE(YEAR(TODAY()),MONTH(TODAY()),1),7))-YEAR(IF(ISNUMBER(Suppliers!F54),Suppliers!F54,DATE(YEAR(TODAY()),MONTH(TODAY()),1))))*12+MONTH(EDATE(DATE(YEAR(TODAY()),MONTH(TODAY()),1),7))-MONTH(IF(ISNUMBER(Suppliers!F54),Suppliers!F54,DATE(YEAR(TODAY()),MONTH(TODAY()),1))),12)=0,1,0),IF(Suppliers!E54="One-time",IF(7=0,1,0),1)))))),"")</f>
        <v/>
      </c>
      <c r="N56" s="10" t="str">
        <f ca="1">IFERROR(IF(OR(8&gt;=$B$1,Suppliers!A54="",NOT(ISNUMBER(Suppliers!D54)),Suppliers!L54="Expired",Suppliers!L54="Terminate"),"",Suppliers!D54*-1*IF(Suppliers!E54="Monthly",IF(AND(ISNUMBER(Suppliers!G54),(YEAR(EDATE(DATE(YEAR(TODAY()),MONTH(TODAY()),1),8))*12+MONTH(EDATE(DATE(YEAR(TODAY()),MONTH(TODAY()),1),8)))&gt;(YEAR(Suppliers!G54)*12+MONTH(Suppliers!G54))),"",1),IF(Suppliers!E54="Quarterly",IF(MOD((YEAR(EDATE(DATE(YEAR(TODAY()),MONTH(TODAY()),1),8))-YEAR(IF(ISNUMBER(Suppliers!F54),Suppliers!F54,DATE(YEAR(TODAY()),MONTH(TODAY()),1))))*12+MONTH(EDATE(DATE(YEAR(TODAY()),MONTH(TODAY()),1),8))-MONTH(IF(ISNUMBER(Suppliers!F54),Suppliers!F54,DATE(YEAR(TODAY()),MONTH(TODAY()),1))),3)=0,1,0),IF(Suppliers!E54="Semi-annual",IF(MOD((YEAR(EDATE(DATE(YEAR(TODAY()),MONTH(TODAY()),1),8))-YEAR(IF(ISNUMBER(Suppliers!F54),Suppliers!F54,DATE(YEAR(TODAY()),MONTH(TODAY()),1))))*12+MONTH(EDATE(DATE(YEAR(TODAY()),MONTH(TODAY()),1),8))-MONTH(IF(ISNUMBER(Suppliers!F54),Suppliers!F54,DATE(YEAR(TODAY()),MONTH(TODAY()),1))),6)=0,1,0),IF(Suppliers!E54="Annual",IF(MOD((YEAR(EDATE(DATE(YEAR(TODAY()),MONTH(TODAY()),1),8))-YEAR(IF(ISNUMBER(Suppliers!F54),Suppliers!F54,DATE(YEAR(TODAY()),MONTH(TODAY()),1))))*12+MONTH(EDATE(DATE(YEAR(TODAY()),MONTH(TODAY()),1),8))-MONTH(IF(ISNUMBER(Suppliers!F54),Suppliers!F54,DATE(YEAR(TODAY()),MONTH(TODAY()),1))),12)=0,1,0),IF(Suppliers!E54="One-time",IF(8=0,1,0),1)))))),"")</f>
        <v/>
      </c>
      <c r="O56" s="10" t="str">
        <f ca="1">IFERROR(IF(OR(9&gt;=$B$1,Suppliers!A54="",NOT(ISNUMBER(Suppliers!D54)),Suppliers!L54="Expired",Suppliers!L54="Terminate"),"",Suppliers!D54*-1*IF(Suppliers!E54="Monthly",IF(AND(ISNUMBER(Suppliers!G54),(YEAR(EDATE(DATE(YEAR(TODAY()),MONTH(TODAY()),1),9))*12+MONTH(EDATE(DATE(YEAR(TODAY()),MONTH(TODAY()),1),9)))&gt;(YEAR(Suppliers!G54)*12+MONTH(Suppliers!G54))),"",1),IF(Suppliers!E54="Quarterly",IF(MOD((YEAR(EDATE(DATE(YEAR(TODAY()),MONTH(TODAY()),1),9))-YEAR(IF(ISNUMBER(Suppliers!F54),Suppliers!F54,DATE(YEAR(TODAY()),MONTH(TODAY()),1))))*12+MONTH(EDATE(DATE(YEAR(TODAY()),MONTH(TODAY()),1),9))-MONTH(IF(ISNUMBER(Suppliers!F54),Suppliers!F54,DATE(YEAR(TODAY()),MONTH(TODAY()),1))),3)=0,1,0),IF(Suppliers!E54="Semi-annual",IF(MOD((YEAR(EDATE(DATE(YEAR(TODAY()),MONTH(TODAY()),1),9))-YEAR(IF(ISNUMBER(Suppliers!F54),Suppliers!F54,DATE(YEAR(TODAY()),MONTH(TODAY()),1))))*12+MONTH(EDATE(DATE(YEAR(TODAY()),MONTH(TODAY()),1),9))-MONTH(IF(ISNUMBER(Suppliers!F54),Suppliers!F54,DATE(YEAR(TODAY()),MONTH(TODAY()),1))),6)=0,1,0),IF(Suppliers!E54="Annual",IF(MOD((YEAR(EDATE(DATE(YEAR(TODAY()),MONTH(TODAY()),1),9))-YEAR(IF(ISNUMBER(Suppliers!F54),Suppliers!F54,DATE(YEAR(TODAY()),MONTH(TODAY()),1))))*12+MONTH(EDATE(DATE(YEAR(TODAY()),MONTH(TODAY()),1),9))-MONTH(IF(ISNUMBER(Suppliers!F54),Suppliers!F54,DATE(YEAR(TODAY()),MONTH(TODAY()),1))),12)=0,1,0),IF(Suppliers!E54="One-time",IF(9=0,1,0),1)))))),"")</f>
        <v/>
      </c>
      <c r="P56" s="10" t="str">
        <f ca="1">IFERROR(IF(OR(10&gt;=$B$1,Suppliers!A54="",NOT(ISNUMBER(Suppliers!D54)),Suppliers!L54="Expired",Suppliers!L54="Terminate"),"",Suppliers!D54*-1*IF(Suppliers!E54="Monthly",IF(AND(ISNUMBER(Suppliers!G54),(YEAR(EDATE(DATE(YEAR(TODAY()),MONTH(TODAY()),1),10))*12+MONTH(EDATE(DATE(YEAR(TODAY()),MONTH(TODAY()),1),10)))&gt;(YEAR(Suppliers!G54)*12+MONTH(Suppliers!G54))),"",1),IF(Suppliers!E54="Quarterly",IF(MOD((YEAR(EDATE(DATE(YEAR(TODAY()),MONTH(TODAY()),1),10))-YEAR(IF(ISNUMBER(Suppliers!F54),Suppliers!F54,DATE(YEAR(TODAY()),MONTH(TODAY()),1))))*12+MONTH(EDATE(DATE(YEAR(TODAY()),MONTH(TODAY()),1),10))-MONTH(IF(ISNUMBER(Suppliers!F54),Suppliers!F54,DATE(YEAR(TODAY()),MONTH(TODAY()),1))),3)=0,1,0),IF(Suppliers!E54="Semi-annual",IF(MOD((YEAR(EDATE(DATE(YEAR(TODAY()),MONTH(TODAY()),1),10))-YEAR(IF(ISNUMBER(Suppliers!F54),Suppliers!F54,DATE(YEAR(TODAY()),MONTH(TODAY()),1))))*12+MONTH(EDATE(DATE(YEAR(TODAY()),MONTH(TODAY()),1),10))-MONTH(IF(ISNUMBER(Suppliers!F54),Suppliers!F54,DATE(YEAR(TODAY()),MONTH(TODAY()),1))),6)=0,1,0),IF(Suppliers!E54="Annual",IF(MOD((YEAR(EDATE(DATE(YEAR(TODAY()),MONTH(TODAY()),1),10))-YEAR(IF(ISNUMBER(Suppliers!F54),Suppliers!F54,DATE(YEAR(TODAY()),MONTH(TODAY()),1))))*12+MONTH(EDATE(DATE(YEAR(TODAY()),MONTH(TODAY()),1),10))-MONTH(IF(ISNUMBER(Suppliers!F54),Suppliers!F54,DATE(YEAR(TODAY()),MONTH(TODAY()),1))),12)=0,1,0),IF(Suppliers!E54="One-time",IF(10=0,1,0),1)))))),"")</f>
        <v/>
      </c>
      <c r="Q56" s="10" t="str">
        <f ca="1">IFERROR(IF(OR(11&gt;=$B$1,Suppliers!A54="",NOT(ISNUMBER(Suppliers!D54)),Suppliers!L54="Expired",Suppliers!L54="Terminate"),"",Suppliers!D54*-1*IF(Suppliers!E54="Monthly",IF(AND(ISNUMBER(Suppliers!G54),(YEAR(EDATE(DATE(YEAR(TODAY()),MONTH(TODAY()),1),11))*12+MONTH(EDATE(DATE(YEAR(TODAY()),MONTH(TODAY()),1),11)))&gt;(YEAR(Suppliers!G54)*12+MONTH(Suppliers!G54))),"",1),IF(Suppliers!E54="Quarterly",IF(MOD((YEAR(EDATE(DATE(YEAR(TODAY()),MONTH(TODAY()),1),11))-YEAR(IF(ISNUMBER(Suppliers!F54),Suppliers!F54,DATE(YEAR(TODAY()),MONTH(TODAY()),1))))*12+MONTH(EDATE(DATE(YEAR(TODAY()),MONTH(TODAY()),1),11))-MONTH(IF(ISNUMBER(Suppliers!F54),Suppliers!F54,DATE(YEAR(TODAY()),MONTH(TODAY()),1))),3)=0,1,0),IF(Suppliers!E54="Semi-annual",IF(MOD((YEAR(EDATE(DATE(YEAR(TODAY()),MONTH(TODAY()),1),11))-YEAR(IF(ISNUMBER(Suppliers!F54),Suppliers!F54,DATE(YEAR(TODAY()),MONTH(TODAY()),1))))*12+MONTH(EDATE(DATE(YEAR(TODAY()),MONTH(TODAY()),1),11))-MONTH(IF(ISNUMBER(Suppliers!F54),Suppliers!F54,DATE(YEAR(TODAY()),MONTH(TODAY()),1))),6)=0,1,0),IF(Suppliers!E54="Annual",IF(MOD((YEAR(EDATE(DATE(YEAR(TODAY()),MONTH(TODAY()),1),11))-YEAR(IF(ISNUMBER(Suppliers!F54),Suppliers!F54,DATE(YEAR(TODAY()),MONTH(TODAY()),1))))*12+MONTH(EDATE(DATE(YEAR(TODAY()),MONTH(TODAY()),1),11))-MONTH(IF(ISNUMBER(Suppliers!F54),Suppliers!F54,DATE(YEAR(TODAY()),MONTH(TODAY()),1))),12)=0,1,0),IF(Suppliers!E54="One-time",IF(11=0,1,0),1)))))),"")</f>
        <v/>
      </c>
      <c r="R56" s="10" t="str">
        <f ca="1">IFERROR(IF(OR(12&gt;=$B$1,Suppliers!A54="",NOT(ISNUMBER(Suppliers!D54)),Suppliers!L54="Expired",Suppliers!L54="Terminate"),"",Suppliers!D54*-1*IF(Suppliers!E54="Monthly",IF(AND(ISNUMBER(Suppliers!G54),(YEAR(EDATE(DATE(YEAR(TODAY()),MONTH(TODAY()),1),12))*12+MONTH(EDATE(DATE(YEAR(TODAY()),MONTH(TODAY()),1),12)))&gt;(YEAR(Suppliers!G54)*12+MONTH(Suppliers!G54))),"",1),IF(Suppliers!E54="Quarterly",IF(MOD((YEAR(EDATE(DATE(YEAR(TODAY()),MONTH(TODAY()),1),12))-YEAR(IF(ISNUMBER(Suppliers!F54),Suppliers!F54,DATE(YEAR(TODAY()),MONTH(TODAY()),1))))*12+MONTH(EDATE(DATE(YEAR(TODAY()),MONTH(TODAY()),1),12))-MONTH(IF(ISNUMBER(Suppliers!F54),Suppliers!F54,DATE(YEAR(TODAY()),MONTH(TODAY()),1))),3)=0,1,0),IF(Suppliers!E54="Semi-annual",IF(MOD((YEAR(EDATE(DATE(YEAR(TODAY()),MONTH(TODAY()),1),12))-YEAR(IF(ISNUMBER(Suppliers!F54),Suppliers!F54,DATE(YEAR(TODAY()),MONTH(TODAY()),1))))*12+MONTH(EDATE(DATE(YEAR(TODAY()),MONTH(TODAY()),1),12))-MONTH(IF(ISNUMBER(Suppliers!F54),Suppliers!F54,DATE(YEAR(TODAY()),MONTH(TODAY()),1))),6)=0,1,0),IF(Suppliers!E54="Annual",IF(MOD((YEAR(EDATE(DATE(YEAR(TODAY()),MONTH(TODAY()),1),12))-YEAR(IF(ISNUMBER(Suppliers!F54),Suppliers!F54,DATE(YEAR(TODAY()),MONTH(TODAY()),1))))*12+MONTH(EDATE(DATE(YEAR(TODAY()),MONTH(TODAY()),1),12))-MONTH(IF(ISNUMBER(Suppliers!F54),Suppliers!F54,DATE(YEAR(TODAY()),MONTH(TODAY()),1))),12)=0,1,0),IF(Suppliers!E54="One-time",IF(12=0,1,0),1)))))),"")</f>
        <v/>
      </c>
      <c r="S56" s="10" t="str">
        <f ca="1">IFERROR(IF(OR(13&gt;=$B$1,Suppliers!A54="",NOT(ISNUMBER(Suppliers!D54)),Suppliers!L54="Expired",Suppliers!L54="Terminate"),"",Suppliers!D54*-1*IF(Suppliers!E54="Monthly",IF(AND(ISNUMBER(Suppliers!G54),(YEAR(EDATE(DATE(YEAR(TODAY()),MONTH(TODAY()),1),13))*12+MONTH(EDATE(DATE(YEAR(TODAY()),MONTH(TODAY()),1),13)))&gt;(YEAR(Suppliers!G54)*12+MONTH(Suppliers!G54))),"",1),IF(Suppliers!E54="Quarterly",IF(MOD((YEAR(EDATE(DATE(YEAR(TODAY()),MONTH(TODAY()),1),13))-YEAR(IF(ISNUMBER(Suppliers!F54),Suppliers!F54,DATE(YEAR(TODAY()),MONTH(TODAY()),1))))*12+MONTH(EDATE(DATE(YEAR(TODAY()),MONTH(TODAY()),1),13))-MONTH(IF(ISNUMBER(Suppliers!F54),Suppliers!F54,DATE(YEAR(TODAY()),MONTH(TODAY()),1))),3)=0,1,0),IF(Suppliers!E54="Semi-annual",IF(MOD((YEAR(EDATE(DATE(YEAR(TODAY()),MONTH(TODAY()),1),13))-YEAR(IF(ISNUMBER(Suppliers!F54),Suppliers!F54,DATE(YEAR(TODAY()),MONTH(TODAY()),1))))*12+MONTH(EDATE(DATE(YEAR(TODAY()),MONTH(TODAY()),1),13))-MONTH(IF(ISNUMBER(Suppliers!F54),Suppliers!F54,DATE(YEAR(TODAY()),MONTH(TODAY()),1))),6)=0,1,0),IF(Suppliers!E54="Annual",IF(MOD((YEAR(EDATE(DATE(YEAR(TODAY()),MONTH(TODAY()),1),13))-YEAR(IF(ISNUMBER(Suppliers!F54),Suppliers!F54,DATE(YEAR(TODAY()),MONTH(TODAY()),1))))*12+MONTH(EDATE(DATE(YEAR(TODAY()),MONTH(TODAY()),1),13))-MONTH(IF(ISNUMBER(Suppliers!F54),Suppliers!F54,DATE(YEAR(TODAY()),MONTH(TODAY()),1))),12)=0,1,0),IF(Suppliers!E54="One-time",IF(13=0,1,0),1)))))),"")</f>
        <v/>
      </c>
      <c r="T56" s="10" t="str">
        <f ca="1">IFERROR(IF(OR(14&gt;=$B$1,Suppliers!A54="",NOT(ISNUMBER(Suppliers!D54)),Suppliers!L54="Expired",Suppliers!L54="Terminate"),"",Suppliers!D54*-1*IF(Suppliers!E54="Monthly",IF(AND(ISNUMBER(Suppliers!G54),(YEAR(EDATE(DATE(YEAR(TODAY()),MONTH(TODAY()),1),14))*12+MONTH(EDATE(DATE(YEAR(TODAY()),MONTH(TODAY()),1),14)))&gt;(YEAR(Suppliers!G54)*12+MONTH(Suppliers!G54))),"",1),IF(Suppliers!E54="Quarterly",IF(MOD((YEAR(EDATE(DATE(YEAR(TODAY()),MONTH(TODAY()),1),14))-YEAR(IF(ISNUMBER(Suppliers!F54),Suppliers!F54,DATE(YEAR(TODAY()),MONTH(TODAY()),1))))*12+MONTH(EDATE(DATE(YEAR(TODAY()),MONTH(TODAY()),1),14))-MONTH(IF(ISNUMBER(Suppliers!F54),Suppliers!F54,DATE(YEAR(TODAY()),MONTH(TODAY()),1))),3)=0,1,0),IF(Suppliers!E54="Semi-annual",IF(MOD((YEAR(EDATE(DATE(YEAR(TODAY()),MONTH(TODAY()),1),14))-YEAR(IF(ISNUMBER(Suppliers!F54),Suppliers!F54,DATE(YEAR(TODAY()),MONTH(TODAY()),1))))*12+MONTH(EDATE(DATE(YEAR(TODAY()),MONTH(TODAY()),1),14))-MONTH(IF(ISNUMBER(Suppliers!F54),Suppliers!F54,DATE(YEAR(TODAY()),MONTH(TODAY()),1))),6)=0,1,0),IF(Suppliers!E54="Annual",IF(MOD((YEAR(EDATE(DATE(YEAR(TODAY()),MONTH(TODAY()),1),14))-YEAR(IF(ISNUMBER(Suppliers!F54),Suppliers!F54,DATE(YEAR(TODAY()),MONTH(TODAY()),1))))*12+MONTH(EDATE(DATE(YEAR(TODAY()),MONTH(TODAY()),1),14))-MONTH(IF(ISNUMBER(Suppliers!F54),Suppliers!F54,DATE(YEAR(TODAY()),MONTH(TODAY()),1))),12)=0,1,0),IF(Suppliers!E54="One-time",IF(14=0,1,0),1)))))),"")</f>
        <v/>
      </c>
      <c r="U56" s="10" t="str">
        <f ca="1">IFERROR(IF(OR(15&gt;=$B$1,Suppliers!A54="",NOT(ISNUMBER(Suppliers!D54)),Suppliers!L54="Expired",Suppliers!L54="Terminate"),"",Suppliers!D54*-1*IF(Suppliers!E54="Monthly",IF(AND(ISNUMBER(Suppliers!G54),(YEAR(EDATE(DATE(YEAR(TODAY()),MONTH(TODAY()),1),15))*12+MONTH(EDATE(DATE(YEAR(TODAY()),MONTH(TODAY()),1),15)))&gt;(YEAR(Suppliers!G54)*12+MONTH(Suppliers!G54))),"",1),IF(Suppliers!E54="Quarterly",IF(MOD((YEAR(EDATE(DATE(YEAR(TODAY()),MONTH(TODAY()),1),15))-YEAR(IF(ISNUMBER(Suppliers!F54),Suppliers!F54,DATE(YEAR(TODAY()),MONTH(TODAY()),1))))*12+MONTH(EDATE(DATE(YEAR(TODAY()),MONTH(TODAY()),1),15))-MONTH(IF(ISNUMBER(Suppliers!F54),Suppliers!F54,DATE(YEAR(TODAY()),MONTH(TODAY()),1))),3)=0,1,0),IF(Suppliers!E54="Semi-annual",IF(MOD((YEAR(EDATE(DATE(YEAR(TODAY()),MONTH(TODAY()),1),15))-YEAR(IF(ISNUMBER(Suppliers!F54),Suppliers!F54,DATE(YEAR(TODAY()),MONTH(TODAY()),1))))*12+MONTH(EDATE(DATE(YEAR(TODAY()),MONTH(TODAY()),1),15))-MONTH(IF(ISNUMBER(Suppliers!F54),Suppliers!F54,DATE(YEAR(TODAY()),MONTH(TODAY()),1))),6)=0,1,0),IF(Suppliers!E54="Annual",IF(MOD((YEAR(EDATE(DATE(YEAR(TODAY()),MONTH(TODAY()),1),15))-YEAR(IF(ISNUMBER(Suppliers!F54),Suppliers!F54,DATE(YEAR(TODAY()),MONTH(TODAY()),1))))*12+MONTH(EDATE(DATE(YEAR(TODAY()),MONTH(TODAY()),1),15))-MONTH(IF(ISNUMBER(Suppliers!F54),Suppliers!F54,DATE(YEAR(TODAY()),MONTH(TODAY()),1))),12)=0,1,0),IF(Suppliers!E54="One-time",IF(15=0,1,0),1)))))),"")</f>
        <v/>
      </c>
      <c r="V56" s="10" t="str">
        <f ca="1">IFERROR(IF(OR(16&gt;=$B$1,Suppliers!A54="",NOT(ISNUMBER(Suppliers!D54)),Suppliers!L54="Expired",Suppliers!L54="Terminate"),"",Suppliers!D54*-1*IF(Suppliers!E54="Monthly",IF(AND(ISNUMBER(Suppliers!G54),(YEAR(EDATE(DATE(YEAR(TODAY()),MONTH(TODAY()),1),16))*12+MONTH(EDATE(DATE(YEAR(TODAY()),MONTH(TODAY()),1),16)))&gt;(YEAR(Suppliers!G54)*12+MONTH(Suppliers!G54))),"",1),IF(Suppliers!E54="Quarterly",IF(MOD((YEAR(EDATE(DATE(YEAR(TODAY()),MONTH(TODAY()),1),16))-YEAR(IF(ISNUMBER(Suppliers!F54),Suppliers!F54,DATE(YEAR(TODAY()),MONTH(TODAY()),1))))*12+MONTH(EDATE(DATE(YEAR(TODAY()),MONTH(TODAY()),1),16))-MONTH(IF(ISNUMBER(Suppliers!F54),Suppliers!F54,DATE(YEAR(TODAY()),MONTH(TODAY()),1))),3)=0,1,0),IF(Suppliers!E54="Semi-annual",IF(MOD((YEAR(EDATE(DATE(YEAR(TODAY()),MONTH(TODAY()),1),16))-YEAR(IF(ISNUMBER(Suppliers!F54),Suppliers!F54,DATE(YEAR(TODAY()),MONTH(TODAY()),1))))*12+MONTH(EDATE(DATE(YEAR(TODAY()),MONTH(TODAY()),1),16))-MONTH(IF(ISNUMBER(Suppliers!F54),Suppliers!F54,DATE(YEAR(TODAY()),MONTH(TODAY()),1))),6)=0,1,0),IF(Suppliers!E54="Annual",IF(MOD((YEAR(EDATE(DATE(YEAR(TODAY()),MONTH(TODAY()),1),16))-YEAR(IF(ISNUMBER(Suppliers!F54),Suppliers!F54,DATE(YEAR(TODAY()),MONTH(TODAY()),1))))*12+MONTH(EDATE(DATE(YEAR(TODAY()),MONTH(TODAY()),1),16))-MONTH(IF(ISNUMBER(Suppliers!F54),Suppliers!F54,DATE(YEAR(TODAY()),MONTH(TODAY()),1))),12)=0,1,0),IF(Suppliers!E54="One-time",IF(16=0,1,0),1)))))),"")</f>
        <v/>
      </c>
      <c r="W56" s="10" t="str">
        <f ca="1">IFERROR(IF(OR(17&gt;=$B$1,Suppliers!A54="",NOT(ISNUMBER(Suppliers!D54)),Suppliers!L54="Expired",Suppliers!L54="Terminate"),"",Suppliers!D54*-1*IF(Suppliers!E54="Monthly",IF(AND(ISNUMBER(Suppliers!G54),(YEAR(EDATE(DATE(YEAR(TODAY()),MONTH(TODAY()),1),17))*12+MONTH(EDATE(DATE(YEAR(TODAY()),MONTH(TODAY()),1),17)))&gt;(YEAR(Suppliers!G54)*12+MONTH(Suppliers!G54))),"",1),IF(Suppliers!E54="Quarterly",IF(MOD((YEAR(EDATE(DATE(YEAR(TODAY()),MONTH(TODAY()),1),17))-YEAR(IF(ISNUMBER(Suppliers!F54),Suppliers!F54,DATE(YEAR(TODAY()),MONTH(TODAY()),1))))*12+MONTH(EDATE(DATE(YEAR(TODAY()),MONTH(TODAY()),1),17))-MONTH(IF(ISNUMBER(Suppliers!F54),Suppliers!F54,DATE(YEAR(TODAY()),MONTH(TODAY()),1))),3)=0,1,0),IF(Suppliers!E54="Semi-annual",IF(MOD((YEAR(EDATE(DATE(YEAR(TODAY()),MONTH(TODAY()),1),17))-YEAR(IF(ISNUMBER(Suppliers!F54),Suppliers!F54,DATE(YEAR(TODAY()),MONTH(TODAY()),1))))*12+MONTH(EDATE(DATE(YEAR(TODAY()),MONTH(TODAY()),1),17))-MONTH(IF(ISNUMBER(Suppliers!F54),Suppliers!F54,DATE(YEAR(TODAY()),MONTH(TODAY()),1))),6)=0,1,0),IF(Suppliers!E54="Annual",IF(MOD((YEAR(EDATE(DATE(YEAR(TODAY()),MONTH(TODAY()),1),17))-YEAR(IF(ISNUMBER(Suppliers!F54),Suppliers!F54,DATE(YEAR(TODAY()),MONTH(TODAY()),1))))*12+MONTH(EDATE(DATE(YEAR(TODAY()),MONTH(TODAY()),1),17))-MONTH(IF(ISNUMBER(Suppliers!F54),Suppliers!F54,DATE(YEAR(TODAY()),MONTH(TODAY()),1))),12)=0,1,0),IF(Suppliers!E54="One-time",IF(17=0,1,0),1)))))),"")</f>
        <v/>
      </c>
      <c r="X56" s="10" t="str">
        <f ca="1">IFERROR(IF(OR(18&gt;=$B$1,Suppliers!A54="",NOT(ISNUMBER(Suppliers!D54)),Suppliers!L54="Expired",Suppliers!L54="Terminate"),"",Suppliers!D54*-1*IF(Suppliers!E54="Monthly",IF(AND(ISNUMBER(Suppliers!G54),(YEAR(EDATE(DATE(YEAR(TODAY()),MONTH(TODAY()),1),18))*12+MONTH(EDATE(DATE(YEAR(TODAY()),MONTH(TODAY()),1),18)))&gt;(YEAR(Suppliers!G54)*12+MONTH(Suppliers!G54))),"",1),IF(Suppliers!E54="Quarterly",IF(MOD((YEAR(EDATE(DATE(YEAR(TODAY()),MONTH(TODAY()),1),18))-YEAR(IF(ISNUMBER(Suppliers!F54),Suppliers!F54,DATE(YEAR(TODAY()),MONTH(TODAY()),1))))*12+MONTH(EDATE(DATE(YEAR(TODAY()),MONTH(TODAY()),1),18))-MONTH(IF(ISNUMBER(Suppliers!F54),Suppliers!F54,DATE(YEAR(TODAY()),MONTH(TODAY()),1))),3)=0,1,0),IF(Suppliers!E54="Semi-annual",IF(MOD((YEAR(EDATE(DATE(YEAR(TODAY()),MONTH(TODAY()),1),18))-YEAR(IF(ISNUMBER(Suppliers!F54),Suppliers!F54,DATE(YEAR(TODAY()),MONTH(TODAY()),1))))*12+MONTH(EDATE(DATE(YEAR(TODAY()),MONTH(TODAY()),1),18))-MONTH(IF(ISNUMBER(Suppliers!F54),Suppliers!F54,DATE(YEAR(TODAY()),MONTH(TODAY()),1))),6)=0,1,0),IF(Suppliers!E54="Annual",IF(MOD((YEAR(EDATE(DATE(YEAR(TODAY()),MONTH(TODAY()),1),18))-YEAR(IF(ISNUMBER(Suppliers!F54),Suppliers!F54,DATE(YEAR(TODAY()),MONTH(TODAY()),1))))*12+MONTH(EDATE(DATE(YEAR(TODAY()),MONTH(TODAY()),1),18))-MONTH(IF(ISNUMBER(Suppliers!F54),Suppliers!F54,DATE(YEAR(TODAY()),MONTH(TODAY()),1))),12)=0,1,0),IF(Suppliers!E54="One-time",IF(18=0,1,0),1)))))),"")</f>
        <v/>
      </c>
      <c r="Y56" s="10" t="str">
        <f ca="1">IFERROR(IF(OR(19&gt;=$B$1,Suppliers!A54="",NOT(ISNUMBER(Suppliers!D54)),Suppliers!L54="Expired",Suppliers!L54="Terminate"),"",Suppliers!D54*-1*IF(Suppliers!E54="Monthly",IF(AND(ISNUMBER(Suppliers!G54),(YEAR(EDATE(DATE(YEAR(TODAY()),MONTH(TODAY()),1),19))*12+MONTH(EDATE(DATE(YEAR(TODAY()),MONTH(TODAY()),1),19)))&gt;(YEAR(Suppliers!G54)*12+MONTH(Suppliers!G54))),"",1),IF(Suppliers!E54="Quarterly",IF(MOD((YEAR(EDATE(DATE(YEAR(TODAY()),MONTH(TODAY()),1),19))-YEAR(IF(ISNUMBER(Suppliers!F54),Suppliers!F54,DATE(YEAR(TODAY()),MONTH(TODAY()),1))))*12+MONTH(EDATE(DATE(YEAR(TODAY()),MONTH(TODAY()),1),19))-MONTH(IF(ISNUMBER(Suppliers!F54),Suppliers!F54,DATE(YEAR(TODAY()),MONTH(TODAY()),1))),3)=0,1,0),IF(Suppliers!E54="Semi-annual",IF(MOD((YEAR(EDATE(DATE(YEAR(TODAY()),MONTH(TODAY()),1),19))-YEAR(IF(ISNUMBER(Suppliers!F54),Suppliers!F54,DATE(YEAR(TODAY()),MONTH(TODAY()),1))))*12+MONTH(EDATE(DATE(YEAR(TODAY()),MONTH(TODAY()),1),19))-MONTH(IF(ISNUMBER(Suppliers!F54),Suppliers!F54,DATE(YEAR(TODAY()),MONTH(TODAY()),1))),6)=0,1,0),IF(Suppliers!E54="Annual",IF(MOD((YEAR(EDATE(DATE(YEAR(TODAY()),MONTH(TODAY()),1),19))-YEAR(IF(ISNUMBER(Suppliers!F54),Suppliers!F54,DATE(YEAR(TODAY()),MONTH(TODAY()),1))))*12+MONTH(EDATE(DATE(YEAR(TODAY()),MONTH(TODAY()),1),19))-MONTH(IF(ISNUMBER(Suppliers!F54),Suppliers!F54,DATE(YEAR(TODAY()),MONTH(TODAY()),1))),12)=0,1,0),IF(Suppliers!E54="One-time",IF(19=0,1,0),1)))))),"")</f>
        <v/>
      </c>
      <c r="Z56" s="10" t="str">
        <f ca="1">IFERROR(IF(OR(20&gt;=$B$1,Suppliers!A54="",NOT(ISNUMBER(Suppliers!D54)),Suppliers!L54="Expired",Suppliers!L54="Terminate"),"",Suppliers!D54*-1*IF(Suppliers!E54="Monthly",IF(AND(ISNUMBER(Suppliers!G54),(YEAR(EDATE(DATE(YEAR(TODAY()),MONTH(TODAY()),1),20))*12+MONTH(EDATE(DATE(YEAR(TODAY()),MONTH(TODAY()),1),20)))&gt;(YEAR(Suppliers!G54)*12+MONTH(Suppliers!G54))),"",1),IF(Suppliers!E54="Quarterly",IF(MOD((YEAR(EDATE(DATE(YEAR(TODAY()),MONTH(TODAY()),1),20))-YEAR(IF(ISNUMBER(Suppliers!F54),Suppliers!F54,DATE(YEAR(TODAY()),MONTH(TODAY()),1))))*12+MONTH(EDATE(DATE(YEAR(TODAY()),MONTH(TODAY()),1),20))-MONTH(IF(ISNUMBER(Suppliers!F54),Suppliers!F54,DATE(YEAR(TODAY()),MONTH(TODAY()),1))),3)=0,1,0),IF(Suppliers!E54="Semi-annual",IF(MOD((YEAR(EDATE(DATE(YEAR(TODAY()),MONTH(TODAY()),1),20))-YEAR(IF(ISNUMBER(Suppliers!F54),Suppliers!F54,DATE(YEAR(TODAY()),MONTH(TODAY()),1))))*12+MONTH(EDATE(DATE(YEAR(TODAY()),MONTH(TODAY()),1),20))-MONTH(IF(ISNUMBER(Suppliers!F54),Suppliers!F54,DATE(YEAR(TODAY()),MONTH(TODAY()),1))),6)=0,1,0),IF(Suppliers!E54="Annual",IF(MOD((YEAR(EDATE(DATE(YEAR(TODAY()),MONTH(TODAY()),1),20))-YEAR(IF(ISNUMBER(Suppliers!F54),Suppliers!F54,DATE(YEAR(TODAY()),MONTH(TODAY()),1))))*12+MONTH(EDATE(DATE(YEAR(TODAY()),MONTH(TODAY()),1),20))-MONTH(IF(ISNUMBER(Suppliers!F54),Suppliers!F54,DATE(YEAR(TODAY()),MONTH(TODAY()),1))),12)=0,1,0),IF(Suppliers!E54="One-time",IF(20=0,1,0),1)))))),"")</f>
        <v/>
      </c>
      <c r="AA56" s="10" t="str">
        <f ca="1">IFERROR(IF(OR(21&gt;=$B$1,Suppliers!A54="",NOT(ISNUMBER(Suppliers!D54)),Suppliers!L54="Expired",Suppliers!L54="Terminate"),"",Suppliers!D54*-1*IF(Suppliers!E54="Monthly",IF(AND(ISNUMBER(Suppliers!G54),(YEAR(EDATE(DATE(YEAR(TODAY()),MONTH(TODAY()),1),21))*12+MONTH(EDATE(DATE(YEAR(TODAY()),MONTH(TODAY()),1),21)))&gt;(YEAR(Suppliers!G54)*12+MONTH(Suppliers!G54))),"",1),IF(Suppliers!E54="Quarterly",IF(MOD((YEAR(EDATE(DATE(YEAR(TODAY()),MONTH(TODAY()),1),21))-YEAR(IF(ISNUMBER(Suppliers!F54),Suppliers!F54,DATE(YEAR(TODAY()),MONTH(TODAY()),1))))*12+MONTH(EDATE(DATE(YEAR(TODAY()),MONTH(TODAY()),1),21))-MONTH(IF(ISNUMBER(Suppliers!F54),Suppliers!F54,DATE(YEAR(TODAY()),MONTH(TODAY()),1))),3)=0,1,0),IF(Suppliers!E54="Semi-annual",IF(MOD((YEAR(EDATE(DATE(YEAR(TODAY()),MONTH(TODAY()),1),21))-YEAR(IF(ISNUMBER(Suppliers!F54),Suppliers!F54,DATE(YEAR(TODAY()),MONTH(TODAY()),1))))*12+MONTH(EDATE(DATE(YEAR(TODAY()),MONTH(TODAY()),1),21))-MONTH(IF(ISNUMBER(Suppliers!F54),Suppliers!F54,DATE(YEAR(TODAY()),MONTH(TODAY()),1))),6)=0,1,0),IF(Suppliers!E54="Annual",IF(MOD((YEAR(EDATE(DATE(YEAR(TODAY()),MONTH(TODAY()),1),21))-YEAR(IF(ISNUMBER(Suppliers!F54),Suppliers!F54,DATE(YEAR(TODAY()),MONTH(TODAY()),1))))*12+MONTH(EDATE(DATE(YEAR(TODAY()),MONTH(TODAY()),1),21))-MONTH(IF(ISNUMBER(Suppliers!F54),Suppliers!F54,DATE(YEAR(TODAY()),MONTH(TODAY()),1))),12)=0,1,0),IF(Suppliers!E54="One-time",IF(21=0,1,0),1)))))),"")</f>
        <v/>
      </c>
      <c r="AB56" s="10" t="str">
        <f ca="1">IFERROR(IF(OR(22&gt;=$B$1,Suppliers!A54="",NOT(ISNUMBER(Suppliers!D54)),Suppliers!L54="Expired",Suppliers!L54="Terminate"),"",Suppliers!D54*-1*IF(Suppliers!E54="Monthly",IF(AND(ISNUMBER(Suppliers!G54),(YEAR(EDATE(DATE(YEAR(TODAY()),MONTH(TODAY()),1),22))*12+MONTH(EDATE(DATE(YEAR(TODAY()),MONTH(TODAY()),1),22)))&gt;(YEAR(Suppliers!G54)*12+MONTH(Suppliers!G54))),"",1),IF(Suppliers!E54="Quarterly",IF(MOD((YEAR(EDATE(DATE(YEAR(TODAY()),MONTH(TODAY()),1),22))-YEAR(IF(ISNUMBER(Suppliers!F54),Suppliers!F54,DATE(YEAR(TODAY()),MONTH(TODAY()),1))))*12+MONTH(EDATE(DATE(YEAR(TODAY()),MONTH(TODAY()),1),22))-MONTH(IF(ISNUMBER(Suppliers!F54),Suppliers!F54,DATE(YEAR(TODAY()),MONTH(TODAY()),1))),3)=0,1,0),IF(Suppliers!E54="Semi-annual",IF(MOD((YEAR(EDATE(DATE(YEAR(TODAY()),MONTH(TODAY()),1),22))-YEAR(IF(ISNUMBER(Suppliers!F54),Suppliers!F54,DATE(YEAR(TODAY()),MONTH(TODAY()),1))))*12+MONTH(EDATE(DATE(YEAR(TODAY()),MONTH(TODAY()),1),22))-MONTH(IF(ISNUMBER(Suppliers!F54),Suppliers!F54,DATE(YEAR(TODAY()),MONTH(TODAY()),1))),6)=0,1,0),IF(Suppliers!E54="Annual",IF(MOD((YEAR(EDATE(DATE(YEAR(TODAY()),MONTH(TODAY()),1),22))-YEAR(IF(ISNUMBER(Suppliers!F54),Suppliers!F54,DATE(YEAR(TODAY()),MONTH(TODAY()),1))))*12+MONTH(EDATE(DATE(YEAR(TODAY()),MONTH(TODAY()),1),22))-MONTH(IF(ISNUMBER(Suppliers!F54),Suppliers!F54,DATE(YEAR(TODAY()),MONTH(TODAY()),1))),12)=0,1,0),IF(Suppliers!E54="One-time",IF(22=0,1,0),1)))))),"")</f>
        <v/>
      </c>
      <c r="AC56" s="10" t="str">
        <f ca="1">IFERROR(IF(OR(23&gt;=$B$1,Suppliers!A54="",NOT(ISNUMBER(Suppliers!D54)),Suppliers!L54="Expired",Suppliers!L54="Terminate"),"",Suppliers!D54*-1*IF(Suppliers!E54="Monthly",IF(AND(ISNUMBER(Suppliers!G54),(YEAR(EDATE(DATE(YEAR(TODAY()),MONTH(TODAY()),1),23))*12+MONTH(EDATE(DATE(YEAR(TODAY()),MONTH(TODAY()),1),23)))&gt;(YEAR(Suppliers!G54)*12+MONTH(Suppliers!G54))),"",1),IF(Suppliers!E54="Quarterly",IF(MOD((YEAR(EDATE(DATE(YEAR(TODAY()),MONTH(TODAY()),1),23))-YEAR(IF(ISNUMBER(Suppliers!F54),Suppliers!F54,DATE(YEAR(TODAY()),MONTH(TODAY()),1))))*12+MONTH(EDATE(DATE(YEAR(TODAY()),MONTH(TODAY()),1),23))-MONTH(IF(ISNUMBER(Suppliers!F54),Suppliers!F54,DATE(YEAR(TODAY()),MONTH(TODAY()),1))),3)=0,1,0),IF(Suppliers!E54="Semi-annual",IF(MOD((YEAR(EDATE(DATE(YEAR(TODAY()),MONTH(TODAY()),1),23))-YEAR(IF(ISNUMBER(Suppliers!F54),Suppliers!F54,DATE(YEAR(TODAY()),MONTH(TODAY()),1))))*12+MONTH(EDATE(DATE(YEAR(TODAY()),MONTH(TODAY()),1),23))-MONTH(IF(ISNUMBER(Suppliers!F54),Suppliers!F54,DATE(YEAR(TODAY()),MONTH(TODAY()),1))),6)=0,1,0),IF(Suppliers!E54="Annual",IF(MOD((YEAR(EDATE(DATE(YEAR(TODAY()),MONTH(TODAY()),1),23))-YEAR(IF(ISNUMBER(Suppliers!F54),Suppliers!F54,DATE(YEAR(TODAY()),MONTH(TODAY()),1))))*12+MONTH(EDATE(DATE(YEAR(TODAY()),MONTH(TODAY()),1),23))-MONTH(IF(ISNUMBER(Suppliers!F54),Suppliers!F54,DATE(YEAR(TODAY()),MONTH(TODAY()),1))),12)=0,1,0),IF(Suppliers!E54="One-time",IF(23=0,1,0),1)))))),"")</f>
        <v/>
      </c>
    </row>
    <row r="57" spans="1:30" ht="15" customHeight="1" x14ac:dyDescent="0.35">
      <c r="A57" s="4" t="s">
        <v>80</v>
      </c>
      <c r="B57" s="4" t="str">
        <f>IF(Suppliers!A55="","",Suppliers!A55)</f>
        <v/>
      </c>
      <c r="C57" s="10" t="str">
        <f>IF(Suppliers!C55="","",Suppliers!C55)</f>
        <v/>
      </c>
      <c r="D57" s="10" t="str">
        <f>IF(Suppliers!D55="","",Suppliers!D55)</f>
        <v/>
      </c>
      <c r="E57" s="4" t="str">
        <f>IF(Suppliers!E55="","",Suppliers!E55)</f>
        <v/>
      </c>
      <c r="F57" s="10" t="str">
        <f ca="1">IFERROR(IF(OR(0&gt;=$B$1,Suppliers!A55="",NOT(ISNUMBER(Suppliers!D55)),Suppliers!L55="Expired",Suppliers!L55="Terminate"),"",Suppliers!D55*-1*IF(Suppliers!E55="Monthly",IF(AND(ISNUMBER(Suppliers!G55),(YEAR(EDATE(DATE(YEAR(TODAY()),MONTH(TODAY()),1),0))*12+MONTH(EDATE(DATE(YEAR(TODAY()),MONTH(TODAY()),1),0)))&gt;(YEAR(Suppliers!G55)*12+MONTH(Suppliers!G55))),"",1),IF(Suppliers!E55="Quarterly",IF(MOD((YEAR(EDATE(DATE(YEAR(TODAY()),MONTH(TODAY()),1),0))-YEAR(IF(ISNUMBER(Suppliers!F55),Suppliers!F55,DATE(YEAR(TODAY()),MONTH(TODAY()),1))))*12+MONTH(EDATE(DATE(YEAR(TODAY()),MONTH(TODAY()),1),0))-MONTH(IF(ISNUMBER(Suppliers!F55),Suppliers!F55,DATE(YEAR(TODAY()),MONTH(TODAY()),1))),3)=0,1,0),IF(Suppliers!E55="Semi-annual",IF(MOD((YEAR(EDATE(DATE(YEAR(TODAY()),MONTH(TODAY()),1),0))-YEAR(IF(ISNUMBER(Suppliers!F55),Suppliers!F55,DATE(YEAR(TODAY()),MONTH(TODAY()),1))))*12+MONTH(EDATE(DATE(YEAR(TODAY()),MONTH(TODAY()),1),0))-MONTH(IF(ISNUMBER(Suppliers!F55),Suppliers!F55,DATE(YEAR(TODAY()),MONTH(TODAY()),1))),6)=0,1,0),IF(Suppliers!E55="Annual",IF(MOD((YEAR(EDATE(DATE(YEAR(TODAY()),MONTH(TODAY()),1),0))-YEAR(IF(ISNUMBER(Suppliers!F55),Suppliers!F55,DATE(YEAR(TODAY()),MONTH(TODAY()),1))))*12+MONTH(EDATE(DATE(YEAR(TODAY()),MONTH(TODAY()),1),0))-MONTH(IF(ISNUMBER(Suppliers!F55),Suppliers!F55,DATE(YEAR(TODAY()),MONTH(TODAY()),1))),12)=0,1,0),IF(Suppliers!E55="One-time",IF(0=0,1,0),1)))))),"")</f>
        <v/>
      </c>
      <c r="G57" s="10" t="str">
        <f ca="1">IFERROR(IF(OR(1&gt;=$B$1,Suppliers!A55="",NOT(ISNUMBER(Suppliers!D55)),Suppliers!L55="Expired",Suppliers!L55="Terminate"),"",Suppliers!D55*-1*IF(Suppliers!E55="Monthly",IF(AND(ISNUMBER(Suppliers!G55),(YEAR(EDATE(DATE(YEAR(TODAY()),MONTH(TODAY()),1),1))*12+MONTH(EDATE(DATE(YEAR(TODAY()),MONTH(TODAY()),1),1)))&gt;(YEAR(Suppliers!G55)*12+MONTH(Suppliers!G55))),"",1),IF(Suppliers!E55="Quarterly",IF(MOD((YEAR(EDATE(DATE(YEAR(TODAY()),MONTH(TODAY()),1),1))-YEAR(IF(ISNUMBER(Suppliers!F55),Suppliers!F55,DATE(YEAR(TODAY()),MONTH(TODAY()),1))))*12+MONTH(EDATE(DATE(YEAR(TODAY()),MONTH(TODAY()),1),1))-MONTH(IF(ISNUMBER(Suppliers!F55),Suppliers!F55,DATE(YEAR(TODAY()),MONTH(TODAY()),1))),3)=0,1,0),IF(Suppliers!E55="Semi-annual",IF(MOD((YEAR(EDATE(DATE(YEAR(TODAY()),MONTH(TODAY()),1),1))-YEAR(IF(ISNUMBER(Suppliers!F55),Suppliers!F55,DATE(YEAR(TODAY()),MONTH(TODAY()),1))))*12+MONTH(EDATE(DATE(YEAR(TODAY()),MONTH(TODAY()),1),1))-MONTH(IF(ISNUMBER(Suppliers!F55),Suppliers!F55,DATE(YEAR(TODAY()),MONTH(TODAY()),1))),6)=0,1,0),IF(Suppliers!E55="Annual",IF(MOD((YEAR(EDATE(DATE(YEAR(TODAY()),MONTH(TODAY()),1),1))-YEAR(IF(ISNUMBER(Suppliers!F55),Suppliers!F55,DATE(YEAR(TODAY()),MONTH(TODAY()),1))))*12+MONTH(EDATE(DATE(YEAR(TODAY()),MONTH(TODAY()),1),1))-MONTH(IF(ISNUMBER(Suppliers!F55),Suppliers!F55,DATE(YEAR(TODAY()),MONTH(TODAY()),1))),12)=0,1,0),IF(Suppliers!E55="One-time",IF(1=0,1,0),1)))))),"")</f>
        <v/>
      </c>
      <c r="H57" s="10" t="str">
        <f ca="1">IFERROR(IF(OR(2&gt;=$B$1,Suppliers!A55="",NOT(ISNUMBER(Suppliers!D55)),Suppliers!L55="Expired",Suppliers!L55="Terminate"),"",Suppliers!D55*-1*IF(Suppliers!E55="Monthly",IF(AND(ISNUMBER(Suppliers!G55),(YEAR(EDATE(DATE(YEAR(TODAY()),MONTH(TODAY()),1),2))*12+MONTH(EDATE(DATE(YEAR(TODAY()),MONTH(TODAY()),1),2)))&gt;(YEAR(Suppliers!G55)*12+MONTH(Suppliers!G55))),"",1),IF(Suppliers!E55="Quarterly",IF(MOD((YEAR(EDATE(DATE(YEAR(TODAY()),MONTH(TODAY()),1),2))-YEAR(IF(ISNUMBER(Suppliers!F55),Suppliers!F55,DATE(YEAR(TODAY()),MONTH(TODAY()),1))))*12+MONTH(EDATE(DATE(YEAR(TODAY()),MONTH(TODAY()),1),2))-MONTH(IF(ISNUMBER(Suppliers!F55),Suppliers!F55,DATE(YEAR(TODAY()),MONTH(TODAY()),1))),3)=0,1,0),IF(Suppliers!E55="Semi-annual",IF(MOD((YEAR(EDATE(DATE(YEAR(TODAY()),MONTH(TODAY()),1),2))-YEAR(IF(ISNUMBER(Suppliers!F55),Suppliers!F55,DATE(YEAR(TODAY()),MONTH(TODAY()),1))))*12+MONTH(EDATE(DATE(YEAR(TODAY()),MONTH(TODAY()),1),2))-MONTH(IF(ISNUMBER(Suppliers!F55),Suppliers!F55,DATE(YEAR(TODAY()),MONTH(TODAY()),1))),6)=0,1,0),IF(Suppliers!E55="Annual",IF(MOD((YEAR(EDATE(DATE(YEAR(TODAY()),MONTH(TODAY()),1),2))-YEAR(IF(ISNUMBER(Suppliers!F55),Suppliers!F55,DATE(YEAR(TODAY()),MONTH(TODAY()),1))))*12+MONTH(EDATE(DATE(YEAR(TODAY()),MONTH(TODAY()),1),2))-MONTH(IF(ISNUMBER(Suppliers!F55),Suppliers!F55,DATE(YEAR(TODAY()),MONTH(TODAY()),1))),12)=0,1,0),IF(Suppliers!E55="One-time",IF(2=0,1,0),1)))))),"")</f>
        <v/>
      </c>
      <c r="I57" s="10" t="str">
        <f ca="1">IFERROR(IF(OR(3&gt;=$B$1,Suppliers!A55="",NOT(ISNUMBER(Suppliers!D55)),Suppliers!L55="Expired",Suppliers!L55="Terminate"),"",Suppliers!D55*-1*IF(Suppliers!E55="Monthly",IF(AND(ISNUMBER(Suppliers!G55),(YEAR(EDATE(DATE(YEAR(TODAY()),MONTH(TODAY()),1),3))*12+MONTH(EDATE(DATE(YEAR(TODAY()),MONTH(TODAY()),1),3)))&gt;(YEAR(Suppliers!G55)*12+MONTH(Suppliers!G55))),"",1),IF(Suppliers!E55="Quarterly",IF(MOD((YEAR(EDATE(DATE(YEAR(TODAY()),MONTH(TODAY()),1),3))-YEAR(IF(ISNUMBER(Suppliers!F55),Suppliers!F55,DATE(YEAR(TODAY()),MONTH(TODAY()),1))))*12+MONTH(EDATE(DATE(YEAR(TODAY()),MONTH(TODAY()),1),3))-MONTH(IF(ISNUMBER(Suppliers!F55),Suppliers!F55,DATE(YEAR(TODAY()),MONTH(TODAY()),1))),3)=0,1,0),IF(Suppliers!E55="Semi-annual",IF(MOD((YEAR(EDATE(DATE(YEAR(TODAY()),MONTH(TODAY()),1),3))-YEAR(IF(ISNUMBER(Suppliers!F55),Suppliers!F55,DATE(YEAR(TODAY()),MONTH(TODAY()),1))))*12+MONTH(EDATE(DATE(YEAR(TODAY()),MONTH(TODAY()),1),3))-MONTH(IF(ISNUMBER(Suppliers!F55),Suppliers!F55,DATE(YEAR(TODAY()),MONTH(TODAY()),1))),6)=0,1,0),IF(Suppliers!E55="Annual",IF(MOD((YEAR(EDATE(DATE(YEAR(TODAY()),MONTH(TODAY()),1),3))-YEAR(IF(ISNUMBER(Suppliers!F55),Suppliers!F55,DATE(YEAR(TODAY()),MONTH(TODAY()),1))))*12+MONTH(EDATE(DATE(YEAR(TODAY()),MONTH(TODAY()),1),3))-MONTH(IF(ISNUMBER(Suppliers!F55),Suppliers!F55,DATE(YEAR(TODAY()),MONTH(TODAY()),1))),12)=0,1,0),IF(Suppliers!E55="One-time",IF(3=0,1,0),1)))))),"")</f>
        <v/>
      </c>
      <c r="J57" s="10" t="str">
        <f ca="1">IFERROR(IF(OR(4&gt;=$B$1,Suppliers!A55="",NOT(ISNUMBER(Suppliers!D55)),Suppliers!L55="Expired",Suppliers!L55="Terminate"),"",Suppliers!D55*-1*IF(Suppliers!E55="Monthly",IF(AND(ISNUMBER(Suppliers!G55),(YEAR(EDATE(DATE(YEAR(TODAY()),MONTH(TODAY()),1),4))*12+MONTH(EDATE(DATE(YEAR(TODAY()),MONTH(TODAY()),1),4)))&gt;(YEAR(Suppliers!G55)*12+MONTH(Suppliers!G55))),"",1),IF(Suppliers!E55="Quarterly",IF(MOD((YEAR(EDATE(DATE(YEAR(TODAY()),MONTH(TODAY()),1),4))-YEAR(IF(ISNUMBER(Suppliers!F55),Suppliers!F55,DATE(YEAR(TODAY()),MONTH(TODAY()),1))))*12+MONTH(EDATE(DATE(YEAR(TODAY()),MONTH(TODAY()),1),4))-MONTH(IF(ISNUMBER(Suppliers!F55),Suppliers!F55,DATE(YEAR(TODAY()),MONTH(TODAY()),1))),3)=0,1,0),IF(Suppliers!E55="Semi-annual",IF(MOD((YEAR(EDATE(DATE(YEAR(TODAY()),MONTH(TODAY()),1),4))-YEAR(IF(ISNUMBER(Suppliers!F55),Suppliers!F55,DATE(YEAR(TODAY()),MONTH(TODAY()),1))))*12+MONTH(EDATE(DATE(YEAR(TODAY()),MONTH(TODAY()),1),4))-MONTH(IF(ISNUMBER(Suppliers!F55),Suppliers!F55,DATE(YEAR(TODAY()),MONTH(TODAY()),1))),6)=0,1,0),IF(Suppliers!E55="Annual",IF(MOD((YEAR(EDATE(DATE(YEAR(TODAY()),MONTH(TODAY()),1),4))-YEAR(IF(ISNUMBER(Suppliers!F55),Suppliers!F55,DATE(YEAR(TODAY()),MONTH(TODAY()),1))))*12+MONTH(EDATE(DATE(YEAR(TODAY()),MONTH(TODAY()),1),4))-MONTH(IF(ISNUMBER(Suppliers!F55),Suppliers!F55,DATE(YEAR(TODAY()),MONTH(TODAY()),1))),12)=0,1,0),IF(Suppliers!E55="One-time",IF(4=0,1,0),1)))))),"")</f>
        <v/>
      </c>
      <c r="K57" s="10" t="str">
        <f ca="1">IFERROR(IF(OR(5&gt;=$B$1,Suppliers!A55="",NOT(ISNUMBER(Suppliers!D55)),Suppliers!L55="Expired",Suppliers!L55="Terminate"),"",Suppliers!D55*-1*IF(Suppliers!E55="Monthly",IF(AND(ISNUMBER(Suppliers!G55),(YEAR(EDATE(DATE(YEAR(TODAY()),MONTH(TODAY()),1),5))*12+MONTH(EDATE(DATE(YEAR(TODAY()),MONTH(TODAY()),1),5)))&gt;(YEAR(Suppliers!G55)*12+MONTH(Suppliers!G55))),"",1),IF(Suppliers!E55="Quarterly",IF(MOD((YEAR(EDATE(DATE(YEAR(TODAY()),MONTH(TODAY()),1),5))-YEAR(IF(ISNUMBER(Suppliers!F55),Suppliers!F55,DATE(YEAR(TODAY()),MONTH(TODAY()),1))))*12+MONTH(EDATE(DATE(YEAR(TODAY()),MONTH(TODAY()),1),5))-MONTH(IF(ISNUMBER(Suppliers!F55),Suppliers!F55,DATE(YEAR(TODAY()),MONTH(TODAY()),1))),3)=0,1,0),IF(Suppliers!E55="Semi-annual",IF(MOD((YEAR(EDATE(DATE(YEAR(TODAY()),MONTH(TODAY()),1),5))-YEAR(IF(ISNUMBER(Suppliers!F55),Suppliers!F55,DATE(YEAR(TODAY()),MONTH(TODAY()),1))))*12+MONTH(EDATE(DATE(YEAR(TODAY()),MONTH(TODAY()),1),5))-MONTH(IF(ISNUMBER(Suppliers!F55),Suppliers!F55,DATE(YEAR(TODAY()),MONTH(TODAY()),1))),6)=0,1,0),IF(Suppliers!E55="Annual",IF(MOD((YEAR(EDATE(DATE(YEAR(TODAY()),MONTH(TODAY()),1),5))-YEAR(IF(ISNUMBER(Suppliers!F55),Suppliers!F55,DATE(YEAR(TODAY()),MONTH(TODAY()),1))))*12+MONTH(EDATE(DATE(YEAR(TODAY()),MONTH(TODAY()),1),5))-MONTH(IF(ISNUMBER(Suppliers!F55),Suppliers!F55,DATE(YEAR(TODAY()),MONTH(TODAY()),1))),12)=0,1,0),IF(Suppliers!E55="One-time",IF(5=0,1,0),1)))))),"")</f>
        <v/>
      </c>
      <c r="L57" s="10" t="str">
        <f ca="1">IFERROR(IF(OR(6&gt;=$B$1,Suppliers!A55="",NOT(ISNUMBER(Suppliers!D55)),Suppliers!L55="Expired",Suppliers!L55="Terminate"),"",Suppliers!D55*-1*IF(Suppliers!E55="Monthly",IF(AND(ISNUMBER(Suppliers!G55),(YEAR(EDATE(DATE(YEAR(TODAY()),MONTH(TODAY()),1),6))*12+MONTH(EDATE(DATE(YEAR(TODAY()),MONTH(TODAY()),1),6)))&gt;(YEAR(Suppliers!G55)*12+MONTH(Suppliers!G55))),"",1),IF(Suppliers!E55="Quarterly",IF(MOD((YEAR(EDATE(DATE(YEAR(TODAY()),MONTH(TODAY()),1),6))-YEAR(IF(ISNUMBER(Suppliers!F55),Suppliers!F55,DATE(YEAR(TODAY()),MONTH(TODAY()),1))))*12+MONTH(EDATE(DATE(YEAR(TODAY()),MONTH(TODAY()),1),6))-MONTH(IF(ISNUMBER(Suppliers!F55),Suppliers!F55,DATE(YEAR(TODAY()),MONTH(TODAY()),1))),3)=0,1,0),IF(Suppliers!E55="Semi-annual",IF(MOD((YEAR(EDATE(DATE(YEAR(TODAY()),MONTH(TODAY()),1),6))-YEAR(IF(ISNUMBER(Suppliers!F55),Suppliers!F55,DATE(YEAR(TODAY()),MONTH(TODAY()),1))))*12+MONTH(EDATE(DATE(YEAR(TODAY()),MONTH(TODAY()),1),6))-MONTH(IF(ISNUMBER(Suppliers!F55),Suppliers!F55,DATE(YEAR(TODAY()),MONTH(TODAY()),1))),6)=0,1,0),IF(Suppliers!E55="Annual",IF(MOD((YEAR(EDATE(DATE(YEAR(TODAY()),MONTH(TODAY()),1),6))-YEAR(IF(ISNUMBER(Suppliers!F55),Suppliers!F55,DATE(YEAR(TODAY()),MONTH(TODAY()),1))))*12+MONTH(EDATE(DATE(YEAR(TODAY()),MONTH(TODAY()),1),6))-MONTH(IF(ISNUMBER(Suppliers!F55),Suppliers!F55,DATE(YEAR(TODAY()),MONTH(TODAY()),1))),12)=0,1,0),IF(Suppliers!E55="One-time",IF(6=0,1,0),1)))))),"")</f>
        <v/>
      </c>
      <c r="M57" s="10" t="str">
        <f ca="1">IFERROR(IF(OR(7&gt;=$B$1,Suppliers!A55="",NOT(ISNUMBER(Suppliers!D55)),Suppliers!L55="Expired",Suppliers!L55="Terminate"),"",Suppliers!D55*-1*IF(Suppliers!E55="Monthly",IF(AND(ISNUMBER(Suppliers!G55),(YEAR(EDATE(DATE(YEAR(TODAY()),MONTH(TODAY()),1),7))*12+MONTH(EDATE(DATE(YEAR(TODAY()),MONTH(TODAY()),1),7)))&gt;(YEAR(Suppliers!G55)*12+MONTH(Suppliers!G55))),"",1),IF(Suppliers!E55="Quarterly",IF(MOD((YEAR(EDATE(DATE(YEAR(TODAY()),MONTH(TODAY()),1),7))-YEAR(IF(ISNUMBER(Suppliers!F55),Suppliers!F55,DATE(YEAR(TODAY()),MONTH(TODAY()),1))))*12+MONTH(EDATE(DATE(YEAR(TODAY()),MONTH(TODAY()),1),7))-MONTH(IF(ISNUMBER(Suppliers!F55),Suppliers!F55,DATE(YEAR(TODAY()),MONTH(TODAY()),1))),3)=0,1,0),IF(Suppliers!E55="Semi-annual",IF(MOD((YEAR(EDATE(DATE(YEAR(TODAY()),MONTH(TODAY()),1),7))-YEAR(IF(ISNUMBER(Suppliers!F55),Suppliers!F55,DATE(YEAR(TODAY()),MONTH(TODAY()),1))))*12+MONTH(EDATE(DATE(YEAR(TODAY()),MONTH(TODAY()),1),7))-MONTH(IF(ISNUMBER(Suppliers!F55),Suppliers!F55,DATE(YEAR(TODAY()),MONTH(TODAY()),1))),6)=0,1,0),IF(Suppliers!E55="Annual",IF(MOD((YEAR(EDATE(DATE(YEAR(TODAY()),MONTH(TODAY()),1),7))-YEAR(IF(ISNUMBER(Suppliers!F55),Suppliers!F55,DATE(YEAR(TODAY()),MONTH(TODAY()),1))))*12+MONTH(EDATE(DATE(YEAR(TODAY()),MONTH(TODAY()),1),7))-MONTH(IF(ISNUMBER(Suppliers!F55),Suppliers!F55,DATE(YEAR(TODAY()),MONTH(TODAY()),1))),12)=0,1,0),IF(Suppliers!E55="One-time",IF(7=0,1,0),1)))))),"")</f>
        <v/>
      </c>
      <c r="N57" s="10" t="str">
        <f ca="1">IFERROR(IF(OR(8&gt;=$B$1,Suppliers!A55="",NOT(ISNUMBER(Suppliers!D55)),Suppliers!L55="Expired",Suppliers!L55="Terminate"),"",Suppliers!D55*-1*IF(Suppliers!E55="Monthly",IF(AND(ISNUMBER(Suppliers!G55),(YEAR(EDATE(DATE(YEAR(TODAY()),MONTH(TODAY()),1),8))*12+MONTH(EDATE(DATE(YEAR(TODAY()),MONTH(TODAY()),1),8)))&gt;(YEAR(Suppliers!G55)*12+MONTH(Suppliers!G55))),"",1),IF(Suppliers!E55="Quarterly",IF(MOD((YEAR(EDATE(DATE(YEAR(TODAY()),MONTH(TODAY()),1),8))-YEAR(IF(ISNUMBER(Suppliers!F55),Suppliers!F55,DATE(YEAR(TODAY()),MONTH(TODAY()),1))))*12+MONTH(EDATE(DATE(YEAR(TODAY()),MONTH(TODAY()),1),8))-MONTH(IF(ISNUMBER(Suppliers!F55),Suppliers!F55,DATE(YEAR(TODAY()),MONTH(TODAY()),1))),3)=0,1,0),IF(Suppliers!E55="Semi-annual",IF(MOD((YEAR(EDATE(DATE(YEAR(TODAY()),MONTH(TODAY()),1),8))-YEAR(IF(ISNUMBER(Suppliers!F55),Suppliers!F55,DATE(YEAR(TODAY()),MONTH(TODAY()),1))))*12+MONTH(EDATE(DATE(YEAR(TODAY()),MONTH(TODAY()),1),8))-MONTH(IF(ISNUMBER(Suppliers!F55),Suppliers!F55,DATE(YEAR(TODAY()),MONTH(TODAY()),1))),6)=0,1,0),IF(Suppliers!E55="Annual",IF(MOD((YEAR(EDATE(DATE(YEAR(TODAY()),MONTH(TODAY()),1),8))-YEAR(IF(ISNUMBER(Suppliers!F55),Suppliers!F55,DATE(YEAR(TODAY()),MONTH(TODAY()),1))))*12+MONTH(EDATE(DATE(YEAR(TODAY()),MONTH(TODAY()),1),8))-MONTH(IF(ISNUMBER(Suppliers!F55),Suppliers!F55,DATE(YEAR(TODAY()),MONTH(TODAY()),1))),12)=0,1,0),IF(Suppliers!E55="One-time",IF(8=0,1,0),1)))))),"")</f>
        <v/>
      </c>
      <c r="O57" s="10" t="str">
        <f ca="1">IFERROR(IF(OR(9&gt;=$B$1,Suppliers!A55="",NOT(ISNUMBER(Suppliers!D55)),Suppliers!L55="Expired",Suppliers!L55="Terminate"),"",Suppliers!D55*-1*IF(Suppliers!E55="Monthly",IF(AND(ISNUMBER(Suppliers!G55),(YEAR(EDATE(DATE(YEAR(TODAY()),MONTH(TODAY()),1),9))*12+MONTH(EDATE(DATE(YEAR(TODAY()),MONTH(TODAY()),1),9)))&gt;(YEAR(Suppliers!G55)*12+MONTH(Suppliers!G55))),"",1),IF(Suppliers!E55="Quarterly",IF(MOD((YEAR(EDATE(DATE(YEAR(TODAY()),MONTH(TODAY()),1),9))-YEAR(IF(ISNUMBER(Suppliers!F55),Suppliers!F55,DATE(YEAR(TODAY()),MONTH(TODAY()),1))))*12+MONTH(EDATE(DATE(YEAR(TODAY()),MONTH(TODAY()),1),9))-MONTH(IF(ISNUMBER(Suppliers!F55),Suppliers!F55,DATE(YEAR(TODAY()),MONTH(TODAY()),1))),3)=0,1,0),IF(Suppliers!E55="Semi-annual",IF(MOD((YEAR(EDATE(DATE(YEAR(TODAY()),MONTH(TODAY()),1),9))-YEAR(IF(ISNUMBER(Suppliers!F55),Suppliers!F55,DATE(YEAR(TODAY()),MONTH(TODAY()),1))))*12+MONTH(EDATE(DATE(YEAR(TODAY()),MONTH(TODAY()),1),9))-MONTH(IF(ISNUMBER(Suppliers!F55),Suppliers!F55,DATE(YEAR(TODAY()),MONTH(TODAY()),1))),6)=0,1,0),IF(Suppliers!E55="Annual",IF(MOD((YEAR(EDATE(DATE(YEAR(TODAY()),MONTH(TODAY()),1),9))-YEAR(IF(ISNUMBER(Suppliers!F55),Suppliers!F55,DATE(YEAR(TODAY()),MONTH(TODAY()),1))))*12+MONTH(EDATE(DATE(YEAR(TODAY()),MONTH(TODAY()),1),9))-MONTH(IF(ISNUMBER(Suppliers!F55),Suppliers!F55,DATE(YEAR(TODAY()),MONTH(TODAY()),1))),12)=0,1,0),IF(Suppliers!E55="One-time",IF(9=0,1,0),1)))))),"")</f>
        <v/>
      </c>
      <c r="P57" s="10" t="str">
        <f ca="1">IFERROR(IF(OR(10&gt;=$B$1,Suppliers!A55="",NOT(ISNUMBER(Suppliers!D55)),Suppliers!L55="Expired",Suppliers!L55="Terminate"),"",Suppliers!D55*-1*IF(Suppliers!E55="Monthly",IF(AND(ISNUMBER(Suppliers!G55),(YEAR(EDATE(DATE(YEAR(TODAY()),MONTH(TODAY()),1),10))*12+MONTH(EDATE(DATE(YEAR(TODAY()),MONTH(TODAY()),1),10)))&gt;(YEAR(Suppliers!G55)*12+MONTH(Suppliers!G55))),"",1),IF(Suppliers!E55="Quarterly",IF(MOD((YEAR(EDATE(DATE(YEAR(TODAY()),MONTH(TODAY()),1),10))-YEAR(IF(ISNUMBER(Suppliers!F55),Suppliers!F55,DATE(YEAR(TODAY()),MONTH(TODAY()),1))))*12+MONTH(EDATE(DATE(YEAR(TODAY()),MONTH(TODAY()),1),10))-MONTH(IF(ISNUMBER(Suppliers!F55),Suppliers!F55,DATE(YEAR(TODAY()),MONTH(TODAY()),1))),3)=0,1,0),IF(Suppliers!E55="Semi-annual",IF(MOD((YEAR(EDATE(DATE(YEAR(TODAY()),MONTH(TODAY()),1),10))-YEAR(IF(ISNUMBER(Suppliers!F55),Suppliers!F55,DATE(YEAR(TODAY()),MONTH(TODAY()),1))))*12+MONTH(EDATE(DATE(YEAR(TODAY()),MONTH(TODAY()),1),10))-MONTH(IF(ISNUMBER(Suppliers!F55),Suppliers!F55,DATE(YEAR(TODAY()),MONTH(TODAY()),1))),6)=0,1,0),IF(Suppliers!E55="Annual",IF(MOD((YEAR(EDATE(DATE(YEAR(TODAY()),MONTH(TODAY()),1),10))-YEAR(IF(ISNUMBER(Suppliers!F55),Suppliers!F55,DATE(YEAR(TODAY()),MONTH(TODAY()),1))))*12+MONTH(EDATE(DATE(YEAR(TODAY()),MONTH(TODAY()),1),10))-MONTH(IF(ISNUMBER(Suppliers!F55),Suppliers!F55,DATE(YEAR(TODAY()),MONTH(TODAY()),1))),12)=0,1,0),IF(Suppliers!E55="One-time",IF(10=0,1,0),1)))))),"")</f>
        <v/>
      </c>
      <c r="Q57" s="10" t="str">
        <f ca="1">IFERROR(IF(OR(11&gt;=$B$1,Suppliers!A55="",NOT(ISNUMBER(Suppliers!D55)),Suppliers!L55="Expired",Suppliers!L55="Terminate"),"",Suppliers!D55*-1*IF(Suppliers!E55="Monthly",IF(AND(ISNUMBER(Suppliers!G55),(YEAR(EDATE(DATE(YEAR(TODAY()),MONTH(TODAY()),1),11))*12+MONTH(EDATE(DATE(YEAR(TODAY()),MONTH(TODAY()),1),11)))&gt;(YEAR(Suppliers!G55)*12+MONTH(Suppliers!G55))),"",1),IF(Suppliers!E55="Quarterly",IF(MOD((YEAR(EDATE(DATE(YEAR(TODAY()),MONTH(TODAY()),1),11))-YEAR(IF(ISNUMBER(Suppliers!F55),Suppliers!F55,DATE(YEAR(TODAY()),MONTH(TODAY()),1))))*12+MONTH(EDATE(DATE(YEAR(TODAY()),MONTH(TODAY()),1),11))-MONTH(IF(ISNUMBER(Suppliers!F55),Suppliers!F55,DATE(YEAR(TODAY()),MONTH(TODAY()),1))),3)=0,1,0),IF(Suppliers!E55="Semi-annual",IF(MOD((YEAR(EDATE(DATE(YEAR(TODAY()),MONTH(TODAY()),1),11))-YEAR(IF(ISNUMBER(Suppliers!F55),Suppliers!F55,DATE(YEAR(TODAY()),MONTH(TODAY()),1))))*12+MONTH(EDATE(DATE(YEAR(TODAY()),MONTH(TODAY()),1),11))-MONTH(IF(ISNUMBER(Suppliers!F55),Suppliers!F55,DATE(YEAR(TODAY()),MONTH(TODAY()),1))),6)=0,1,0),IF(Suppliers!E55="Annual",IF(MOD((YEAR(EDATE(DATE(YEAR(TODAY()),MONTH(TODAY()),1),11))-YEAR(IF(ISNUMBER(Suppliers!F55),Suppliers!F55,DATE(YEAR(TODAY()),MONTH(TODAY()),1))))*12+MONTH(EDATE(DATE(YEAR(TODAY()),MONTH(TODAY()),1),11))-MONTH(IF(ISNUMBER(Suppliers!F55),Suppliers!F55,DATE(YEAR(TODAY()),MONTH(TODAY()),1))),12)=0,1,0),IF(Suppliers!E55="One-time",IF(11=0,1,0),1)))))),"")</f>
        <v/>
      </c>
      <c r="R57" s="10" t="str">
        <f ca="1">IFERROR(IF(OR(12&gt;=$B$1,Suppliers!A55="",NOT(ISNUMBER(Suppliers!D55)),Suppliers!L55="Expired",Suppliers!L55="Terminate"),"",Suppliers!D55*-1*IF(Suppliers!E55="Monthly",IF(AND(ISNUMBER(Suppliers!G55),(YEAR(EDATE(DATE(YEAR(TODAY()),MONTH(TODAY()),1),12))*12+MONTH(EDATE(DATE(YEAR(TODAY()),MONTH(TODAY()),1),12)))&gt;(YEAR(Suppliers!G55)*12+MONTH(Suppliers!G55))),"",1),IF(Suppliers!E55="Quarterly",IF(MOD((YEAR(EDATE(DATE(YEAR(TODAY()),MONTH(TODAY()),1),12))-YEAR(IF(ISNUMBER(Suppliers!F55),Suppliers!F55,DATE(YEAR(TODAY()),MONTH(TODAY()),1))))*12+MONTH(EDATE(DATE(YEAR(TODAY()),MONTH(TODAY()),1),12))-MONTH(IF(ISNUMBER(Suppliers!F55),Suppliers!F55,DATE(YEAR(TODAY()),MONTH(TODAY()),1))),3)=0,1,0),IF(Suppliers!E55="Semi-annual",IF(MOD((YEAR(EDATE(DATE(YEAR(TODAY()),MONTH(TODAY()),1),12))-YEAR(IF(ISNUMBER(Suppliers!F55),Suppliers!F55,DATE(YEAR(TODAY()),MONTH(TODAY()),1))))*12+MONTH(EDATE(DATE(YEAR(TODAY()),MONTH(TODAY()),1),12))-MONTH(IF(ISNUMBER(Suppliers!F55),Suppliers!F55,DATE(YEAR(TODAY()),MONTH(TODAY()),1))),6)=0,1,0),IF(Suppliers!E55="Annual",IF(MOD((YEAR(EDATE(DATE(YEAR(TODAY()),MONTH(TODAY()),1),12))-YEAR(IF(ISNUMBER(Suppliers!F55),Suppliers!F55,DATE(YEAR(TODAY()),MONTH(TODAY()),1))))*12+MONTH(EDATE(DATE(YEAR(TODAY()),MONTH(TODAY()),1),12))-MONTH(IF(ISNUMBER(Suppliers!F55),Suppliers!F55,DATE(YEAR(TODAY()),MONTH(TODAY()),1))),12)=0,1,0),IF(Suppliers!E55="One-time",IF(12=0,1,0),1)))))),"")</f>
        <v/>
      </c>
      <c r="S57" s="10" t="str">
        <f ca="1">IFERROR(IF(OR(13&gt;=$B$1,Suppliers!A55="",NOT(ISNUMBER(Suppliers!D55)),Suppliers!L55="Expired",Suppliers!L55="Terminate"),"",Suppliers!D55*-1*IF(Suppliers!E55="Monthly",IF(AND(ISNUMBER(Suppliers!G55),(YEAR(EDATE(DATE(YEAR(TODAY()),MONTH(TODAY()),1),13))*12+MONTH(EDATE(DATE(YEAR(TODAY()),MONTH(TODAY()),1),13)))&gt;(YEAR(Suppliers!G55)*12+MONTH(Suppliers!G55))),"",1),IF(Suppliers!E55="Quarterly",IF(MOD((YEAR(EDATE(DATE(YEAR(TODAY()),MONTH(TODAY()),1),13))-YEAR(IF(ISNUMBER(Suppliers!F55),Suppliers!F55,DATE(YEAR(TODAY()),MONTH(TODAY()),1))))*12+MONTH(EDATE(DATE(YEAR(TODAY()),MONTH(TODAY()),1),13))-MONTH(IF(ISNUMBER(Suppliers!F55),Suppliers!F55,DATE(YEAR(TODAY()),MONTH(TODAY()),1))),3)=0,1,0),IF(Suppliers!E55="Semi-annual",IF(MOD((YEAR(EDATE(DATE(YEAR(TODAY()),MONTH(TODAY()),1),13))-YEAR(IF(ISNUMBER(Suppliers!F55),Suppliers!F55,DATE(YEAR(TODAY()),MONTH(TODAY()),1))))*12+MONTH(EDATE(DATE(YEAR(TODAY()),MONTH(TODAY()),1),13))-MONTH(IF(ISNUMBER(Suppliers!F55),Suppliers!F55,DATE(YEAR(TODAY()),MONTH(TODAY()),1))),6)=0,1,0),IF(Suppliers!E55="Annual",IF(MOD((YEAR(EDATE(DATE(YEAR(TODAY()),MONTH(TODAY()),1),13))-YEAR(IF(ISNUMBER(Suppliers!F55),Suppliers!F55,DATE(YEAR(TODAY()),MONTH(TODAY()),1))))*12+MONTH(EDATE(DATE(YEAR(TODAY()),MONTH(TODAY()),1),13))-MONTH(IF(ISNUMBER(Suppliers!F55),Suppliers!F55,DATE(YEAR(TODAY()),MONTH(TODAY()),1))),12)=0,1,0),IF(Suppliers!E55="One-time",IF(13=0,1,0),1)))))),"")</f>
        <v/>
      </c>
      <c r="T57" s="10" t="str">
        <f ca="1">IFERROR(IF(OR(14&gt;=$B$1,Suppliers!A55="",NOT(ISNUMBER(Suppliers!D55)),Suppliers!L55="Expired",Suppliers!L55="Terminate"),"",Suppliers!D55*-1*IF(Suppliers!E55="Monthly",IF(AND(ISNUMBER(Suppliers!G55),(YEAR(EDATE(DATE(YEAR(TODAY()),MONTH(TODAY()),1),14))*12+MONTH(EDATE(DATE(YEAR(TODAY()),MONTH(TODAY()),1),14)))&gt;(YEAR(Suppliers!G55)*12+MONTH(Suppliers!G55))),"",1),IF(Suppliers!E55="Quarterly",IF(MOD((YEAR(EDATE(DATE(YEAR(TODAY()),MONTH(TODAY()),1),14))-YEAR(IF(ISNUMBER(Suppliers!F55),Suppliers!F55,DATE(YEAR(TODAY()),MONTH(TODAY()),1))))*12+MONTH(EDATE(DATE(YEAR(TODAY()),MONTH(TODAY()),1),14))-MONTH(IF(ISNUMBER(Suppliers!F55),Suppliers!F55,DATE(YEAR(TODAY()),MONTH(TODAY()),1))),3)=0,1,0),IF(Suppliers!E55="Semi-annual",IF(MOD((YEAR(EDATE(DATE(YEAR(TODAY()),MONTH(TODAY()),1),14))-YEAR(IF(ISNUMBER(Suppliers!F55),Suppliers!F55,DATE(YEAR(TODAY()),MONTH(TODAY()),1))))*12+MONTH(EDATE(DATE(YEAR(TODAY()),MONTH(TODAY()),1),14))-MONTH(IF(ISNUMBER(Suppliers!F55),Suppliers!F55,DATE(YEAR(TODAY()),MONTH(TODAY()),1))),6)=0,1,0),IF(Suppliers!E55="Annual",IF(MOD((YEAR(EDATE(DATE(YEAR(TODAY()),MONTH(TODAY()),1),14))-YEAR(IF(ISNUMBER(Suppliers!F55),Suppliers!F55,DATE(YEAR(TODAY()),MONTH(TODAY()),1))))*12+MONTH(EDATE(DATE(YEAR(TODAY()),MONTH(TODAY()),1),14))-MONTH(IF(ISNUMBER(Suppliers!F55),Suppliers!F55,DATE(YEAR(TODAY()),MONTH(TODAY()),1))),12)=0,1,0),IF(Suppliers!E55="One-time",IF(14=0,1,0),1)))))),"")</f>
        <v/>
      </c>
      <c r="U57" s="10" t="str">
        <f ca="1">IFERROR(IF(OR(15&gt;=$B$1,Suppliers!A55="",NOT(ISNUMBER(Suppliers!D55)),Suppliers!L55="Expired",Suppliers!L55="Terminate"),"",Suppliers!D55*-1*IF(Suppliers!E55="Monthly",IF(AND(ISNUMBER(Suppliers!G55),(YEAR(EDATE(DATE(YEAR(TODAY()),MONTH(TODAY()),1),15))*12+MONTH(EDATE(DATE(YEAR(TODAY()),MONTH(TODAY()),1),15)))&gt;(YEAR(Suppliers!G55)*12+MONTH(Suppliers!G55))),"",1),IF(Suppliers!E55="Quarterly",IF(MOD((YEAR(EDATE(DATE(YEAR(TODAY()),MONTH(TODAY()),1),15))-YEAR(IF(ISNUMBER(Suppliers!F55),Suppliers!F55,DATE(YEAR(TODAY()),MONTH(TODAY()),1))))*12+MONTH(EDATE(DATE(YEAR(TODAY()),MONTH(TODAY()),1),15))-MONTH(IF(ISNUMBER(Suppliers!F55),Suppliers!F55,DATE(YEAR(TODAY()),MONTH(TODAY()),1))),3)=0,1,0),IF(Suppliers!E55="Semi-annual",IF(MOD((YEAR(EDATE(DATE(YEAR(TODAY()),MONTH(TODAY()),1),15))-YEAR(IF(ISNUMBER(Suppliers!F55),Suppliers!F55,DATE(YEAR(TODAY()),MONTH(TODAY()),1))))*12+MONTH(EDATE(DATE(YEAR(TODAY()),MONTH(TODAY()),1),15))-MONTH(IF(ISNUMBER(Suppliers!F55),Suppliers!F55,DATE(YEAR(TODAY()),MONTH(TODAY()),1))),6)=0,1,0),IF(Suppliers!E55="Annual",IF(MOD((YEAR(EDATE(DATE(YEAR(TODAY()),MONTH(TODAY()),1),15))-YEAR(IF(ISNUMBER(Suppliers!F55),Suppliers!F55,DATE(YEAR(TODAY()),MONTH(TODAY()),1))))*12+MONTH(EDATE(DATE(YEAR(TODAY()),MONTH(TODAY()),1),15))-MONTH(IF(ISNUMBER(Suppliers!F55),Suppliers!F55,DATE(YEAR(TODAY()),MONTH(TODAY()),1))),12)=0,1,0),IF(Suppliers!E55="One-time",IF(15=0,1,0),1)))))),"")</f>
        <v/>
      </c>
      <c r="V57" s="10" t="str">
        <f ca="1">IFERROR(IF(OR(16&gt;=$B$1,Suppliers!A55="",NOT(ISNUMBER(Suppliers!D55)),Suppliers!L55="Expired",Suppliers!L55="Terminate"),"",Suppliers!D55*-1*IF(Suppliers!E55="Monthly",IF(AND(ISNUMBER(Suppliers!G55),(YEAR(EDATE(DATE(YEAR(TODAY()),MONTH(TODAY()),1),16))*12+MONTH(EDATE(DATE(YEAR(TODAY()),MONTH(TODAY()),1),16)))&gt;(YEAR(Suppliers!G55)*12+MONTH(Suppliers!G55))),"",1),IF(Suppliers!E55="Quarterly",IF(MOD((YEAR(EDATE(DATE(YEAR(TODAY()),MONTH(TODAY()),1),16))-YEAR(IF(ISNUMBER(Suppliers!F55),Suppliers!F55,DATE(YEAR(TODAY()),MONTH(TODAY()),1))))*12+MONTH(EDATE(DATE(YEAR(TODAY()),MONTH(TODAY()),1),16))-MONTH(IF(ISNUMBER(Suppliers!F55),Suppliers!F55,DATE(YEAR(TODAY()),MONTH(TODAY()),1))),3)=0,1,0),IF(Suppliers!E55="Semi-annual",IF(MOD((YEAR(EDATE(DATE(YEAR(TODAY()),MONTH(TODAY()),1),16))-YEAR(IF(ISNUMBER(Suppliers!F55),Suppliers!F55,DATE(YEAR(TODAY()),MONTH(TODAY()),1))))*12+MONTH(EDATE(DATE(YEAR(TODAY()),MONTH(TODAY()),1),16))-MONTH(IF(ISNUMBER(Suppliers!F55),Suppliers!F55,DATE(YEAR(TODAY()),MONTH(TODAY()),1))),6)=0,1,0),IF(Suppliers!E55="Annual",IF(MOD((YEAR(EDATE(DATE(YEAR(TODAY()),MONTH(TODAY()),1),16))-YEAR(IF(ISNUMBER(Suppliers!F55),Suppliers!F55,DATE(YEAR(TODAY()),MONTH(TODAY()),1))))*12+MONTH(EDATE(DATE(YEAR(TODAY()),MONTH(TODAY()),1),16))-MONTH(IF(ISNUMBER(Suppliers!F55),Suppliers!F55,DATE(YEAR(TODAY()),MONTH(TODAY()),1))),12)=0,1,0),IF(Suppliers!E55="One-time",IF(16=0,1,0),1)))))),"")</f>
        <v/>
      </c>
      <c r="W57" s="10" t="str">
        <f ca="1">IFERROR(IF(OR(17&gt;=$B$1,Suppliers!A55="",NOT(ISNUMBER(Suppliers!D55)),Suppliers!L55="Expired",Suppliers!L55="Terminate"),"",Suppliers!D55*-1*IF(Suppliers!E55="Monthly",IF(AND(ISNUMBER(Suppliers!G55),(YEAR(EDATE(DATE(YEAR(TODAY()),MONTH(TODAY()),1),17))*12+MONTH(EDATE(DATE(YEAR(TODAY()),MONTH(TODAY()),1),17)))&gt;(YEAR(Suppliers!G55)*12+MONTH(Suppliers!G55))),"",1),IF(Suppliers!E55="Quarterly",IF(MOD((YEAR(EDATE(DATE(YEAR(TODAY()),MONTH(TODAY()),1),17))-YEAR(IF(ISNUMBER(Suppliers!F55),Suppliers!F55,DATE(YEAR(TODAY()),MONTH(TODAY()),1))))*12+MONTH(EDATE(DATE(YEAR(TODAY()),MONTH(TODAY()),1),17))-MONTH(IF(ISNUMBER(Suppliers!F55),Suppliers!F55,DATE(YEAR(TODAY()),MONTH(TODAY()),1))),3)=0,1,0),IF(Suppliers!E55="Semi-annual",IF(MOD((YEAR(EDATE(DATE(YEAR(TODAY()),MONTH(TODAY()),1),17))-YEAR(IF(ISNUMBER(Suppliers!F55),Suppliers!F55,DATE(YEAR(TODAY()),MONTH(TODAY()),1))))*12+MONTH(EDATE(DATE(YEAR(TODAY()),MONTH(TODAY()),1),17))-MONTH(IF(ISNUMBER(Suppliers!F55),Suppliers!F55,DATE(YEAR(TODAY()),MONTH(TODAY()),1))),6)=0,1,0),IF(Suppliers!E55="Annual",IF(MOD((YEAR(EDATE(DATE(YEAR(TODAY()),MONTH(TODAY()),1),17))-YEAR(IF(ISNUMBER(Suppliers!F55),Suppliers!F55,DATE(YEAR(TODAY()),MONTH(TODAY()),1))))*12+MONTH(EDATE(DATE(YEAR(TODAY()),MONTH(TODAY()),1),17))-MONTH(IF(ISNUMBER(Suppliers!F55),Suppliers!F55,DATE(YEAR(TODAY()),MONTH(TODAY()),1))),12)=0,1,0),IF(Suppliers!E55="One-time",IF(17=0,1,0),1)))))),"")</f>
        <v/>
      </c>
      <c r="X57" s="10" t="str">
        <f ca="1">IFERROR(IF(OR(18&gt;=$B$1,Suppliers!A55="",NOT(ISNUMBER(Suppliers!D55)),Suppliers!L55="Expired",Suppliers!L55="Terminate"),"",Suppliers!D55*-1*IF(Suppliers!E55="Monthly",IF(AND(ISNUMBER(Suppliers!G55),(YEAR(EDATE(DATE(YEAR(TODAY()),MONTH(TODAY()),1),18))*12+MONTH(EDATE(DATE(YEAR(TODAY()),MONTH(TODAY()),1),18)))&gt;(YEAR(Suppliers!G55)*12+MONTH(Suppliers!G55))),"",1),IF(Suppliers!E55="Quarterly",IF(MOD((YEAR(EDATE(DATE(YEAR(TODAY()),MONTH(TODAY()),1),18))-YEAR(IF(ISNUMBER(Suppliers!F55),Suppliers!F55,DATE(YEAR(TODAY()),MONTH(TODAY()),1))))*12+MONTH(EDATE(DATE(YEAR(TODAY()),MONTH(TODAY()),1),18))-MONTH(IF(ISNUMBER(Suppliers!F55),Suppliers!F55,DATE(YEAR(TODAY()),MONTH(TODAY()),1))),3)=0,1,0),IF(Suppliers!E55="Semi-annual",IF(MOD((YEAR(EDATE(DATE(YEAR(TODAY()),MONTH(TODAY()),1),18))-YEAR(IF(ISNUMBER(Suppliers!F55),Suppliers!F55,DATE(YEAR(TODAY()),MONTH(TODAY()),1))))*12+MONTH(EDATE(DATE(YEAR(TODAY()),MONTH(TODAY()),1),18))-MONTH(IF(ISNUMBER(Suppliers!F55),Suppliers!F55,DATE(YEAR(TODAY()),MONTH(TODAY()),1))),6)=0,1,0),IF(Suppliers!E55="Annual",IF(MOD((YEAR(EDATE(DATE(YEAR(TODAY()),MONTH(TODAY()),1),18))-YEAR(IF(ISNUMBER(Suppliers!F55),Suppliers!F55,DATE(YEAR(TODAY()),MONTH(TODAY()),1))))*12+MONTH(EDATE(DATE(YEAR(TODAY()),MONTH(TODAY()),1),18))-MONTH(IF(ISNUMBER(Suppliers!F55),Suppliers!F55,DATE(YEAR(TODAY()),MONTH(TODAY()),1))),12)=0,1,0),IF(Suppliers!E55="One-time",IF(18=0,1,0),1)))))),"")</f>
        <v/>
      </c>
      <c r="Y57" s="10" t="str">
        <f ca="1">IFERROR(IF(OR(19&gt;=$B$1,Suppliers!A55="",NOT(ISNUMBER(Suppliers!D55)),Suppliers!L55="Expired",Suppliers!L55="Terminate"),"",Suppliers!D55*-1*IF(Suppliers!E55="Monthly",IF(AND(ISNUMBER(Suppliers!G55),(YEAR(EDATE(DATE(YEAR(TODAY()),MONTH(TODAY()),1),19))*12+MONTH(EDATE(DATE(YEAR(TODAY()),MONTH(TODAY()),1),19)))&gt;(YEAR(Suppliers!G55)*12+MONTH(Suppliers!G55))),"",1),IF(Suppliers!E55="Quarterly",IF(MOD((YEAR(EDATE(DATE(YEAR(TODAY()),MONTH(TODAY()),1),19))-YEAR(IF(ISNUMBER(Suppliers!F55),Suppliers!F55,DATE(YEAR(TODAY()),MONTH(TODAY()),1))))*12+MONTH(EDATE(DATE(YEAR(TODAY()),MONTH(TODAY()),1),19))-MONTH(IF(ISNUMBER(Suppliers!F55),Suppliers!F55,DATE(YEAR(TODAY()),MONTH(TODAY()),1))),3)=0,1,0),IF(Suppliers!E55="Semi-annual",IF(MOD((YEAR(EDATE(DATE(YEAR(TODAY()),MONTH(TODAY()),1),19))-YEAR(IF(ISNUMBER(Suppliers!F55),Suppliers!F55,DATE(YEAR(TODAY()),MONTH(TODAY()),1))))*12+MONTH(EDATE(DATE(YEAR(TODAY()),MONTH(TODAY()),1),19))-MONTH(IF(ISNUMBER(Suppliers!F55),Suppliers!F55,DATE(YEAR(TODAY()),MONTH(TODAY()),1))),6)=0,1,0),IF(Suppliers!E55="Annual",IF(MOD((YEAR(EDATE(DATE(YEAR(TODAY()),MONTH(TODAY()),1),19))-YEAR(IF(ISNUMBER(Suppliers!F55),Suppliers!F55,DATE(YEAR(TODAY()),MONTH(TODAY()),1))))*12+MONTH(EDATE(DATE(YEAR(TODAY()),MONTH(TODAY()),1),19))-MONTH(IF(ISNUMBER(Suppliers!F55),Suppliers!F55,DATE(YEAR(TODAY()),MONTH(TODAY()),1))),12)=0,1,0),IF(Suppliers!E55="One-time",IF(19=0,1,0),1)))))),"")</f>
        <v/>
      </c>
      <c r="Z57" s="10" t="str">
        <f ca="1">IFERROR(IF(OR(20&gt;=$B$1,Suppliers!A55="",NOT(ISNUMBER(Suppliers!D55)),Suppliers!L55="Expired",Suppliers!L55="Terminate"),"",Suppliers!D55*-1*IF(Suppliers!E55="Monthly",IF(AND(ISNUMBER(Suppliers!G55),(YEAR(EDATE(DATE(YEAR(TODAY()),MONTH(TODAY()),1),20))*12+MONTH(EDATE(DATE(YEAR(TODAY()),MONTH(TODAY()),1),20)))&gt;(YEAR(Suppliers!G55)*12+MONTH(Suppliers!G55))),"",1),IF(Suppliers!E55="Quarterly",IF(MOD((YEAR(EDATE(DATE(YEAR(TODAY()),MONTH(TODAY()),1),20))-YEAR(IF(ISNUMBER(Suppliers!F55),Suppliers!F55,DATE(YEAR(TODAY()),MONTH(TODAY()),1))))*12+MONTH(EDATE(DATE(YEAR(TODAY()),MONTH(TODAY()),1),20))-MONTH(IF(ISNUMBER(Suppliers!F55),Suppliers!F55,DATE(YEAR(TODAY()),MONTH(TODAY()),1))),3)=0,1,0),IF(Suppliers!E55="Semi-annual",IF(MOD((YEAR(EDATE(DATE(YEAR(TODAY()),MONTH(TODAY()),1),20))-YEAR(IF(ISNUMBER(Suppliers!F55),Suppliers!F55,DATE(YEAR(TODAY()),MONTH(TODAY()),1))))*12+MONTH(EDATE(DATE(YEAR(TODAY()),MONTH(TODAY()),1),20))-MONTH(IF(ISNUMBER(Suppliers!F55),Suppliers!F55,DATE(YEAR(TODAY()),MONTH(TODAY()),1))),6)=0,1,0),IF(Suppliers!E55="Annual",IF(MOD((YEAR(EDATE(DATE(YEAR(TODAY()),MONTH(TODAY()),1),20))-YEAR(IF(ISNUMBER(Suppliers!F55),Suppliers!F55,DATE(YEAR(TODAY()),MONTH(TODAY()),1))))*12+MONTH(EDATE(DATE(YEAR(TODAY()),MONTH(TODAY()),1),20))-MONTH(IF(ISNUMBER(Suppliers!F55),Suppliers!F55,DATE(YEAR(TODAY()),MONTH(TODAY()),1))),12)=0,1,0),IF(Suppliers!E55="One-time",IF(20=0,1,0),1)))))),"")</f>
        <v/>
      </c>
      <c r="AA57" s="10" t="str">
        <f ca="1">IFERROR(IF(OR(21&gt;=$B$1,Suppliers!A55="",NOT(ISNUMBER(Suppliers!D55)),Suppliers!L55="Expired",Suppliers!L55="Terminate"),"",Suppliers!D55*-1*IF(Suppliers!E55="Monthly",IF(AND(ISNUMBER(Suppliers!G55),(YEAR(EDATE(DATE(YEAR(TODAY()),MONTH(TODAY()),1),21))*12+MONTH(EDATE(DATE(YEAR(TODAY()),MONTH(TODAY()),1),21)))&gt;(YEAR(Suppliers!G55)*12+MONTH(Suppliers!G55))),"",1),IF(Suppliers!E55="Quarterly",IF(MOD((YEAR(EDATE(DATE(YEAR(TODAY()),MONTH(TODAY()),1),21))-YEAR(IF(ISNUMBER(Suppliers!F55),Suppliers!F55,DATE(YEAR(TODAY()),MONTH(TODAY()),1))))*12+MONTH(EDATE(DATE(YEAR(TODAY()),MONTH(TODAY()),1),21))-MONTH(IF(ISNUMBER(Suppliers!F55),Suppliers!F55,DATE(YEAR(TODAY()),MONTH(TODAY()),1))),3)=0,1,0),IF(Suppliers!E55="Semi-annual",IF(MOD((YEAR(EDATE(DATE(YEAR(TODAY()),MONTH(TODAY()),1),21))-YEAR(IF(ISNUMBER(Suppliers!F55),Suppliers!F55,DATE(YEAR(TODAY()),MONTH(TODAY()),1))))*12+MONTH(EDATE(DATE(YEAR(TODAY()),MONTH(TODAY()),1),21))-MONTH(IF(ISNUMBER(Suppliers!F55),Suppliers!F55,DATE(YEAR(TODAY()),MONTH(TODAY()),1))),6)=0,1,0),IF(Suppliers!E55="Annual",IF(MOD((YEAR(EDATE(DATE(YEAR(TODAY()),MONTH(TODAY()),1),21))-YEAR(IF(ISNUMBER(Suppliers!F55),Suppliers!F55,DATE(YEAR(TODAY()),MONTH(TODAY()),1))))*12+MONTH(EDATE(DATE(YEAR(TODAY()),MONTH(TODAY()),1),21))-MONTH(IF(ISNUMBER(Suppliers!F55),Suppliers!F55,DATE(YEAR(TODAY()),MONTH(TODAY()),1))),12)=0,1,0),IF(Suppliers!E55="One-time",IF(21=0,1,0),1)))))),"")</f>
        <v/>
      </c>
      <c r="AB57" s="10" t="str">
        <f ca="1">IFERROR(IF(OR(22&gt;=$B$1,Suppliers!A55="",NOT(ISNUMBER(Suppliers!D55)),Suppliers!L55="Expired",Suppliers!L55="Terminate"),"",Suppliers!D55*-1*IF(Suppliers!E55="Monthly",IF(AND(ISNUMBER(Suppliers!G55),(YEAR(EDATE(DATE(YEAR(TODAY()),MONTH(TODAY()),1),22))*12+MONTH(EDATE(DATE(YEAR(TODAY()),MONTH(TODAY()),1),22)))&gt;(YEAR(Suppliers!G55)*12+MONTH(Suppliers!G55))),"",1),IF(Suppliers!E55="Quarterly",IF(MOD((YEAR(EDATE(DATE(YEAR(TODAY()),MONTH(TODAY()),1),22))-YEAR(IF(ISNUMBER(Suppliers!F55),Suppliers!F55,DATE(YEAR(TODAY()),MONTH(TODAY()),1))))*12+MONTH(EDATE(DATE(YEAR(TODAY()),MONTH(TODAY()),1),22))-MONTH(IF(ISNUMBER(Suppliers!F55),Suppliers!F55,DATE(YEAR(TODAY()),MONTH(TODAY()),1))),3)=0,1,0),IF(Suppliers!E55="Semi-annual",IF(MOD((YEAR(EDATE(DATE(YEAR(TODAY()),MONTH(TODAY()),1),22))-YEAR(IF(ISNUMBER(Suppliers!F55),Suppliers!F55,DATE(YEAR(TODAY()),MONTH(TODAY()),1))))*12+MONTH(EDATE(DATE(YEAR(TODAY()),MONTH(TODAY()),1),22))-MONTH(IF(ISNUMBER(Suppliers!F55),Suppliers!F55,DATE(YEAR(TODAY()),MONTH(TODAY()),1))),6)=0,1,0),IF(Suppliers!E55="Annual",IF(MOD((YEAR(EDATE(DATE(YEAR(TODAY()),MONTH(TODAY()),1),22))-YEAR(IF(ISNUMBER(Suppliers!F55),Suppliers!F55,DATE(YEAR(TODAY()),MONTH(TODAY()),1))))*12+MONTH(EDATE(DATE(YEAR(TODAY()),MONTH(TODAY()),1),22))-MONTH(IF(ISNUMBER(Suppliers!F55),Suppliers!F55,DATE(YEAR(TODAY()),MONTH(TODAY()),1))),12)=0,1,0),IF(Suppliers!E55="One-time",IF(22=0,1,0),1)))))),"")</f>
        <v/>
      </c>
      <c r="AC57" s="10" t="str">
        <f ca="1">IFERROR(IF(OR(23&gt;=$B$1,Suppliers!A55="",NOT(ISNUMBER(Suppliers!D55)),Suppliers!L55="Expired",Suppliers!L55="Terminate"),"",Suppliers!D55*-1*IF(Suppliers!E55="Monthly",IF(AND(ISNUMBER(Suppliers!G55),(YEAR(EDATE(DATE(YEAR(TODAY()),MONTH(TODAY()),1),23))*12+MONTH(EDATE(DATE(YEAR(TODAY()),MONTH(TODAY()),1),23)))&gt;(YEAR(Suppliers!G55)*12+MONTH(Suppliers!G55))),"",1),IF(Suppliers!E55="Quarterly",IF(MOD((YEAR(EDATE(DATE(YEAR(TODAY()),MONTH(TODAY()),1),23))-YEAR(IF(ISNUMBER(Suppliers!F55),Suppliers!F55,DATE(YEAR(TODAY()),MONTH(TODAY()),1))))*12+MONTH(EDATE(DATE(YEAR(TODAY()),MONTH(TODAY()),1),23))-MONTH(IF(ISNUMBER(Suppliers!F55),Suppliers!F55,DATE(YEAR(TODAY()),MONTH(TODAY()),1))),3)=0,1,0),IF(Suppliers!E55="Semi-annual",IF(MOD((YEAR(EDATE(DATE(YEAR(TODAY()),MONTH(TODAY()),1),23))-YEAR(IF(ISNUMBER(Suppliers!F55),Suppliers!F55,DATE(YEAR(TODAY()),MONTH(TODAY()),1))))*12+MONTH(EDATE(DATE(YEAR(TODAY()),MONTH(TODAY()),1),23))-MONTH(IF(ISNUMBER(Suppliers!F55),Suppliers!F55,DATE(YEAR(TODAY()),MONTH(TODAY()),1))),6)=0,1,0),IF(Suppliers!E55="Annual",IF(MOD((YEAR(EDATE(DATE(YEAR(TODAY()),MONTH(TODAY()),1),23))-YEAR(IF(ISNUMBER(Suppliers!F55),Suppliers!F55,DATE(YEAR(TODAY()),MONTH(TODAY()),1))))*12+MONTH(EDATE(DATE(YEAR(TODAY()),MONTH(TODAY()),1),23))-MONTH(IF(ISNUMBER(Suppliers!F55),Suppliers!F55,DATE(YEAR(TODAY()),MONTH(TODAY()),1))),12)=0,1,0),IF(Suppliers!E55="One-time",IF(23=0,1,0),1)))))),"")</f>
        <v/>
      </c>
    </row>
    <row r="58" spans="1:30" ht="15" customHeight="1" x14ac:dyDescent="0.35">
      <c r="A58" s="4" t="s">
        <v>80</v>
      </c>
      <c r="B58" s="4" t="str">
        <f>IF(Suppliers!A56="","",Suppliers!A56)</f>
        <v/>
      </c>
      <c r="C58" s="10" t="str">
        <f>IF(Suppliers!C56="","",Suppliers!C56)</f>
        <v/>
      </c>
      <c r="D58" s="10" t="str">
        <f>IF(Suppliers!D56="","",Suppliers!D56)</f>
        <v/>
      </c>
      <c r="E58" s="4" t="str">
        <f>IF(Suppliers!E56="","",Suppliers!E56)</f>
        <v/>
      </c>
      <c r="F58" s="10" t="str">
        <f ca="1">IFERROR(IF(OR(0&gt;=$B$1,Suppliers!A56="",NOT(ISNUMBER(Suppliers!D56)),Suppliers!L56="Expired",Suppliers!L56="Terminate"),"",Suppliers!D56*-1*IF(Suppliers!E56="Monthly",IF(AND(ISNUMBER(Suppliers!G56),(YEAR(EDATE(DATE(YEAR(TODAY()),MONTH(TODAY()),1),0))*12+MONTH(EDATE(DATE(YEAR(TODAY()),MONTH(TODAY()),1),0)))&gt;(YEAR(Suppliers!G56)*12+MONTH(Suppliers!G56))),"",1),IF(Suppliers!E56="Quarterly",IF(MOD((YEAR(EDATE(DATE(YEAR(TODAY()),MONTH(TODAY()),1),0))-YEAR(IF(ISNUMBER(Suppliers!F56),Suppliers!F56,DATE(YEAR(TODAY()),MONTH(TODAY()),1))))*12+MONTH(EDATE(DATE(YEAR(TODAY()),MONTH(TODAY()),1),0))-MONTH(IF(ISNUMBER(Suppliers!F56),Suppliers!F56,DATE(YEAR(TODAY()),MONTH(TODAY()),1))),3)=0,1,0),IF(Suppliers!E56="Semi-annual",IF(MOD((YEAR(EDATE(DATE(YEAR(TODAY()),MONTH(TODAY()),1),0))-YEAR(IF(ISNUMBER(Suppliers!F56),Suppliers!F56,DATE(YEAR(TODAY()),MONTH(TODAY()),1))))*12+MONTH(EDATE(DATE(YEAR(TODAY()),MONTH(TODAY()),1),0))-MONTH(IF(ISNUMBER(Suppliers!F56),Suppliers!F56,DATE(YEAR(TODAY()),MONTH(TODAY()),1))),6)=0,1,0),IF(Suppliers!E56="Annual",IF(MOD((YEAR(EDATE(DATE(YEAR(TODAY()),MONTH(TODAY()),1),0))-YEAR(IF(ISNUMBER(Suppliers!F56),Suppliers!F56,DATE(YEAR(TODAY()),MONTH(TODAY()),1))))*12+MONTH(EDATE(DATE(YEAR(TODAY()),MONTH(TODAY()),1),0))-MONTH(IF(ISNUMBER(Suppliers!F56),Suppliers!F56,DATE(YEAR(TODAY()),MONTH(TODAY()),1))),12)=0,1,0),IF(Suppliers!E56="One-time",IF(0=0,1,0),1)))))),"")</f>
        <v/>
      </c>
      <c r="G58" s="10" t="str">
        <f ca="1">IFERROR(IF(OR(1&gt;=$B$1,Suppliers!A56="",NOT(ISNUMBER(Suppliers!D56)),Suppliers!L56="Expired",Suppliers!L56="Terminate"),"",Suppliers!D56*-1*IF(Suppliers!E56="Monthly",IF(AND(ISNUMBER(Suppliers!G56),(YEAR(EDATE(DATE(YEAR(TODAY()),MONTH(TODAY()),1),1))*12+MONTH(EDATE(DATE(YEAR(TODAY()),MONTH(TODAY()),1),1)))&gt;(YEAR(Suppliers!G56)*12+MONTH(Suppliers!G56))),"",1),IF(Suppliers!E56="Quarterly",IF(MOD((YEAR(EDATE(DATE(YEAR(TODAY()),MONTH(TODAY()),1),1))-YEAR(IF(ISNUMBER(Suppliers!F56),Suppliers!F56,DATE(YEAR(TODAY()),MONTH(TODAY()),1))))*12+MONTH(EDATE(DATE(YEAR(TODAY()),MONTH(TODAY()),1),1))-MONTH(IF(ISNUMBER(Suppliers!F56),Suppliers!F56,DATE(YEAR(TODAY()),MONTH(TODAY()),1))),3)=0,1,0),IF(Suppliers!E56="Semi-annual",IF(MOD((YEAR(EDATE(DATE(YEAR(TODAY()),MONTH(TODAY()),1),1))-YEAR(IF(ISNUMBER(Suppliers!F56),Suppliers!F56,DATE(YEAR(TODAY()),MONTH(TODAY()),1))))*12+MONTH(EDATE(DATE(YEAR(TODAY()),MONTH(TODAY()),1),1))-MONTH(IF(ISNUMBER(Suppliers!F56),Suppliers!F56,DATE(YEAR(TODAY()),MONTH(TODAY()),1))),6)=0,1,0),IF(Suppliers!E56="Annual",IF(MOD((YEAR(EDATE(DATE(YEAR(TODAY()),MONTH(TODAY()),1),1))-YEAR(IF(ISNUMBER(Suppliers!F56),Suppliers!F56,DATE(YEAR(TODAY()),MONTH(TODAY()),1))))*12+MONTH(EDATE(DATE(YEAR(TODAY()),MONTH(TODAY()),1),1))-MONTH(IF(ISNUMBER(Suppliers!F56),Suppliers!F56,DATE(YEAR(TODAY()),MONTH(TODAY()),1))),12)=0,1,0),IF(Suppliers!E56="One-time",IF(1=0,1,0),1)))))),"")</f>
        <v/>
      </c>
      <c r="H58" s="10" t="str">
        <f ca="1">IFERROR(IF(OR(2&gt;=$B$1,Suppliers!A56="",NOT(ISNUMBER(Suppliers!D56)),Suppliers!L56="Expired",Suppliers!L56="Terminate"),"",Suppliers!D56*-1*IF(Suppliers!E56="Monthly",IF(AND(ISNUMBER(Suppliers!G56),(YEAR(EDATE(DATE(YEAR(TODAY()),MONTH(TODAY()),1),2))*12+MONTH(EDATE(DATE(YEAR(TODAY()),MONTH(TODAY()),1),2)))&gt;(YEAR(Suppliers!G56)*12+MONTH(Suppliers!G56))),"",1),IF(Suppliers!E56="Quarterly",IF(MOD((YEAR(EDATE(DATE(YEAR(TODAY()),MONTH(TODAY()),1),2))-YEAR(IF(ISNUMBER(Suppliers!F56),Suppliers!F56,DATE(YEAR(TODAY()),MONTH(TODAY()),1))))*12+MONTH(EDATE(DATE(YEAR(TODAY()),MONTH(TODAY()),1),2))-MONTH(IF(ISNUMBER(Suppliers!F56),Suppliers!F56,DATE(YEAR(TODAY()),MONTH(TODAY()),1))),3)=0,1,0),IF(Suppliers!E56="Semi-annual",IF(MOD((YEAR(EDATE(DATE(YEAR(TODAY()),MONTH(TODAY()),1),2))-YEAR(IF(ISNUMBER(Suppliers!F56),Suppliers!F56,DATE(YEAR(TODAY()),MONTH(TODAY()),1))))*12+MONTH(EDATE(DATE(YEAR(TODAY()),MONTH(TODAY()),1),2))-MONTH(IF(ISNUMBER(Suppliers!F56),Suppliers!F56,DATE(YEAR(TODAY()),MONTH(TODAY()),1))),6)=0,1,0),IF(Suppliers!E56="Annual",IF(MOD((YEAR(EDATE(DATE(YEAR(TODAY()),MONTH(TODAY()),1),2))-YEAR(IF(ISNUMBER(Suppliers!F56),Suppliers!F56,DATE(YEAR(TODAY()),MONTH(TODAY()),1))))*12+MONTH(EDATE(DATE(YEAR(TODAY()),MONTH(TODAY()),1),2))-MONTH(IF(ISNUMBER(Suppliers!F56),Suppliers!F56,DATE(YEAR(TODAY()),MONTH(TODAY()),1))),12)=0,1,0),IF(Suppliers!E56="One-time",IF(2=0,1,0),1)))))),"")</f>
        <v/>
      </c>
      <c r="I58" s="10" t="str">
        <f ca="1">IFERROR(IF(OR(3&gt;=$B$1,Suppliers!A56="",NOT(ISNUMBER(Suppliers!D56)),Suppliers!L56="Expired",Suppliers!L56="Terminate"),"",Suppliers!D56*-1*IF(Suppliers!E56="Monthly",IF(AND(ISNUMBER(Suppliers!G56),(YEAR(EDATE(DATE(YEAR(TODAY()),MONTH(TODAY()),1),3))*12+MONTH(EDATE(DATE(YEAR(TODAY()),MONTH(TODAY()),1),3)))&gt;(YEAR(Suppliers!G56)*12+MONTH(Suppliers!G56))),"",1),IF(Suppliers!E56="Quarterly",IF(MOD((YEAR(EDATE(DATE(YEAR(TODAY()),MONTH(TODAY()),1),3))-YEAR(IF(ISNUMBER(Suppliers!F56),Suppliers!F56,DATE(YEAR(TODAY()),MONTH(TODAY()),1))))*12+MONTH(EDATE(DATE(YEAR(TODAY()),MONTH(TODAY()),1),3))-MONTH(IF(ISNUMBER(Suppliers!F56),Suppliers!F56,DATE(YEAR(TODAY()),MONTH(TODAY()),1))),3)=0,1,0),IF(Suppliers!E56="Semi-annual",IF(MOD((YEAR(EDATE(DATE(YEAR(TODAY()),MONTH(TODAY()),1),3))-YEAR(IF(ISNUMBER(Suppliers!F56),Suppliers!F56,DATE(YEAR(TODAY()),MONTH(TODAY()),1))))*12+MONTH(EDATE(DATE(YEAR(TODAY()),MONTH(TODAY()),1),3))-MONTH(IF(ISNUMBER(Suppliers!F56),Suppliers!F56,DATE(YEAR(TODAY()),MONTH(TODAY()),1))),6)=0,1,0),IF(Suppliers!E56="Annual",IF(MOD((YEAR(EDATE(DATE(YEAR(TODAY()),MONTH(TODAY()),1),3))-YEAR(IF(ISNUMBER(Suppliers!F56),Suppliers!F56,DATE(YEAR(TODAY()),MONTH(TODAY()),1))))*12+MONTH(EDATE(DATE(YEAR(TODAY()),MONTH(TODAY()),1),3))-MONTH(IF(ISNUMBER(Suppliers!F56),Suppliers!F56,DATE(YEAR(TODAY()),MONTH(TODAY()),1))),12)=0,1,0),IF(Suppliers!E56="One-time",IF(3=0,1,0),1)))))),"")</f>
        <v/>
      </c>
      <c r="J58" s="10" t="str">
        <f ca="1">IFERROR(IF(OR(4&gt;=$B$1,Suppliers!A56="",NOT(ISNUMBER(Suppliers!D56)),Suppliers!L56="Expired",Suppliers!L56="Terminate"),"",Suppliers!D56*-1*IF(Suppliers!E56="Monthly",IF(AND(ISNUMBER(Suppliers!G56),(YEAR(EDATE(DATE(YEAR(TODAY()),MONTH(TODAY()),1),4))*12+MONTH(EDATE(DATE(YEAR(TODAY()),MONTH(TODAY()),1),4)))&gt;(YEAR(Suppliers!G56)*12+MONTH(Suppliers!G56))),"",1),IF(Suppliers!E56="Quarterly",IF(MOD((YEAR(EDATE(DATE(YEAR(TODAY()),MONTH(TODAY()),1),4))-YEAR(IF(ISNUMBER(Suppliers!F56),Suppliers!F56,DATE(YEAR(TODAY()),MONTH(TODAY()),1))))*12+MONTH(EDATE(DATE(YEAR(TODAY()),MONTH(TODAY()),1),4))-MONTH(IF(ISNUMBER(Suppliers!F56),Suppliers!F56,DATE(YEAR(TODAY()),MONTH(TODAY()),1))),3)=0,1,0),IF(Suppliers!E56="Semi-annual",IF(MOD((YEAR(EDATE(DATE(YEAR(TODAY()),MONTH(TODAY()),1),4))-YEAR(IF(ISNUMBER(Suppliers!F56),Suppliers!F56,DATE(YEAR(TODAY()),MONTH(TODAY()),1))))*12+MONTH(EDATE(DATE(YEAR(TODAY()),MONTH(TODAY()),1),4))-MONTH(IF(ISNUMBER(Suppliers!F56),Suppliers!F56,DATE(YEAR(TODAY()),MONTH(TODAY()),1))),6)=0,1,0),IF(Suppliers!E56="Annual",IF(MOD((YEAR(EDATE(DATE(YEAR(TODAY()),MONTH(TODAY()),1),4))-YEAR(IF(ISNUMBER(Suppliers!F56),Suppliers!F56,DATE(YEAR(TODAY()),MONTH(TODAY()),1))))*12+MONTH(EDATE(DATE(YEAR(TODAY()),MONTH(TODAY()),1),4))-MONTH(IF(ISNUMBER(Suppliers!F56),Suppliers!F56,DATE(YEAR(TODAY()),MONTH(TODAY()),1))),12)=0,1,0),IF(Suppliers!E56="One-time",IF(4=0,1,0),1)))))),"")</f>
        <v/>
      </c>
      <c r="K58" s="10" t="str">
        <f ca="1">IFERROR(IF(OR(5&gt;=$B$1,Suppliers!A56="",NOT(ISNUMBER(Suppliers!D56)),Suppliers!L56="Expired",Suppliers!L56="Terminate"),"",Suppliers!D56*-1*IF(Suppliers!E56="Monthly",IF(AND(ISNUMBER(Suppliers!G56),(YEAR(EDATE(DATE(YEAR(TODAY()),MONTH(TODAY()),1),5))*12+MONTH(EDATE(DATE(YEAR(TODAY()),MONTH(TODAY()),1),5)))&gt;(YEAR(Suppliers!G56)*12+MONTH(Suppliers!G56))),"",1),IF(Suppliers!E56="Quarterly",IF(MOD((YEAR(EDATE(DATE(YEAR(TODAY()),MONTH(TODAY()),1),5))-YEAR(IF(ISNUMBER(Suppliers!F56),Suppliers!F56,DATE(YEAR(TODAY()),MONTH(TODAY()),1))))*12+MONTH(EDATE(DATE(YEAR(TODAY()),MONTH(TODAY()),1),5))-MONTH(IF(ISNUMBER(Suppliers!F56),Suppliers!F56,DATE(YEAR(TODAY()),MONTH(TODAY()),1))),3)=0,1,0),IF(Suppliers!E56="Semi-annual",IF(MOD((YEAR(EDATE(DATE(YEAR(TODAY()),MONTH(TODAY()),1),5))-YEAR(IF(ISNUMBER(Suppliers!F56),Suppliers!F56,DATE(YEAR(TODAY()),MONTH(TODAY()),1))))*12+MONTH(EDATE(DATE(YEAR(TODAY()),MONTH(TODAY()),1),5))-MONTH(IF(ISNUMBER(Suppliers!F56),Suppliers!F56,DATE(YEAR(TODAY()),MONTH(TODAY()),1))),6)=0,1,0),IF(Suppliers!E56="Annual",IF(MOD((YEAR(EDATE(DATE(YEAR(TODAY()),MONTH(TODAY()),1),5))-YEAR(IF(ISNUMBER(Suppliers!F56),Suppliers!F56,DATE(YEAR(TODAY()),MONTH(TODAY()),1))))*12+MONTH(EDATE(DATE(YEAR(TODAY()),MONTH(TODAY()),1),5))-MONTH(IF(ISNUMBER(Suppliers!F56),Suppliers!F56,DATE(YEAR(TODAY()),MONTH(TODAY()),1))),12)=0,1,0),IF(Suppliers!E56="One-time",IF(5=0,1,0),1)))))),"")</f>
        <v/>
      </c>
      <c r="L58" s="10" t="str">
        <f ca="1">IFERROR(IF(OR(6&gt;=$B$1,Suppliers!A56="",NOT(ISNUMBER(Suppliers!D56)),Suppliers!L56="Expired",Suppliers!L56="Terminate"),"",Suppliers!D56*-1*IF(Suppliers!E56="Monthly",IF(AND(ISNUMBER(Suppliers!G56),(YEAR(EDATE(DATE(YEAR(TODAY()),MONTH(TODAY()),1),6))*12+MONTH(EDATE(DATE(YEAR(TODAY()),MONTH(TODAY()),1),6)))&gt;(YEAR(Suppliers!G56)*12+MONTH(Suppliers!G56))),"",1),IF(Suppliers!E56="Quarterly",IF(MOD((YEAR(EDATE(DATE(YEAR(TODAY()),MONTH(TODAY()),1),6))-YEAR(IF(ISNUMBER(Suppliers!F56),Suppliers!F56,DATE(YEAR(TODAY()),MONTH(TODAY()),1))))*12+MONTH(EDATE(DATE(YEAR(TODAY()),MONTH(TODAY()),1),6))-MONTH(IF(ISNUMBER(Suppliers!F56),Suppliers!F56,DATE(YEAR(TODAY()),MONTH(TODAY()),1))),3)=0,1,0),IF(Suppliers!E56="Semi-annual",IF(MOD((YEAR(EDATE(DATE(YEAR(TODAY()),MONTH(TODAY()),1),6))-YEAR(IF(ISNUMBER(Suppliers!F56),Suppliers!F56,DATE(YEAR(TODAY()),MONTH(TODAY()),1))))*12+MONTH(EDATE(DATE(YEAR(TODAY()),MONTH(TODAY()),1),6))-MONTH(IF(ISNUMBER(Suppliers!F56),Suppliers!F56,DATE(YEAR(TODAY()),MONTH(TODAY()),1))),6)=0,1,0),IF(Suppliers!E56="Annual",IF(MOD((YEAR(EDATE(DATE(YEAR(TODAY()),MONTH(TODAY()),1),6))-YEAR(IF(ISNUMBER(Suppliers!F56),Suppliers!F56,DATE(YEAR(TODAY()),MONTH(TODAY()),1))))*12+MONTH(EDATE(DATE(YEAR(TODAY()),MONTH(TODAY()),1),6))-MONTH(IF(ISNUMBER(Suppliers!F56),Suppliers!F56,DATE(YEAR(TODAY()),MONTH(TODAY()),1))),12)=0,1,0),IF(Suppliers!E56="One-time",IF(6=0,1,0),1)))))),"")</f>
        <v/>
      </c>
      <c r="M58" s="10" t="str">
        <f ca="1">IFERROR(IF(OR(7&gt;=$B$1,Suppliers!A56="",NOT(ISNUMBER(Suppliers!D56)),Suppliers!L56="Expired",Suppliers!L56="Terminate"),"",Suppliers!D56*-1*IF(Suppliers!E56="Monthly",IF(AND(ISNUMBER(Suppliers!G56),(YEAR(EDATE(DATE(YEAR(TODAY()),MONTH(TODAY()),1),7))*12+MONTH(EDATE(DATE(YEAR(TODAY()),MONTH(TODAY()),1),7)))&gt;(YEAR(Suppliers!G56)*12+MONTH(Suppliers!G56))),"",1),IF(Suppliers!E56="Quarterly",IF(MOD((YEAR(EDATE(DATE(YEAR(TODAY()),MONTH(TODAY()),1),7))-YEAR(IF(ISNUMBER(Suppliers!F56),Suppliers!F56,DATE(YEAR(TODAY()),MONTH(TODAY()),1))))*12+MONTH(EDATE(DATE(YEAR(TODAY()),MONTH(TODAY()),1),7))-MONTH(IF(ISNUMBER(Suppliers!F56),Suppliers!F56,DATE(YEAR(TODAY()),MONTH(TODAY()),1))),3)=0,1,0),IF(Suppliers!E56="Semi-annual",IF(MOD((YEAR(EDATE(DATE(YEAR(TODAY()),MONTH(TODAY()),1),7))-YEAR(IF(ISNUMBER(Suppliers!F56),Suppliers!F56,DATE(YEAR(TODAY()),MONTH(TODAY()),1))))*12+MONTH(EDATE(DATE(YEAR(TODAY()),MONTH(TODAY()),1),7))-MONTH(IF(ISNUMBER(Suppliers!F56),Suppliers!F56,DATE(YEAR(TODAY()),MONTH(TODAY()),1))),6)=0,1,0),IF(Suppliers!E56="Annual",IF(MOD((YEAR(EDATE(DATE(YEAR(TODAY()),MONTH(TODAY()),1),7))-YEAR(IF(ISNUMBER(Suppliers!F56),Suppliers!F56,DATE(YEAR(TODAY()),MONTH(TODAY()),1))))*12+MONTH(EDATE(DATE(YEAR(TODAY()),MONTH(TODAY()),1),7))-MONTH(IF(ISNUMBER(Suppliers!F56),Suppliers!F56,DATE(YEAR(TODAY()),MONTH(TODAY()),1))),12)=0,1,0),IF(Suppliers!E56="One-time",IF(7=0,1,0),1)))))),"")</f>
        <v/>
      </c>
      <c r="N58" s="10" t="str">
        <f ca="1">IFERROR(IF(OR(8&gt;=$B$1,Suppliers!A56="",NOT(ISNUMBER(Suppliers!D56)),Suppliers!L56="Expired",Suppliers!L56="Terminate"),"",Suppliers!D56*-1*IF(Suppliers!E56="Monthly",IF(AND(ISNUMBER(Suppliers!G56),(YEAR(EDATE(DATE(YEAR(TODAY()),MONTH(TODAY()),1),8))*12+MONTH(EDATE(DATE(YEAR(TODAY()),MONTH(TODAY()),1),8)))&gt;(YEAR(Suppliers!G56)*12+MONTH(Suppliers!G56))),"",1),IF(Suppliers!E56="Quarterly",IF(MOD((YEAR(EDATE(DATE(YEAR(TODAY()),MONTH(TODAY()),1),8))-YEAR(IF(ISNUMBER(Suppliers!F56),Suppliers!F56,DATE(YEAR(TODAY()),MONTH(TODAY()),1))))*12+MONTH(EDATE(DATE(YEAR(TODAY()),MONTH(TODAY()),1),8))-MONTH(IF(ISNUMBER(Suppliers!F56),Suppliers!F56,DATE(YEAR(TODAY()),MONTH(TODAY()),1))),3)=0,1,0),IF(Suppliers!E56="Semi-annual",IF(MOD((YEAR(EDATE(DATE(YEAR(TODAY()),MONTH(TODAY()),1),8))-YEAR(IF(ISNUMBER(Suppliers!F56),Suppliers!F56,DATE(YEAR(TODAY()),MONTH(TODAY()),1))))*12+MONTH(EDATE(DATE(YEAR(TODAY()),MONTH(TODAY()),1),8))-MONTH(IF(ISNUMBER(Suppliers!F56),Suppliers!F56,DATE(YEAR(TODAY()),MONTH(TODAY()),1))),6)=0,1,0),IF(Suppliers!E56="Annual",IF(MOD((YEAR(EDATE(DATE(YEAR(TODAY()),MONTH(TODAY()),1),8))-YEAR(IF(ISNUMBER(Suppliers!F56),Suppliers!F56,DATE(YEAR(TODAY()),MONTH(TODAY()),1))))*12+MONTH(EDATE(DATE(YEAR(TODAY()),MONTH(TODAY()),1),8))-MONTH(IF(ISNUMBER(Suppliers!F56),Suppliers!F56,DATE(YEAR(TODAY()),MONTH(TODAY()),1))),12)=0,1,0),IF(Suppliers!E56="One-time",IF(8=0,1,0),1)))))),"")</f>
        <v/>
      </c>
      <c r="O58" s="10" t="str">
        <f ca="1">IFERROR(IF(OR(9&gt;=$B$1,Suppliers!A56="",NOT(ISNUMBER(Suppliers!D56)),Suppliers!L56="Expired",Suppliers!L56="Terminate"),"",Suppliers!D56*-1*IF(Suppliers!E56="Monthly",IF(AND(ISNUMBER(Suppliers!G56),(YEAR(EDATE(DATE(YEAR(TODAY()),MONTH(TODAY()),1),9))*12+MONTH(EDATE(DATE(YEAR(TODAY()),MONTH(TODAY()),1),9)))&gt;(YEAR(Suppliers!G56)*12+MONTH(Suppliers!G56))),"",1),IF(Suppliers!E56="Quarterly",IF(MOD((YEAR(EDATE(DATE(YEAR(TODAY()),MONTH(TODAY()),1),9))-YEAR(IF(ISNUMBER(Suppliers!F56),Suppliers!F56,DATE(YEAR(TODAY()),MONTH(TODAY()),1))))*12+MONTH(EDATE(DATE(YEAR(TODAY()),MONTH(TODAY()),1),9))-MONTH(IF(ISNUMBER(Suppliers!F56),Suppliers!F56,DATE(YEAR(TODAY()),MONTH(TODAY()),1))),3)=0,1,0),IF(Suppliers!E56="Semi-annual",IF(MOD((YEAR(EDATE(DATE(YEAR(TODAY()),MONTH(TODAY()),1),9))-YEAR(IF(ISNUMBER(Suppliers!F56),Suppliers!F56,DATE(YEAR(TODAY()),MONTH(TODAY()),1))))*12+MONTH(EDATE(DATE(YEAR(TODAY()),MONTH(TODAY()),1),9))-MONTH(IF(ISNUMBER(Suppliers!F56),Suppliers!F56,DATE(YEAR(TODAY()),MONTH(TODAY()),1))),6)=0,1,0),IF(Suppliers!E56="Annual",IF(MOD((YEAR(EDATE(DATE(YEAR(TODAY()),MONTH(TODAY()),1),9))-YEAR(IF(ISNUMBER(Suppliers!F56),Suppliers!F56,DATE(YEAR(TODAY()),MONTH(TODAY()),1))))*12+MONTH(EDATE(DATE(YEAR(TODAY()),MONTH(TODAY()),1),9))-MONTH(IF(ISNUMBER(Suppliers!F56),Suppliers!F56,DATE(YEAR(TODAY()),MONTH(TODAY()),1))),12)=0,1,0),IF(Suppliers!E56="One-time",IF(9=0,1,0),1)))))),"")</f>
        <v/>
      </c>
      <c r="P58" s="10" t="str">
        <f ca="1">IFERROR(IF(OR(10&gt;=$B$1,Suppliers!A56="",NOT(ISNUMBER(Suppliers!D56)),Suppliers!L56="Expired",Suppliers!L56="Terminate"),"",Suppliers!D56*-1*IF(Suppliers!E56="Monthly",IF(AND(ISNUMBER(Suppliers!G56),(YEAR(EDATE(DATE(YEAR(TODAY()),MONTH(TODAY()),1),10))*12+MONTH(EDATE(DATE(YEAR(TODAY()),MONTH(TODAY()),1),10)))&gt;(YEAR(Suppliers!G56)*12+MONTH(Suppliers!G56))),"",1),IF(Suppliers!E56="Quarterly",IF(MOD((YEAR(EDATE(DATE(YEAR(TODAY()),MONTH(TODAY()),1),10))-YEAR(IF(ISNUMBER(Suppliers!F56),Suppliers!F56,DATE(YEAR(TODAY()),MONTH(TODAY()),1))))*12+MONTH(EDATE(DATE(YEAR(TODAY()),MONTH(TODAY()),1),10))-MONTH(IF(ISNUMBER(Suppliers!F56),Suppliers!F56,DATE(YEAR(TODAY()),MONTH(TODAY()),1))),3)=0,1,0),IF(Suppliers!E56="Semi-annual",IF(MOD((YEAR(EDATE(DATE(YEAR(TODAY()),MONTH(TODAY()),1),10))-YEAR(IF(ISNUMBER(Suppliers!F56),Suppliers!F56,DATE(YEAR(TODAY()),MONTH(TODAY()),1))))*12+MONTH(EDATE(DATE(YEAR(TODAY()),MONTH(TODAY()),1),10))-MONTH(IF(ISNUMBER(Suppliers!F56),Suppliers!F56,DATE(YEAR(TODAY()),MONTH(TODAY()),1))),6)=0,1,0),IF(Suppliers!E56="Annual",IF(MOD((YEAR(EDATE(DATE(YEAR(TODAY()),MONTH(TODAY()),1),10))-YEAR(IF(ISNUMBER(Suppliers!F56),Suppliers!F56,DATE(YEAR(TODAY()),MONTH(TODAY()),1))))*12+MONTH(EDATE(DATE(YEAR(TODAY()),MONTH(TODAY()),1),10))-MONTH(IF(ISNUMBER(Suppliers!F56),Suppliers!F56,DATE(YEAR(TODAY()),MONTH(TODAY()),1))),12)=0,1,0),IF(Suppliers!E56="One-time",IF(10=0,1,0),1)))))),"")</f>
        <v/>
      </c>
      <c r="Q58" s="10" t="str">
        <f ca="1">IFERROR(IF(OR(11&gt;=$B$1,Suppliers!A56="",NOT(ISNUMBER(Suppliers!D56)),Suppliers!L56="Expired",Suppliers!L56="Terminate"),"",Suppliers!D56*-1*IF(Suppliers!E56="Monthly",IF(AND(ISNUMBER(Suppliers!G56),(YEAR(EDATE(DATE(YEAR(TODAY()),MONTH(TODAY()),1),11))*12+MONTH(EDATE(DATE(YEAR(TODAY()),MONTH(TODAY()),1),11)))&gt;(YEAR(Suppliers!G56)*12+MONTH(Suppliers!G56))),"",1),IF(Suppliers!E56="Quarterly",IF(MOD((YEAR(EDATE(DATE(YEAR(TODAY()),MONTH(TODAY()),1),11))-YEAR(IF(ISNUMBER(Suppliers!F56),Suppliers!F56,DATE(YEAR(TODAY()),MONTH(TODAY()),1))))*12+MONTH(EDATE(DATE(YEAR(TODAY()),MONTH(TODAY()),1),11))-MONTH(IF(ISNUMBER(Suppliers!F56),Suppliers!F56,DATE(YEAR(TODAY()),MONTH(TODAY()),1))),3)=0,1,0),IF(Suppliers!E56="Semi-annual",IF(MOD((YEAR(EDATE(DATE(YEAR(TODAY()),MONTH(TODAY()),1),11))-YEAR(IF(ISNUMBER(Suppliers!F56),Suppliers!F56,DATE(YEAR(TODAY()),MONTH(TODAY()),1))))*12+MONTH(EDATE(DATE(YEAR(TODAY()),MONTH(TODAY()),1),11))-MONTH(IF(ISNUMBER(Suppliers!F56),Suppliers!F56,DATE(YEAR(TODAY()),MONTH(TODAY()),1))),6)=0,1,0),IF(Suppliers!E56="Annual",IF(MOD((YEAR(EDATE(DATE(YEAR(TODAY()),MONTH(TODAY()),1),11))-YEAR(IF(ISNUMBER(Suppliers!F56),Suppliers!F56,DATE(YEAR(TODAY()),MONTH(TODAY()),1))))*12+MONTH(EDATE(DATE(YEAR(TODAY()),MONTH(TODAY()),1),11))-MONTH(IF(ISNUMBER(Suppliers!F56),Suppliers!F56,DATE(YEAR(TODAY()),MONTH(TODAY()),1))),12)=0,1,0),IF(Suppliers!E56="One-time",IF(11=0,1,0),1)))))),"")</f>
        <v/>
      </c>
      <c r="R58" s="10" t="str">
        <f ca="1">IFERROR(IF(OR(12&gt;=$B$1,Suppliers!A56="",NOT(ISNUMBER(Suppliers!D56)),Suppliers!L56="Expired",Suppliers!L56="Terminate"),"",Suppliers!D56*-1*IF(Suppliers!E56="Monthly",IF(AND(ISNUMBER(Suppliers!G56),(YEAR(EDATE(DATE(YEAR(TODAY()),MONTH(TODAY()),1),12))*12+MONTH(EDATE(DATE(YEAR(TODAY()),MONTH(TODAY()),1),12)))&gt;(YEAR(Suppliers!G56)*12+MONTH(Suppliers!G56))),"",1),IF(Suppliers!E56="Quarterly",IF(MOD((YEAR(EDATE(DATE(YEAR(TODAY()),MONTH(TODAY()),1),12))-YEAR(IF(ISNUMBER(Suppliers!F56),Suppliers!F56,DATE(YEAR(TODAY()),MONTH(TODAY()),1))))*12+MONTH(EDATE(DATE(YEAR(TODAY()),MONTH(TODAY()),1),12))-MONTH(IF(ISNUMBER(Suppliers!F56),Suppliers!F56,DATE(YEAR(TODAY()),MONTH(TODAY()),1))),3)=0,1,0),IF(Suppliers!E56="Semi-annual",IF(MOD((YEAR(EDATE(DATE(YEAR(TODAY()),MONTH(TODAY()),1),12))-YEAR(IF(ISNUMBER(Suppliers!F56),Suppliers!F56,DATE(YEAR(TODAY()),MONTH(TODAY()),1))))*12+MONTH(EDATE(DATE(YEAR(TODAY()),MONTH(TODAY()),1),12))-MONTH(IF(ISNUMBER(Suppliers!F56),Suppliers!F56,DATE(YEAR(TODAY()),MONTH(TODAY()),1))),6)=0,1,0),IF(Suppliers!E56="Annual",IF(MOD((YEAR(EDATE(DATE(YEAR(TODAY()),MONTH(TODAY()),1),12))-YEAR(IF(ISNUMBER(Suppliers!F56),Suppliers!F56,DATE(YEAR(TODAY()),MONTH(TODAY()),1))))*12+MONTH(EDATE(DATE(YEAR(TODAY()),MONTH(TODAY()),1),12))-MONTH(IF(ISNUMBER(Suppliers!F56),Suppliers!F56,DATE(YEAR(TODAY()),MONTH(TODAY()),1))),12)=0,1,0),IF(Suppliers!E56="One-time",IF(12=0,1,0),1)))))),"")</f>
        <v/>
      </c>
      <c r="S58" s="10" t="str">
        <f ca="1">IFERROR(IF(OR(13&gt;=$B$1,Suppliers!A56="",NOT(ISNUMBER(Suppliers!D56)),Suppliers!L56="Expired",Suppliers!L56="Terminate"),"",Suppliers!D56*-1*IF(Suppliers!E56="Monthly",IF(AND(ISNUMBER(Suppliers!G56),(YEAR(EDATE(DATE(YEAR(TODAY()),MONTH(TODAY()),1),13))*12+MONTH(EDATE(DATE(YEAR(TODAY()),MONTH(TODAY()),1),13)))&gt;(YEAR(Suppliers!G56)*12+MONTH(Suppliers!G56))),"",1),IF(Suppliers!E56="Quarterly",IF(MOD((YEAR(EDATE(DATE(YEAR(TODAY()),MONTH(TODAY()),1),13))-YEAR(IF(ISNUMBER(Suppliers!F56),Suppliers!F56,DATE(YEAR(TODAY()),MONTH(TODAY()),1))))*12+MONTH(EDATE(DATE(YEAR(TODAY()),MONTH(TODAY()),1),13))-MONTH(IF(ISNUMBER(Suppliers!F56),Suppliers!F56,DATE(YEAR(TODAY()),MONTH(TODAY()),1))),3)=0,1,0),IF(Suppliers!E56="Semi-annual",IF(MOD((YEAR(EDATE(DATE(YEAR(TODAY()),MONTH(TODAY()),1),13))-YEAR(IF(ISNUMBER(Suppliers!F56),Suppliers!F56,DATE(YEAR(TODAY()),MONTH(TODAY()),1))))*12+MONTH(EDATE(DATE(YEAR(TODAY()),MONTH(TODAY()),1),13))-MONTH(IF(ISNUMBER(Suppliers!F56),Suppliers!F56,DATE(YEAR(TODAY()),MONTH(TODAY()),1))),6)=0,1,0),IF(Suppliers!E56="Annual",IF(MOD((YEAR(EDATE(DATE(YEAR(TODAY()),MONTH(TODAY()),1),13))-YEAR(IF(ISNUMBER(Suppliers!F56),Suppliers!F56,DATE(YEAR(TODAY()),MONTH(TODAY()),1))))*12+MONTH(EDATE(DATE(YEAR(TODAY()),MONTH(TODAY()),1),13))-MONTH(IF(ISNUMBER(Suppliers!F56),Suppliers!F56,DATE(YEAR(TODAY()),MONTH(TODAY()),1))),12)=0,1,0),IF(Suppliers!E56="One-time",IF(13=0,1,0),1)))))),"")</f>
        <v/>
      </c>
      <c r="T58" s="10" t="str">
        <f ca="1">IFERROR(IF(OR(14&gt;=$B$1,Suppliers!A56="",NOT(ISNUMBER(Suppliers!D56)),Suppliers!L56="Expired",Suppliers!L56="Terminate"),"",Suppliers!D56*-1*IF(Suppliers!E56="Monthly",IF(AND(ISNUMBER(Suppliers!G56),(YEAR(EDATE(DATE(YEAR(TODAY()),MONTH(TODAY()),1),14))*12+MONTH(EDATE(DATE(YEAR(TODAY()),MONTH(TODAY()),1),14)))&gt;(YEAR(Suppliers!G56)*12+MONTH(Suppliers!G56))),"",1),IF(Suppliers!E56="Quarterly",IF(MOD((YEAR(EDATE(DATE(YEAR(TODAY()),MONTH(TODAY()),1),14))-YEAR(IF(ISNUMBER(Suppliers!F56),Suppliers!F56,DATE(YEAR(TODAY()),MONTH(TODAY()),1))))*12+MONTH(EDATE(DATE(YEAR(TODAY()),MONTH(TODAY()),1),14))-MONTH(IF(ISNUMBER(Suppliers!F56),Suppliers!F56,DATE(YEAR(TODAY()),MONTH(TODAY()),1))),3)=0,1,0),IF(Suppliers!E56="Semi-annual",IF(MOD((YEAR(EDATE(DATE(YEAR(TODAY()),MONTH(TODAY()),1),14))-YEAR(IF(ISNUMBER(Suppliers!F56),Suppliers!F56,DATE(YEAR(TODAY()),MONTH(TODAY()),1))))*12+MONTH(EDATE(DATE(YEAR(TODAY()),MONTH(TODAY()),1),14))-MONTH(IF(ISNUMBER(Suppliers!F56),Suppliers!F56,DATE(YEAR(TODAY()),MONTH(TODAY()),1))),6)=0,1,0),IF(Suppliers!E56="Annual",IF(MOD((YEAR(EDATE(DATE(YEAR(TODAY()),MONTH(TODAY()),1),14))-YEAR(IF(ISNUMBER(Suppliers!F56),Suppliers!F56,DATE(YEAR(TODAY()),MONTH(TODAY()),1))))*12+MONTH(EDATE(DATE(YEAR(TODAY()),MONTH(TODAY()),1),14))-MONTH(IF(ISNUMBER(Suppliers!F56),Suppliers!F56,DATE(YEAR(TODAY()),MONTH(TODAY()),1))),12)=0,1,0),IF(Suppliers!E56="One-time",IF(14=0,1,0),1)))))),"")</f>
        <v/>
      </c>
      <c r="U58" s="10" t="str">
        <f ca="1">IFERROR(IF(OR(15&gt;=$B$1,Suppliers!A56="",NOT(ISNUMBER(Suppliers!D56)),Suppliers!L56="Expired",Suppliers!L56="Terminate"),"",Suppliers!D56*-1*IF(Suppliers!E56="Monthly",IF(AND(ISNUMBER(Suppliers!G56),(YEAR(EDATE(DATE(YEAR(TODAY()),MONTH(TODAY()),1),15))*12+MONTH(EDATE(DATE(YEAR(TODAY()),MONTH(TODAY()),1),15)))&gt;(YEAR(Suppliers!G56)*12+MONTH(Suppliers!G56))),"",1),IF(Suppliers!E56="Quarterly",IF(MOD((YEAR(EDATE(DATE(YEAR(TODAY()),MONTH(TODAY()),1),15))-YEAR(IF(ISNUMBER(Suppliers!F56),Suppliers!F56,DATE(YEAR(TODAY()),MONTH(TODAY()),1))))*12+MONTH(EDATE(DATE(YEAR(TODAY()),MONTH(TODAY()),1),15))-MONTH(IF(ISNUMBER(Suppliers!F56),Suppliers!F56,DATE(YEAR(TODAY()),MONTH(TODAY()),1))),3)=0,1,0),IF(Suppliers!E56="Semi-annual",IF(MOD((YEAR(EDATE(DATE(YEAR(TODAY()),MONTH(TODAY()),1),15))-YEAR(IF(ISNUMBER(Suppliers!F56),Suppliers!F56,DATE(YEAR(TODAY()),MONTH(TODAY()),1))))*12+MONTH(EDATE(DATE(YEAR(TODAY()),MONTH(TODAY()),1),15))-MONTH(IF(ISNUMBER(Suppliers!F56),Suppliers!F56,DATE(YEAR(TODAY()),MONTH(TODAY()),1))),6)=0,1,0),IF(Suppliers!E56="Annual",IF(MOD((YEAR(EDATE(DATE(YEAR(TODAY()),MONTH(TODAY()),1),15))-YEAR(IF(ISNUMBER(Suppliers!F56),Suppliers!F56,DATE(YEAR(TODAY()),MONTH(TODAY()),1))))*12+MONTH(EDATE(DATE(YEAR(TODAY()),MONTH(TODAY()),1),15))-MONTH(IF(ISNUMBER(Suppliers!F56),Suppliers!F56,DATE(YEAR(TODAY()),MONTH(TODAY()),1))),12)=0,1,0),IF(Suppliers!E56="One-time",IF(15=0,1,0),1)))))),"")</f>
        <v/>
      </c>
      <c r="V58" s="10" t="str">
        <f ca="1">IFERROR(IF(OR(16&gt;=$B$1,Suppliers!A56="",NOT(ISNUMBER(Suppliers!D56)),Suppliers!L56="Expired",Suppliers!L56="Terminate"),"",Suppliers!D56*-1*IF(Suppliers!E56="Monthly",IF(AND(ISNUMBER(Suppliers!G56),(YEAR(EDATE(DATE(YEAR(TODAY()),MONTH(TODAY()),1),16))*12+MONTH(EDATE(DATE(YEAR(TODAY()),MONTH(TODAY()),1),16)))&gt;(YEAR(Suppliers!G56)*12+MONTH(Suppliers!G56))),"",1),IF(Suppliers!E56="Quarterly",IF(MOD((YEAR(EDATE(DATE(YEAR(TODAY()),MONTH(TODAY()),1),16))-YEAR(IF(ISNUMBER(Suppliers!F56),Suppliers!F56,DATE(YEAR(TODAY()),MONTH(TODAY()),1))))*12+MONTH(EDATE(DATE(YEAR(TODAY()),MONTH(TODAY()),1),16))-MONTH(IF(ISNUMBER(Suppliers!F56),Suppliers!F56,DATE(YEAR(TODAY()),MONTH(TODAY()),1))),3)=0,1,0),IF(Suppliers!E56="Semi-annual",IF(MOD((YEAR(EDATE(DATE(YEAR(TODAY()),MONTH(TODAY()),1),16))-YEAR(IF(ISNUMBER(Suppliers!F56),Suppliers!F56,DATE(YEAR(TODAY()),MONTH(TODAY()),1))))*12+MONTH(EDATE(DATE(YEAR(TODAY()),MONTH(TODAY()),1),16))-MONTH(IF(ISNUMBER(Suppliers!F56),Suppliers!F56,DATE(YEAR(TODAY()),MONTH(TODAY()),1))),6)=0,1,0),IF(Suppliers!E56="Annual",IF(MOD((YEAR(EDATE(DATE(YEAR(TODAY()),MONTH(TODAY()),1),16))-YEAR(IF(ISNUMBER(Suppliers!F56),Suppliers!F56,DATE(YEAR(TODAY()),MONTH(TODAY()),1))))*12+MONTH(EDATE(DATE(YEAR(TODAY()),MONTH(TODAY()),1),16))-MONTH(IF(ISNUMBER(Suppliers!F56),Suppliers!F56,DATE(YEAR(TODAY()),MONTH(TODAY()),1))),12)=0,1,0),IF(Suppliers!E56="One-time",IF(16=0,1,0),1)))))),"")</f>
        <v/>
      </c>
      <c r="W58" s="10" t="str">
        <f ca="1">IFERROR(IF(OR(17&gt;=$B$1,Suppliers!A56="",NOT(ISNUMBER(Suppliers!D56)),Suppliers!L56="Expired",Suppliers!L56="Terminate"),"",Suppliers!D56*-1*IF(Suppliers!E56="Monthly",IF(AND(ISNUMBER(Suppliers!G56),(YEAR(EDATE(DATE(YEAR(TODAY()),MONTH(TODAY()),1),17))*12+MONTH(EDATE(DATE(YEAR(TODAY()),MONTH(TODAY()),1),17)))&gt;(YEAR(Suppliers!G56)*12+MONTH(Suppliers!G56))),"",1),IF(Suppliers!E56="Quarterly",IF(MOD((YEAR(EDATE(DATE(YEAR(TODAY()),MONTH(TODAY()),1),17))-YEAR(IF(ISNUMBER(Suppliers!F56),Suppliers!F56,DATE(YEAR(TODAY()),MONTH(TODAY()),1))))*12+MONTH(EDATE(DATE(YEAR(TODAY()),MONTH(TODAY()),1),17))-MONTH(IF(ISNUMBER(Suppliers!F56),Suppliers!F56,DATE(YEAR(TODAY()),MONTH(TODAY()),1))),3)=0,1,0),IF(Suppliers!E56="Semi-annual",IF(MOD((YEAR(EDATE(DATE(YEAR(TODAY()),MONTH(TODAY()),1),17))-YEAR(IF(ISNUMBER(Suppliers!F56),Suppliers!F56,DATE(YEAR(TODAY()),MONTH(TODAY()),1))))*12+MONTH(EDATE(DATE(YEAR(TODAY()),MONTH(TODAY()),1),17))-MONTH(IF(ISNUMBER(Suppliers!F56),Suppliers!F56,DATE(YEAR(TODAY()),MONTH(TODAY()),1))),6)=0,1,0),IF(Suppliers!E56="Annual",IF(MOD((YEAR(EDATE(DATE(YEAR(TODAY()),MONTH(TODAY()),1),17))-YEAR(IF(ISNUMBER(Suppliers!F56),Suppliers!F56,DATE(YEAR(TODAY()),MONTH(TODAY()),1))))*12+MONTH(EDATE(DATE(YEAR(TODAY()),MONTH(TODAY()),1),17))-MONTH(IF(ISNUMBER(Suppliers!F56),Suppliers!F56,DATE(YEAR(TODAY()),MONTH(TODAY()),1))),12)=0,1,0),IF(Suppliers!E56="One-time",IF(17=0,1,0),1)))))),"")</f>
        <v/>
      </c>
      <c r="X58" s="10" t="str">
        <f ca="1">IFERROR(IF(OR(18&gt;=$B$1,Suppliers!A56="",NOT(ISNUMBER(Suppliers!D56)),Suppliers!L56="Expired",Suppliers!L56="Terminate"),"",Suppliers!D56*-1*IF(Suppliers!E56="Monthly",IF(AND(ISNUMBER(Suppliers!G56),(YEAR(EDATE(DATE(YEAR(TODAY()),MONTH(TODAY()),1),18))*12+MONTH(EDATE(DATE(YEAR(TODAY()),MONTH(TODAY()),1),18)))&gt;(YEAR(Suppliers!G56)*12+MONTH(Suppliers!G56))),"",1),IF(Suppliers!E56="Quarterly",IF(MOD((YEAR(EDATE(DATE(YEAR(TODAY()),MONTH(TODAY()),1),18))-YEAR(IF(ISNUMBER(Suppliers!F56),Suppliers!F56,DATE(YEAR(TODAY()),MONTH(TODAY()),1))))*12+MONTH(EDATE(DATE(YEAR(TODAY()),MONTH(TODAY()),1),18))-MONTH(IF(ISNUMBER(Suppliers!F56),Suppliers!F56,DATE(YEAR(TODAY()),MONTH(TODAY()),1))),3)=0,1,0),IF(Suppliers!E56="Semi-annual",IF(MOD((YEAR(EDATE(DATE(YEAR(TODAY()),MONTH(TODAY()),1),18))-YEAR(IF(ISNUMBER(Suppliers!F56),Suppliers!F56,DATE(YEAR(TODAY()),MONTH(TODAY()),1))))*12+MONTH(EDATE(DATE(YEAR(TODAY()),MONTH(TODAY()),1),18))-MONTH(IF(ISNUMBER(Suppliers!F56),Suppliers!F56,DATE(YEAR(TODAY()),MONTH(TODAY()),1))),6)=0,1,0),IF(Suppliers!E56="Annual",IF(MOD((YEAR(EDATE(DATE(YEAR(TODAY()),MONTH(TODAY()),1),18))-YEAR(IF(ISNUMBER(Suppliers!F56),Suppliers!F56,DATE(YEAR(TODAY()),MONTH(TODAY()),1))))*12+MONTH(EDATE(DATE(YEAR(TODAY()),MONTH(TODAY()),1),18))-MONTH(IF(ISNUMBER(Suppliers!F56),Suppliers!F56,DATE(YEAR(TODAY()),MONTH(TODAY()),1))),12)=0,1,0),IF(Suppliers!E56="One-time",IF(18=0,1,0),1)))))),"")</f>
        <v/>
      </c>
      <c r="Y58" s="10" t="str">
        <f ca="1">IFERROR(IF(OR(19&gt;=$B$1,Suppliers!A56="",NOT(ISNUMBER(Suppliers!D56)),Suppliers!L56="Expired",Suppliers!L56="Terminate"),"",Suppliers!D56*-1*IF(Suppliers!E56="Monthly",IF(AND(ISNUMBER(Suppliers!G56),(YEAR(EDATE(DATE(YEAR(TODAY()),MONTH(TODAY()),1),19))*12+MONTH(EDATE(DATE(YEAR(TODAY()),MONTH(TODAY()),1),19)))&gt;(YEAR(Suppliers!G56)*12+MONTH(Suppliers!G56))),"",1),IF(Suppliers!E56="Quarterly",IF(MOD((YEAR(EDATE(DATE(YEAR(TODAY()),MONTH(TODAY()),1),19))-YEAR(IF(ISNUMBER(Suppliers!F56),Suppliers!F56,DATE(YEAR(TODAY()),MONTH(TODAY()),1))))*12+MONTH(EDATE(DATE(YEAR(TODAY()),MONTH(TODAY()),1),19))-MONTH(IF(ISNUMBER(Suppliers!F56),Suppliers!F56,DATE(YEAR(TODAY()),MONTH(TODAY()),1))),3)=0,1,0),IF(Suppliers!E56="Semi-annual",IF(MOD((YEAR(EDATE(DATE(YEAR(TODAY()),MONTH(TODAY()),1),19))-YEAR(IF(ISNUMBER(Suppliers!F56),Suppliers!F56,DATE(YEAR(TODAY()),MONTH(TODAY()),1))))*12+MONTH(EDATE(DATE(YEAR(TODAY()),MONTH(TODAY()),1),19))-MONTH(IF(ISNUMBER(Suppliers!F56),Suppliers!F56,DATE(YEAR(TODAY()),MONTH(TODAY()),1))),6)=0,1,0),IF(Suppliers!E56="Annual",IF(MOD((YEAR(EDATE(DATE(YEAR(TODAY()),MONTH(TODAY()),1),19))-YEAR(IF(ISNUMBER(Suppliers!F56),Suppliers!F56,DATE(YEAR(TODAY()),MONTH(TODAY()),1))))*12+MONTH(EDATE(DATE(YEAR(TODAY()),MONTH(TODAY()),1),19))-MONTH(IF(ISNUMBER(Suppliers!F56),Suppliers!F56,DATE(YEAR(TODAY()),MONTH(TODAY()),1))),12)=0,1,0),IF(Suppliers!E56="One-time",IF(19=0,1,0),1)))))),"")</f>
        <v/>
      </c>
      <c r="Z58" s="10" t="str">
        <f ca="1">IFERROR(IF(OR(20&gt;=$B$1,Suppliers!A56="",NOT(ISNUMBER(Suppliers!D56)),Suppliers!L56="Expired",Suppliers!L56="Terminate"),"",Suppliers!D56*-1*IF(Suppliers!E56="Monthly",IF(AND(ISNUMBER(Suppliers!G56),(YEAR(EDATE(DATE(YEAR(TODAY()),MONTH(TODAY()),1),20))*12+MONTH(EDATE(DATE(YEAR(TODAY()),MONTH(TODAY()),1),20)))&gt;(YEAR(Suppliers!G56)*12+MONTH(Suppliers!G56))),"",1),IF(Suppliers!E56="Quarterly",IF(MOD((YEAR(EDATE(DATE(YEAR(TODAY()),MONTH(TODAY()),1),20))-YEAR(IF(ISNUMBER(Suppliers!F56),Suppliers!F56,DATE(YEAR(TODAY()),MONTH(TODAY()),1))))*12+MONTH(EDATE(DATE(YEAR(TODAY()),MONTH(TODAY()),1),20))-MONTH(IF(ISNUMBER(Suppliers!F56),Suppliers!F56,DATE(YEAR(TODAY()),MONTH(TODAY()),1))),3)=0,1,0),IF(Suppliers!E56="Semi-annual",IF(MOD((YEAR(EDATE(DATE(YEAR(TODAY()),MONTH(TODAY()),1),20))-YEAR(IF(ISNUMBER(Suppliers!F56),Suppliers!F56,DATE(YEAR(TODAY()),MONTH(TODAY()),1))))*12+MONTH(EDATE(DATE(YEAR(TODAY()),MONTH(TODAY()),1),20))-MONTH(IF(ISNUMBER(Suppliers!F56),Suppliers!F56,DATE(YEAR(TODAY()),MONTH(TODAY()),1))),6)=0,1,0),IF(Suppliers!E56="Annual",IF(MOD((YEAR(EDATE(DATE(YEAR(TODAY()),MONTH(TODAY()),1),20))-YEAR(IF(ISNUMBER(Suppliers!F56),Suppliers!F56,DATE(YEAR(TODAY()),MONTH(TODAY()),1))))*12+MONTH(EDATE(DATE(YEAR(TODAY()),MONTH(TODAY()),1),20))-MONTH(IF(ISNUMBER(Suppliers!F56),Suppliers!F56,DATE(YEAR(TODAY()),MONTH(TODAY()),1))),12)=0,1,0),IF(Suppliers!E56="One-time",IF(20=0,1,0),1)))))),"")</f>
        <v/>
      </c>
      <c r="AA58" s="10" t="str">
        <f ca="1">IFERROR(IF(OR(21&gt;=$B$1,Suppliers!A56="",NOT(ISNUMBER(Suppliers!D56)),Suppliers!L56="Expired",Suppliers!L56="Terminate"),"",Suppliers!D56*-1*IF(Suppliers!E56="Monthly",IF(AND(ISNUMBER(Suppliers!G56),(YEAR(EDATE(DATE(YEAR(TODAY()),MONTH(TODAY()),1),21))*12+MONTH(EDATE(DATE(YEAR(TODAY()),MONTH(TODAY()),1),21)))&gt;(YEAR(Suppliers!G56)*12+MONTH(Suppliers!G56))),"",1),IF(Suppliers!E56="Quarterly",IF(MOD((YEAR(EDATE(DATE(YEAR(TODAY()),MONTH(TODAY()),1),21))-YEAR(IF(ISNUMBER(Suppliers!F56),Suppliers!F56,DATE(YEAR(TODAY()),MONTH(TODAY()),1))))*12+MONTH(EDATE(DATE(YEAR(TODAY()),MONTH(TODAY()),1),21))-MONTH(IF(ISNUMBER(Suppliers!F56),Suppliers!F56,DATE(YEAR(TODAY()),MONTH(TODAY()),1))),3)=0,1,0),IF(Suppliers!E56="Semi-annual",IF(MOD((YEAR(EDATE(DATE(YEAR(TODAY()),MONTH(TODAY()),1),21))-YEAR(IF(ISNUMBER(Suppliers!F56),Suppliers!F56,DATE(YEAR(TODAY()),MONTH(TODAY()),1))))*12+MONTH(EDATE(DATE(YEAR(TODAY()),MONTH(TODAY()),1),21))-MONTH(IF(ISNUMBER(Suppliers!F56),Suppliers!F56,DATE(YEAR(TODAY()),MONTH(TODAY()),1))),6)=0,1,0),IF(Suppliers!E56="Annual",IF(MOD((YEAR(EDATE(DATE(YEAR(TODAY()),MONTH(TODAY()),1),21))-YEAR(IF(ISNUMBER(Suppliers!F56),Suppliers!F56,DATE(YEAR(TODAY()),MONTH(TODAY()),1))))*12+MONTH(EDATE(DATE(YEAR(TODAY()),MONTH(TODAY()),1),21))-MONTH(IF(ISNUMBER(Suppliers!F56),Suppliers!F56,DATE(YEAR(TODAY()),MONTH(TODAY()),1))),12)=0,1,0),IF(Suppliers!E56="One-time",IF(21=0,1,0),1)))))),"")</f>
        <v/>
      </c>
      <c r="AB58" s="10" t="str">
        <f ca="1">IFERROR(IF(OR(22&gt;=$B$1,Suppliers!A56="",NOT(ISNUMBER(Suppliers!D56)),Suppliers!L56="Expired",Suppliers!L56="Terminate"),"",Suppliers!D56*-1*IF(Suppliers!E56="Monthly",IF(AND(ISNUMBER(Suppliers!G56),(YEAR(EDATE(DATE(YEAR(TODAY()),MONTH(TODAY()),1),22))*12+MONTH(EDATE(DATE(YEAR(TODAY()),MONTH(TODAY()),1),22)))&gt;(YEAR(Suppliers!G56)*12+MONTH(Suppliers!G56))),"",1),IF(Suppliers!E56="Quarterly",IF(MOD((YEAR(EDATE(DATE(YEAR(TODAY()),MONTH(TODAY()),1),22))-YEAR(IF(ISNUMBER(Suppliers!F56),Suppliers!F56,DATE(YEAR(TODAY()),MONTH(TODAY()),1))))*12+MONTH(EDATE(DATE(YEAR(TODAY()),MONTH(TODAY()),1),22))-MONTH(IF(ISNUMBER(Suppliers!F56),Suppliers!F56,DATE(YEAR(TODAY()),MONTH(TODAY()),1))),3)=0,1,0),IF(Suppliers!E56="Semi-annual",IF(MOD((YEAR(EDATE(DATE(YEAR(TODAY()),MONTH(TODAY()),1),22))-YEAR(IF(ISNUMBER(Suppliers!F56),Suppliers!F56,DATE(YEAR(TODAY()),MONTH(TODAY()),1))))*12+MONTH(EDATE(DATE(YEAR(TODAY()),MONTH(TODAY()),1),22))-MONTH(IF(ISNUMBER(Suppliers!F56),Suppliers!F56,DATE(YEAR(TODAY()),MONTH(TODAY()),1))),6)=0,1,0),IF(Suppliers!E56="Annual",IF(MOD((YEAR(EDATE(DATE(YEAR(TODAY()),MONTH(TODAY()),1),22))-YEAR(IF(ISNUMBER(Suppliers!F56),Suppliers!F56,DATE(YEAR(TODAY()),MONTH(TODAY()),1))))*12+MONTH(EDATE(DATE(YEAR(TODAY()),MONTH(TODAY()),1),22))-MONTH(IF(ISNUMBER(Suppliers!F56),Suppliers!F56,DATE(YEAR(TODAY()),MONTH(TODAY()),1))),12)=0,1,0),IF(Suppliers!E56="One-time",IF(22=0,1,0),1)))))),"")</f>
        <v/>
      </c>
      <c r="AC58" s="10" t="str">
        <f ca="1">IFERROR(IF(OR(23&gt;=$B$1,Suppliers!A56="",NOT(ISNUMBER(Suppliers!D56)),Suppliers!L56="Expired",Suppliers!L56="Terminate"),"",Suppliers!D56*-1*IF(Suppliers!E56="Monthly",IF(AND(ISNUMBER(Suppliers!G56),(YEAR(EDATE(DATE(YEAR(TODAY()),MONTH(TODAY()),1),23))*12+MONTH(EDATE(DATE(YEAR(TODAY()),MONTH(TODAY()),1),23)))&gt;(YEAR(Suppliers!G56)*12+MONTH(Suppliers!G56))),"",1),IF(Suppliers!E56="Quarterly",IF(MOD((YEAR(EDATE(DATE(YEAR(TODAY()),MONTH(TODAY()),1),23))-YEAR(IF(ISNUMBER(Suppliers!F56),Suppliers!F56,DATE(YEAR(TODAY()),MONTH(TODAY()),1))))*12+MONTH(EDATE(DATE(YEAR(TODAY()),MONTH(TODAY()),1),23))-MONTH(IF(ISNUMBER(Suppliers!F56),Suppliers!F56,DATE(YEAR(TODAY()),MONTH(TODAY()),1))),3)=0,1,0),IF(Suppliers!E56="Semi-annual",IF(MOD((YEAR(EDATE(DATE(YEAR(TODAY()),MONTH(TODAY()),1),23))-YEAR(IF(ISNUMBER(Suppliers!F56),Suppliers!F56,DATE(YEAR(TODAY()),MONTH(TODAY()),1))))*12+MONTH(EDATE(DATE(YEAR(TODAY()),MONTH(TODAY()),1),23))-MONTH(IF(ISNUMBER(Suppliers!F56),Suppliers!F56,DATE(YEAR(TODAY()),MONTH(TODAY()),1))),6)=0,1,0),IF(Suppliers!E56="Annual",IF(MOD((YEAR(EDATE(DATE(YEAR(TODAY()),MONTH(TODAY()),1),23))-YEAR(IF(ISNUMBER(Suppliers!F56),Suppliers!F56,DATE(YEAR(TODAY()),MONTH(TODAY()),1))))*12+MONTH(EDATE(DATE(YEAR(TODAY()),MONTH(TODAY()),1),23))-MONTH(IF(ISNUMBER(Suppliers!F56),Suppliers!F56,DATE(YEAR(TODAY()),MONTH(TODAY()),1))),12)=0,1,0),IF(Suppliers!E56="One-time",IF(23=0,1,0),1)))))),"")</f>
        <v/>
      </c>
    </row>
    <row r="59" spans="1:30" ht="15" customHeight="1" x14ac:dyDescent="0.35">
      <c r="A59" s="4" t="s">
        <v>80</v>
      </c>
      <c r="B59" s="4" t="str">
        <f>IF(Suppliers!A57="","",Suppliers!A57)</f>
        <v/>
      </c>
      <c r="C59" s="10" t="str">
        <f>IF(Suppliers!C57="","",Suppliers!C57)</f>
        <v/>
      </c>
      <c r="D59" s="10" t="str">
        <f>IF(Suppliers!D57="","",Suppliers!D57)</f>
        <v/>
      </c>
      <c r="E59" s="4" t="str">
        <f>IF(Suppliers!E57="","",Suppliers!E57)</f>
        <v/>
      </c>
      <c r="F59" s="10" t="str">
        <f ca="1">IFERROR(IF(OR(0&gt;=$B$1,Suppliers!A57="",NOT(ISNUMBER(Suppliers!D57)),Suppliers!L57="Expired",Suppliers!L57="Terminate"),"",Suppliers!D57*-1*IF(Suppliers!E57="Monthly",IF(AND(ISNUMBER(Suppliers!G57),(YEAR(EDATE(DATE(YEAR(TODAY()),MONTH(TODAY()),1),0))*12+MONTH(EDATE(DATE(YEAR(TODAY()),MONTH(TODAY()),1),0)))&gt;(YEAR(Suppliers!G57)*12+MONTH(Suppliers!G57))),"",1),IF(Suppliers!E57="Quarterly",IF(MOD((YEAR(EDATE(DATE(YEAR(TODAY()),MONTH(TODAY()),1),0))-YEAR(IF(ISNUMBER(Suppliers!F57),Suppliers!F57,DATE(YEAR(TODAY()),MONTH(TODAY()),1))))*12+MONTH(EDATE(DATE(YEAR(TODAY()),MONTH(TODAY()),1),0))-MONTH(IF(ISNUMBER(Suppliers!F57),Suppliers!F57,DATE(YEAR(TODAY()),MONTH(TODAY()),1))),3)=0,1,0),IF(Suppliers!E57="Semi-annual",IF(MOD((YEAR(EDATE(DATE(YEAR(TODAY()),MONTH(TODAY()),1),0))-YEAR(IF(ISNUMBER(Suppliers!F57),Suppliers!F57,DATE(YEAR(TODAY()),MONTH(TODAY()),1))))*12+MONTH(EDATE(DATE(YEAR(TODAY()),MONTH(TODAY()),1),0))-MONTH(IF(ISNUMBER(Suppliers!F57),Suppliers!F57,DATE(YEAR(TODAY()),MONTH(TODAY()),1))),6)=0,1,0),IF(Suppliers!E57="Annual",IF(MOD((YEAR(EDATE(DATE(YEAR(TODAY()),MONTH(TODAY()),1),0))-YEAR(IF(ISNUMBER(Suppliers!F57),Suppliers!F57,DATE(YEAR(TODAY()),MONTH(TODAY()),1))))*12+MONTH(EDATE(DATE(YEAR(TODAY()),MONTH(TODAY()),1),0))-MONTH(IF(ISNUMBER(Suppliers!F57),Suppliers!F57,DATE(YEAR(TODAY()),MONTH(TODAY()),1))),12)=0,1,0),IF(Suppliers!E57="One-time",IF(0=0,1,0),1)))))),"")</f>
        <v/>
      </c>
      <c r="G59" s="10" t="str">
        <f ca="1">IFERROR(IF(OR(1&gt;=$B$1,Suppliers!A57="",NOT(ISNUMBER(Suppliers!D57)),Suppliers!L57="Expired",Suppliers!L57="Terminate"),"",Suppliers!D57*-1*IF(Suppliers!E57="Monthly",IF(AND(ISNUMBER(Suppliers!G57),(YEAR(EDATE(DATE(YEAR(TODAY()),MONTH(TODAY()),1),1))*12+MONTH(EDATE(DATE(YEAR(TODAY()),MONTH(TODAY()),1),1)))&gt;(YEAR(Suppliers!G57)*12+MONTH(Suppliers!G57))),"",1),IF(Suppliers!E57="Quarterly",IF(MOD((YEAR(EDATE(DATE(YEAR(TODAY()),MONTH(TODAY()),1),1))-YEAR(IF(ISNUMBER(Suppliers!F57),Suppliers!F57,DATE(YEAR(TODAY()),MONTH(TODAY()),1))))*12+MONTH(EDATE(DATE(YEAR(TODAY()),MONTH(TODAY()),1),1))-MONTH(IF(ISNUMBER(Suppliers!F57),Suppliers!F57,DATE(YEAR(TODAY()),MONTH(TODAY()),1))),3)=0,1,0),IF(Suppliers!E57="Semi-annual",IF(MOD((YEAR(EDATE(DATE(YEAR(TODAY()),MONTH(TODAY()),1),1))-YEAR(IF(ISNUMBER(Suppliers!F57),Suppliers!F57,DATE(YEAR(TODAY()),MONTH(TODAY()),1))))*12+MONTH(EDATE(DATE(YEAR(TODAY()),MONTH(TODAY()),1),1))-MONTH(IF(ISNUMBER(Suppliers!F57),Suppliers!F57,DATE(YEAR(TODAY()),MONTH(TODAY()),1))),6)=0,1,0),IF(Suppliers!E57="Annual",IF(MOD((YEAR(EDATE(DATE(YEAR(TODAY()),MONTH(TODAY()),1),1))-YEAR(IF(ISNUMBER(Suppliers!F57),Suppliers!F57,DATE(YEAR(TODAY()),MONTH(TODAY()),1))))*12+MONTH(EDATE(DATE(YEAR(TODAY()),MONTH(TODAY()),1),1))-MONTH(IF(ISNUMBER(Suppliers!F57),Suppliers!F57,DATE(YEAR(TODAY()),MONTH(TODAY()),1))),12)=0,1,0),IF(Suppliers!E57="One-time",IF(1=0,1,0),1)))))),"")</f>
        <v/>
      </c>
      <c r="H59" s="10" t="str">
        <f ca="1">IFERROR(IF(OR(2&gt;=$B$1,Suppliers!A57="",NOT(ISNUMBER(Suppliers!D57)),Suppliers!L57="Expired",Suppliers!L57="Terminate"),"",Suppliers!D57*-1*IF(Suppliers!E57="Monthly",IF(AND(ISNUMBER(Suppliers!G57),(YEAR(EDATE(DATE(YEAR(TODAY()),MONTH(TODAY()),1),2))*12+MONTH(EDATE(DATE(YEAR(TODAY()),MONTH(TODAY()),1),2)))&gt;(YEAR(Suppliers!G57)*12+MONTH(Suppliers!G57))),"",1),IF(Suppliers!E57="Quarterly",IF(MOD((YEAR(EDATE(DATE(YEAR(TODAY()),MONTH(TODAY()),1),2))-YEAR(IF(ISNUMBER(Suppliers!F57),Suppliers!F57,DATE(YEAR(TODAY()),MONTH(TODAY()),1))))*12+MONTH(EDATE(DATE(YEAR(TODAY()),MONTH(TODAY()),1),2))-MONTH(IF(ISNUMBER(Suppliers!F57),Suppliers!F57,DATE(YEAR(TODAY()),MONTH(TODAY()),1))),3)=0,1,0),IF(Suppliers!E57="Semi-annual",IF(MOD((YEAR(EDATE(DATE(YEAR(TODAY()),MONTH(TODAY()),1),2))-YEAR(IF(ISNUMBER(Suppliers!F57),Suppliers!F57,DATE(YEAR(TODAY()),MONTH(TODAY()),1))))*12+MONTH(EDATE(DATE(YEAR(TODAY()),MONTH(TODAY()),1),2))-MONTH(IF(ISNUMBER(Suppliers!F57),Suppliers!F57,DATE(YEAR(TODAY()),MONTH(TODAY()),1))),6)=0,1,0),IF(Suppliers!E57="Annual",IF(MOD((YEAR(EDATE(DATE(YEAR(TODAY()),MONTH(TODAY()),1),2))-YEAR(IF(ISNUMBER(Suppliers!F57),Suppliers!F57,DATE(YEAR(TODAY()),MONTH(TODAY()),1))))*12+MONTH(EDATE(DATE(YEAR(TODAY()),MONTH(TODAY()),1),2))-MONTH(IF(ISNUMBER(Suppliers!F57),Suppliers!F57,DATE(YEAR(TODAY()),MONTH(TODAY()),1))),12)=0,1,0),IF(Suppliers!E57="One-time",IF(2=0,1,0),1)))))),"")</f>
        <v/>
      </c>
      <c r="I59" s="10" t="str">
        <f ca="1">IFERROR(IF(OR(3&gt;=$B$1,Suppliers!A57="",NOT(ISNUMBER(Suppliers!D57)),Suppliers!L57="Expired",Suppliers!L57="Terminate"),"",Suppliers!D57*-1*IF(Suppliers!E57="Monthly",IF(AND(ISNUMBER(Suppliers!G57),(YEAR(EDATE(DATE(YEAR(TODAY()),MONTH(TODAY()),1),3))*12+MONTH(EDATE(DATE(YEAR(TODAY()),MONTH(TODAY()),1),3)))&gt;(YEAR(Suppliers!G57)*12+MONTH(Suppliers!G57))),"",1),IF(Suppliers!E57="Quarterly",IF(MOD((YEAR(EDATE(DATE(YEAR(TODAY()),MONTH(TODAY()),1),3))-YEAR(IF(ISNUMBER(Suppliers!F57),Suppliers!F57,DATE(YEAR(TODAY()),MONTH(TODAY()),1))))*12+MONTH(EDATE(DATE(YEAR(TODAY()),MONTH(TODAY()),1),3))-MONTH(IF(ISNUMBER(Suppliers!F57),Suppliers!F57,DATE(YEAR(TODAY()),MONTH(TODAY()),1))),3)=0,1,0),IF(Suppliers!E57="Semi-annual",IF(MOD((YEAR(EDATE(DATE(YEAR(TODAY()),MONTH(TODAY()),1),3))-YEAR(IF(ISNUMBER(Suppliers!F57),Suppliers!F57,DATE(YEAR(TODAY()),MONTH(TODAY()),1))))*12+MONTH(EDATE(DATE(YEAR(TODAY()),MONTH(TODAY()),1),3))-MONTH(IF(ISNUMBER(Suppliers!F57),Suppliers!F57,DATE(YEAR(TODAY()),MONTH(TODAY()),1))),6)=0,1,0),IF(Suppliers!E57="Annual",IF(MOD((YEAR(EDATE(DATE(YEAR(TODAY()),MONTH(TODAY()),1),3))-YEAR(IF(ISNUMBER(Suppliers!F57),Suppliers!F57,DATE(YEAR(TODAY()),MONTH(TODAY()),1))))*12+MONTH(EDATE(DATE(YEAR(TODAY()),MONTH(TODAY()),1),3))-MONTH(IF(ISNUMBER(Suppliers!F57),Suppliers!F57,DATE(YEAR(TODAY()),MONTH(TODAY()),1))),12)=0,1,0),IF(Suppliers!E57="One-time",IF(3=0,1,0),1)))))),"")</f>
        <v/>
      </c>
      <c r="J59" s="10" t="str">
        <f ca="1">IFERROR(IF(OR(4&gt;=$B$1,Suppliers!A57="",NOT(ISNUMBER(Suppliers!D57)),Suppliers!L57="Expired",Suppliers!L57="Terminate"),"",Suppliers!D57*-1*IF(Suppliers!E57="Monthly",IF(AND(ISNUMBER(Suppliers!G57),(YEAR(EDATE(DATE(YEAR(TODAY()),MONTH(TODAY()),1),4))*12+MONTH(EDATE(DATE(YEAR(TODAY()),MONTH(TODAY()),1),4)))&gt;(YEAR(Suppliers!G57)*12+MONTH(Suppliers!G57))),"",1),IF(Suppliers!E57="Quarterly",IF(MOD((YEAR(EDATE(DATE(YEAR(TODAY()),MONTH(TODAY()),1),4))-YEAR(IF(ISNUMBER(Suppliers!F57),Suppliers!F57,DATE(YEAR(TODAY()),MONTH(TODAY()),1))))*12+MONTH(EDATE(DATE(YEAR(TODAY()),MONTH(TODAY()),1),4))-MONTH(IF(ISNUMBER(Suppliers!F57),Suppliers!F57,DATE(YEAR(TODAY()),MONTH(TODAY()),1))),3)=0,1,0),IF(Suppliers!E57="Semi-annual",IF(MOD((YEAR(EDATE(DATE(YEAR(TODAY()),MONTH(TODAY()),1),4))-YEAR(IF(ISNUMBER(Suppliers!F57),Suppliers!F57,DATE(YEAR(TODAY()),MONTH(TODAY()),1))))*12+MONTH(EDATE(DATE(YEAR(TODAY()),MONTH(TODAY()),1),4))-MONTH(IF(ISNUMBER(Suppliers!F57),Suppliers!F57,DATE(YEAR(TODAY()),MONTH(TODAY()),1))),6)=0,1,0),IF(Suppliers!E57="Annual",IF(MOD((YEAR(EDATE(DATE(YEAR(TODAY()),MONTH(TODAY()),1),4))-YEAR(IF(ISNUMBER(Suppliers!F57),Suppliers!F57,DATE(YEAR(TODAY()),MONTH(TODAY()),1))))*12+MONTH(EDATE(DATE(YEAR(TODAY()),MONTH(TODAY()),1),4))-MONTH(IF(ISNUMBER(Suppliers!F57),Suppliers!F57,DATE(YEAR(TODAY()),MONTH(TODAY()),1))),12)=0,1,0),IF(Suppliers!E57="One-time",IF(4=0,1,0),1)))))),"")</f>
        <v/>
      </c>
      <c r="K59" s="10" t="str">
        <f ca="1">IFERROR(IF(OR(5&gt;=$B$1,Suppliers!A57="",NOT(ISNUMBER(Suppliers!D57)),Suppliers!L57="Expired",Suppliers!L57="Terminate"),"",Suppliers!D57*-1*IF(Suppliers!E57="Monthly",IF(AND(ISNUMBER(Suppliers!G57),(YEAR(EDATE(DATE(YEAR(TODAY()),MONTH(TODAY()),1),5))*12+MONTH(EDATE(DATE(YEAR(TODAY()),MONTH(TODAY()),1),5)))&gt;(YEAR(Suppliers!G57)*12+MONTH(Suppliers!G57))),"",1),IF(Suppliers!E57="Quarterly",IF(MOD((YEAR(EDATE(DATE(YEAR(TODAY()),MONTH(TODAY()),1),5))-YEAR(IF(ISNUMBER(Suppliers!F57),Suppliers!F57,DATE(YEAR(TODAY()),MONTH(TODAY()),1))))*12+MONTH(EDATE(DATE(YEAR(TODAY()),MONTH(TODAY()),1),5))-MONTH(IF(ISNUMBER(Suppliers!F57),Suppliers!F57,DATE(YEAR(TODAY()),MONTH(TODAY()),1))),3)=0,1,0),IF(Suppliers!E57="Semi-annual",IF(MOD((YEAR(EDATE(DATE(YEAR(TODAY()),MONTH(TODAY()),1),5))-YEAR(IF(ISNUMBER(Suppliers!F57),Suppliers!F57,DATE(YEAR(TODAY()),MONTH(TODAY()),1))))*12+MONTH(EDATE(DATE(YEAR(TODAY()),MONTH(TODAY()),1),5))-MONTH(IF(ISNUMBER(Suppliers!F57),Suppliers!F57,DATE(YEAR(TODAY()),MONTH(TODAY()),1))),6)=0,1,0),IF(Suppliers!E57="Annual",IF(MOD((YEAR(EDATE(DATE(YEAR(TODAY()),MONTH(TODAY()),1),5))-YEAR(IF(ISNUMBER(Suppliers!F57),Suppliers!F57,DATE(YEAR(TODAY()),MONTH(TODAY()),1))))*12+MONTH(EDATE(DATE(YEAR(TODAY()),MONTH(TODAY()),1),5))-MONTH(IF(ISNUMBER(Suppliers!F57),Suppliers!F57,DATE(YEAR(TODAY()),MONTH(TODAY()),1))),12)=0,1,0),IF(Suppliers!E57="One-time",IF(5=0,1,0),1)))))),"")</f>
        <v/>
      </c>
      <c r="L59" s="10" t="str">
        <f ca="1">IFERROR(IF(OR(6&gt;=$B$1,Suppliers!A57="",NOT(ISNUMBER(Suppliers!D57)),Suppliers!L57="Expired",Suppliers!L57="Terminate"),"",Suppliers!D57*-1*IF(Suppliers!E57="Monthly",IF(AND(ISNUMBER(Suppliers!G57),(YEAR(EDATE(DATE(YEAR(TODAY()),MONTH(TODAY()),1),6))*12+MONTH(EDATE(DATE(YEAR(TODAY()),MONTH(TODAY()),1),6)))&gt;(YEAR(Suppliers!G57)*12+MONTH(Suppliers!G57))),"",1),IF(Suppliers!E57="Quarterly",IF(MOD((YEAR(EDATE(DATE(YEAR(TODAY()),MONTH(TODAY()),1),6))-YEAR(IF(ISNUMBER(Suppliers!F57),Suppliers!F57,DATE(YEAR(TODAY()),MONTH(TODAY()),1))))*12+MONTH(EDATE(DATE(YEAR(TODAY()),MONTH(TODAY()),1),6))-MONTH(IF(ISNUMBER(Suppliers!F57),Suppliers!F57,DATE(YEAR(TODAY()),MONTH(TODAY()),1))),3)=0,1,0),IF(Suppliers!E57="Semi-annual",IF(MOD((YEAR(EDATE(DATE(YEAR(TODAY()),MONTH(TODAY()),1),6))-YEAR(IF(ISNUMBER(Suppliers!F57),Suppliers!F57,DATE(YEAR(TODAY()),MONTH(TODAY()),1))))*12+MONTH(EDATE(DATE(YEAR(TODAY()),MONTH(TODAY()),1),6))-MONTH(IF(ISNUMBER(Suppliers!F57),Suppliers!F57,DATE(YEAR(TODAY()),MONTH(TODAY()),1))),6)=0,1,0),IF(Suppliers!E57="Annual",IF(MOD((YEAR(EDATE(DATE(YEAR(TODAY()),MONTH(TODAY()),1),6))-YEAR(IF(ISNUMBER(Suppliers!F57),Suppliers!F57,DATE(YEAR(TODAY()),MONTH(TODAY()),1))))*12+MONTH(EDATE(DATE(YEAR(TODAY()),MONTH(TODAY()),1),6))-MONTH(IF(ISNUMBER(Suppliers!F57),Suppliers!F57,DATE(YEAR(TODAY()),MONTH(TODAY()),1))),12)=0,1,0),IF(Suppliers!E57="One-time",IF(6=0,1,0),1)))))),"")</f>
        <v/>
      </c>
      <c r="M59" s="10" t="str">
        <f ca="1">IFERROR(IF(OR(7&gt;=$B$1,Suppliers!A57="",NOT(ISNUMBER(Suppliers!D57)),Suppliers!L57="Expired",Suppliers!L57="Terminate"),"",Suppliers!D57*-1*IF(Suppliers!E57="Monthly",IF(AND(ISNUMBER(Suppliers!G57),(YEAR(EDATE(DATE(YEAR(TODAY()),MONTH(TODAY()),1),7))*12+MONTH(EDATE(DATE(YEAR(TODAY()),MONTH(TODAY()),1),7)))&gt;(YEAR(Suppliers!G57)*12+MONTH(Suppliers!G57))),"",1),IF(Suppliers!E57="Quarterly",IF(MOD((YEAR(EDATE(DATE(YEAR(TODAY()),MONTH(TODAY()),1),7))-YEAR(IF(ISNUMBER(Suppliers!F57),Suppliers!F57,DATE(YEAR(TODAY()),MONTH(TODAY()),1))))*12+MONTH(EDATE(DATE(YEAR(TODAY()),MONTH(TODAY()),1),7))-MONTH(IF(ISNUMBER(Suppliers!F57),Suppliers!F57,DATE(YEAR(TODAY()),MONTH(TODAY()),1))),3)=0,1,0),IF(Suppliers!E57="Semi-annual",IF(MOD((YEAR(EDATE(DATE(YEAR(TODAY()),MONTH(TODAY()),1),7))-YEAR(IF(ISNUMBER(Suppliers!F57),Suppliers!F57,DATE(YEAR(TODAY()),MONTH(TODAY()),1))))*12+MONTH(EDATE(DATE(YEAR(TODAY()),MONTH(TODAY()),1),7))-MONTH(IF(ISNUMBER(Suppliers!F57),Suppliers!F57,DATE(YEAR(TODAY()),MONTH(TODAY()),1))),6)=0,1,0),IF(Suppliers!E57="Annual",IF(MOD((YEAR(EDATE(DATE(YEAR(TODAY()),MONTH(TODAY()),1),7))-YEAR(IF(ISNUMBER(Suppliers!F57),Suppliers!F57,DATE(YEAR(TODAY()),MONTH(TODAY()),1))))*12+MONTH(EDATE(DATE(YEAR(TODAY()),MONTH(TODAY()),1),7))-MONTH(IF(ISNUMBER(Suppliers!F57),Suppliers!F57,DATE(YEAR(TODAY()),MONTH(TODAY()),1))),12)=0,1,0),IF(Suppliers!E57="One-time",IF(7=0,1,0),1)))))),"")</f>
        <v/>
      </c>
      <c r="N59" s="10" t="str">
        <f ca="1">IFERROR(IF(OR(8&gt;=$B$1,Suppliers!A57="",NOT(ISNUMBER(Suppliers!D57)),Suppliers!L57="Expired",Suppliers!L57="Terminate"),"",Suppliers!D57*-1*IF(Suppliers!E57="Monthly",IF(AND(ISNUMBER(Suppliers!G57),(YEAR(EDATE(DATE(YEAR(TODAY()),MONTH(TODAY()),1),8))*12+MONTH(EDATE(DATE(YEAR(TODAY()),MONTH(TODAY()),1),8)))&gt;(YEAR(Suppliers!G57)*12+MONTH(Suppliers!G57))),"",1),IF(Suppliers!E57="Quarterly",IF(MOD((YEAR(EDATE(DATE(YEAR(TODAY()),MONTH(TODAY()),1),8))-YEAR(IF(ISNUMBER(Suppliers!F57),Suppliers!F57,DATE(YEAR(TODAY()),MONTH(TODAY()),1))))*12+MONTH(EDATE(DATE(YEAR(TODAY()),MONTH(TODAY()),1),8))-MONTH(IF(ISNUMBER(Suppliers!F57),Suppliers!F57,DATE(YEAR(TODAY()),MONTH(TODAY()),1))),3)=0,1,0),IF(Suppliers!E57="Semi-annual",IF(MOD((YEAR(EDATE(DATE(YEAR(TODAY()),MONTH(TODAY()),1),8))-YEAR(IF(ISNUMBER(Suppliers!F57),Suppliers!F57,DATE(YEAR(TODAY()),MONTH(TODAY()),1))))*12+MONTH(EDATE(DATE(YEAR(TODAY()),MONTH(TODAY()),1),8))-MONTH(IF(ISNUMBER(Suppliers!F57),Suppliers!F57,DATE(YEAR(TODAY()),MONTH(TODAY()),1))),6)=0,1,0),IF(Suppliers!E57="Annual",IF(MOD((YEAR(EDATE(DATE(YEAR(TODAY()),MONTH(TODAY()),1),8))-YEAR(IF(ISNUMBER(Suppliers!F57),Suppliers!F57,DATE(YEAR(TODAY()),MONTH(TODAY()),1))))*12+MONTH(EDATE(DATE(YEAR(TODAY()),MONTH(TODAY()),1),8))-MONTH(IF(ISNUMBER(Suppliers!F57),Suppliers!F57,DATE(YEAR(TODAY()),MONTH(TODAY()),1))),12)=0,1,0),IF(Suppliers!E57="One-time",IF(8=0,1,0),1)))))),"")</f>
        <v/>
      </c>
      <c r="O59" s="10" t="str">
        <f ca="1">IFERROR(IF(OR(9&gt;=$B$1,Suppliers!A57="",NOT(ISNUMBER(Suppliers!D57)),Suppliers!L57="Expired",Suppliers!L57="Terminate"),"",Suppliers!D57*-1*IF(Suppliers!E57="Monthly",IF(AND(ISNUMBER(Suppliers!G57),(YEAR(EDATE(DATE(YEAR(TODAY()),MONTH(TODAY()),1),9))*12+MONTH(EDATE(DATE(YEAR(TODAY()),MONTH(TODAY()),1),9)))&gt;(YEAR(Suppliers!G57)*12+MONTH(Suppliers!G57))),"",1),IF(Suppliers!E57="Quarterly",IF(MOD((YEAR(EDATE(DATE(YEAR(TODAY()),MONTH(TODAY()),1),9))-YEAR(IF(ISNUMBER(Suppliers!F57),Suppliers!F57,DATE(YEAR(TODAY()),MONTH(TODAY()),1))))*12+MONTH(EDATE(DATE(YEAR(TODAY()),MONTH(TODAY()),1),9))-MONTH(IF(ISNUMBER(Suppliers!F57),Suppliers!F57,DATE(YEAR(TODAY()),MONTH(TODAY()),1))),3)=0,1,0),IF(Suppliers!E57="Semi-annual",IF(MOD((YEAR(EDATE(DATE(YEAR(TODAY()),MONTH(TODAY()),1),9))-YEAR(IF(ISNUMBER(Suppliers!F57),Suppliers!F57,DATE(YEAR(TODAY()),MONTH(TODAY()),1))))*12+MONTH(EDATE(DATE(YEAR(TODAY()),MONTH(TODAY()),1),9))-MONTH(IF(ISNUMBER(Suppliers!F57),Suppliers!F57,DATE(YEAR(TODAY()),MONTH(TODAY()),1))),6)=0,1,0),IF(Suppliers!E57="Annual",IF(MOD((YEAR(EDATE(DATE(YEAR(TODAY()),MONTH(TODAY()),1),9))-YEAR(IF(ISNUMBER(Suppliers!F57),Suppliers!F57,DATE(YEAR(TODAY()),MONTH(TODAY()),1))))*12+MONTH(EDATE(DATE(YEAR(TODAY()),MONTH(TODAY()),1),9))-MONTH(IF(ISNUMBER(Suppliers!F57),Suppliers!F57,DATE(YEAR(TODAY()),MONTH(TODAY()),1))),12)=0,1,0),IF(Suppliers!E57="One-time",IF(9=0,1,0),1)))))),"")</f>
        <v/>
      </c>
      <c r="P59" s="10" t="str">
        <f ca="1">IFERROR(IF(OR(10&gt;=$B$1,Suppliers!A57="",NOT(ISNUMBER(Suppliers!D57)),Suppliers!L57="Expired",Suppliers!L57="Terminate"),"",Suppliers!D57*-1*IF(Suppliers!E57="Monthly",IF(AND(ISNUMBER(Suppliers!G57),(YEAR(EDATE(DATE(YEAR(TODAY()),MONTH(TODAY()),1),10))*12+MONTH(EDATE(DATE(YEAR(TODAY()),MONTH(TODAY()),1),10)))&gt;(YEAR(Suppliers!G57)*12+MONTH(Suppliers!G57))),"",1),IF(Suppliers!E57="Quarterly",IF(MOD((YEAR(EDATE(DATE(YEAR(TODAY()),MONTH(TODAY()),1),10))-YEAR(IF(ISNUMBER(Suppliers!F57),Suppliers!F57,DATE(YEAR(TODAY()),MONTH(TODAY()),1))))*12+MONTH(EDATE(DATE(YEAR(TODAY()),MONTH(TODAY()),1),10))-MONTH(IF(ISNUMBER(Suppliers!F57),Suppliers!F57,DATE(YEAR(TODAY()),MONTH(TODAY()),1))),3)=0,1,0),IF(Suppliers!E57="Semi-annual",IF(MOD((YEAR(EDATE(DATE(YEAR(TODAY()),MONTH(TODAY()),1),10))-YEAR(IF(ISNUMBER(Suppliers!F57),Suppliers!F57,DATE(YEAR(TODAY()),MONTH(TODAY()),1))))*12+MONTH(EDATE(DATE(YEAR(TODAY()),MONTH(TODAY()),1),10))-MONTH(IF(ISNUMBER(Suppliers!F57),Suppliers!F57,DATE(YEAR(TODAY()),MONTH(TODAY()),1))),6)=0,1,0),IF(Suppliers!E57="Annual",IF(MOD((YEAR(EDATE(DATE(YEAR(TODAY()),MONTH(TODAY()),1),10))-YEAR(IF(ISNUMBER(Suppliers!F57),Suppliers!F57,DATE(YEAR(TODAY()),MONTH(TODAY()),1))))*12+MONTH(EDATE(DATE(YEAR(TODAY()),MONTH(TODAY()),1),10))-MONTH(IF(ISNUMBER(Suppliers!F57),Suppliers!F57,DATE(YEAR(TODAY()),MONTH(TODAY()),1))),12)=0,1,0),IF(Suppliers!E57="One-time",IF(10=0,1,0),1)))))),"")</f>
        <v/>
      </c>
      <c r="Q59" s="10" t="str">
        <f ca="1">IFERROR(IF(OR(11&gt;=$B$1,Suppliers!A57="",NOT(ISNUMBER(Suppliers!D57)),Suppliers!L57="Expired",Suppliers!L57="Terminate"),"",Suppliers!D57*-1*IF(Suppliers!E57="Monthly",IF(AND(ISNUMBER(Suppliers!G57),(YEAR(EDATE(DATE(YEAR(TODAY()),MONTH(TODAY()),1),11))*12+MONTH(EDATE(DATE(YEAR(TODAY()),MONTH(TODAY()),1),11)))&gt;(YEAR(Suppliers!G57)*12+MONTH(Suppliers!G57))),"",1),IF(Suppliers!E57="Quarterly",IF(MOD((YEAR(EDATE(DATE(YEAR(TODAY()),MONTH(TODAY()),1),11))-YEAR(IF(ISNUMBER(Suppliers!F57),Suppliers!F57,DATE(YEAR(TODAY()),MONTH(TODAY()),1))))*12+MONTH(EDATE(DATE(YEAR(TODAY()),MONTH(TODAY()),1),11))-MONTH(IF(ISNUMBER(Suppliers!F57),Suppliers!F57,DATE(YEAR(TODAY()),MONTH(TODAY()),1))),3)=0,1,0),IF(Suppliers!E57="Semi-annual",IF(MOD((YEAR(EDATE(DATE(YEAR(TODAY()),MONTH(TODAY()),1),11))-YEAR(IF(ISNUMBER(Suppliers!F57),Suppliers!F57,DATE(YEAR(TODAY()),MONTH(TODAY()),1))))*12+MONTH(EDATE(DATE(YEAR(TODAY()),MONTH(TODAY()),1),11))-MONTH(IF(ISNUMBER(Suppliers!F57),Suppliers!F57,DATE(YEAR(TODAY()),MONTH(TODAY()),1))),6)=0,1,0),IF(Suppliers!E57="Annual",IF(MOD((YEAR(EDATE(DATE(YEAR(TODAY()),MONTH(TODAY()),1),11))-YEAR(IF(ISNUMBER(Suppliers!F57),Suppliers!F57,DATE(YEAR(TODAY()),MONTH(TODAY()),1))))*12+MONTH(EDATE(DATE(YEAR(TODAY()),MONTH(TODAY()),1),11))-MONTH(IF(ISNUMBER(Suppliers!F57),Suppliers!F57,DATE(YEAR(TODAY()),MONTH(TODAY()),1))),12)=0,1,0),IF(Suppliers!E57="One-time",IF(11=0,1,0),1)))))),"")</f>
        <v/>
      </c>
      <c r="R59" s="10" t="str">
        <f ca="1">IFERROR(IF(OR(12&gt;=$B$1,Suppliers!A57="",NOT(ISNUMBER(Suppliers!D57)),Suppliers!L57="Expired",Suppliers!L57="Terminate"),"",Suppliers!D57*-1*IF(Suppliers!E57="Monthly",IF(AND(ISNUMBER(Suppliers!G57),(YEAR(EDATE(DATE(YEAR(TODAY()),MONTH(TODAY()),1),12))*12+MONTH(EDATE(DATE(YEAR(TODAY()),MONTH(TODAY()),1),12)))&gt;(YEAR(Suppliers!G57)*12+MONTH(Suppliers!G57))),"",1),IF(Suppliers!E57="Quarterly",IF(MOD((YEAR(EDATE(DATE(YEAR(TODAY()),MONTH(TODAY()),1),12))-YEAR(IF(ISNUMBER(Suppliers!F57),Suppliers!F57,DATE(YEAR(TODAY()),MONTH(TODAY()),1))))*12+MONTH(EDATE(DATE(YEAR(TODAY()),MONTH(TODAY()),1),12))-MONTH(IF(ISNUMBER(Suppliers!F57),Suppliers!F57,DATE(YEAR(TODAY()),MONTH(TODAY()),1))),3)=0,1,0),IF(Suppliers!E57="Semi-annual",IF(MOD((YEAR(EDATE(DATE(YEAR(TODAY()),MONTH(TODAY()),1),12))-YEAR(IF(ISNUMBER(Suppliers!F57),Suppliers!F57,DATE(YEAR(TODAY()),MONTH(TODAY()),1))))*12+MONTH(EDATE(DATE(YEAR(TODAY()),MONTH(TODAY()),1),12))-MONTH(IF(ISNUMBER(Suppliers!F57),Suppliers!F57,DATE(YEAR(TODAY()),MONTH(TODAY()),1))),6)=0,1,0),IF(Suppliers!E57="Annual",IF(MOD((YEAR(EDATE(DATE(YEAR(TODAY()),MONTH(TODAY()),1),12))-YEAR(IF(ISNUMBER(Suppliers!F57),Suppliers!F57,DATE(YEAR(TODAY()),MONTH(TODAY()),1))))*12+MONTH(EDATE(DATE(YEAR(TODAY()),MONTH(TODAY()),1),12))-MONTH(IF(ISNUMBER(Suppliers!F57),Suppliers!F57,DATE(YEAR(TODAY()),MONTH(TODAY()),1))),12)=0,1,0),IF(Suppliers!E57="One-time",IF(12=0,1,0),1)))))),"")</f>
        <v/>
      </c>
      <c r="S59" s="10" t="str">
        <f ca="1">IFERROR(IF(OR(13&gt;=$B$1,Suppliers!A57="",NOT(ISNUMBER(Suppliers!D57)),Suppliers!L57="Expired",Suppliers!L57="Terminate"),"",Suppliers!D57*-1*IF(Suppliers!E57="Monthly",IF(AND(ISNUMBER(Suppliers!G57),(YEAR(EDATE(DATE(YEAR(TODAY()),MONTH(TODAY()),1),13))*12+MONTH(EDATE(DATE(YEAR(TODAY()),MONTH(TODAY()),1),13)))&gt;(YEAR(Suppliers!G57)*12+MONTH(Suppliers!G57))),"",1),IF(Suppliers!E57="Quarterly",IF(MOD((YEAR(EDATE(DATE(YEAR(TODAY()),MONTH(TODAY()),1),13))-YEAR(IF(ISNUMBER(Suppliers!F57),Suppliers!F57,DATE(YEAR(TODAY()),MONTH(TODAY()),1))))*12+MONTH(EDATE(DATE(YEAR(TODAY()),MONTH(TODAY()),1),13))-MONTH(IF(ISNUMBER(Suppliers!F57),Suppliers!F57,DATE(YEAR(TODAY()),MONTH(TODAY()),1))),3)=0,1,0),IF(Suppliers!E57="Semi-annual",IF(MOD((YEAR(EDATE(DATE(YEAR(TODAY()),MONTH(TODAY()),1),13))-YEAR(IF(ISNUMBER(Suppliers!F57),Suppliers!F57,DATE(YEAR(TODAY()),MONTH(TODAY()),1))))*12+MONTH(EDATE(DATE(YEAR(TODAY()),MONTH(TODAY()),1),13))-MONTH(IF(ISNUMBER(Suppliers!F57),Suppliers!F57,DATE(YEAR(TODAY()),MONTH(TODAY()),1))),6)=0,1,0),IF(Suppliers!E57="Annual",IF(MOD((YEAR(EDATE(DATE(YEAR(TODAY()),MONTH(TODAY()),1),13))-YEAR(IF(ISNUMBER(Suppliers!F57),Suppliers!F57,DATE(YEAR(TODAY()),MONTH(TODAY()),1))))*12+MONTH(EDATE(DATE(YEAR(TODAY()),MONTH(TODAY()),1),13))-MONTH(IF(ISNUMBER(Suppliers!F57),Suppliers!F57,DATE(YEAR(TODAY()),MONTH(TODAY()),1))),12)=0,1,0),IF(Suppliers!E57="One-time",IF(13=0,1,0),1)))))),"")</f>
        <v/>
      </c>
      <c r="T59" s="10" t="str">
        <f ca="1">IFERROR(IF(OR(14&gt;=$B$1,Suppliers!A57="",NOT(ISNUMBER(Suppliers!D57)),Suppliers!L57="Expired",Suppliers!L57="Terminate"),"",Suppliers!D57*-1*IF(Suppliers!E57="Monthly",IF(AND(ISNUMBER(Suppliers!G57),(YEAR(EDATE(DATE(YEAR(TODAY()),MONTH(TODAY()),1),14))*12+MONTH(EDATE(DATE(YEAR(TODAY()),MONTH(TODAY()),1),14)))&gt;(YEAR(Suppliers!G57)*12+MONTH(Suppliers!G57))),"",1),IF(Suppliers!E57="Quarterly",IF(MOD((YEAR(EDATE(DATE(YEAR(TODAY()),MONTH(TODAY()),1),14))-YEAR(IF(ISNUMBER(Suppliers!F57),Suppliers!F57,DATE(YEAR(TODAY()),MONTH(TODAY()),1))))*12+MONTH(EDATE(DATE(YEAR(TODAY()),MONTH(TODAY()),1),14))-MONTH(IF(ISNUMBER(Suppliers!F57),Suppliers!F57,DATE(YEAR(TODAY()),MONTH(TODAY()),1))),3)=0,1,0),IF(Suppliers!E57="Semi-annual",IF(MOD((YEAR(EDATE(DATE(YEAR(TODAY()),MONTH(TODAY()),1),14))-YEAR(IF(ISNUMBER(Suppliers!F57),Suppliers!F57,DATE(YEAR(TODAY()),MONTH(TODAY()),1))))*12+MONTH(EDATE(DATE(YEAR(TODAY()),MONTH(TODAY()),1),14))-MONTH(IF(ISNUMBER(Suppliers!F57),Suppliers!F57,DATE(YEAR(TODAY()),MONTH(TODAY()),1))),6)=0,1,0),IF(Suppliers!E57="Annual",IF(MOD((YEAR(EDATE(DATE(YEAR(TODAY()),MONTH(TODAY()),1),14))-YEAR(IF(ISNUMBER(Suppliers!F57),Suppliers!F57,DATE(YEAR(TODAY()),MONTH(TODAY()),1))))*12+MONTH(EDATE(DATE(YEAR(TODAY()),MONTH(TODAY()),1),14))-MONTH(IF(ISNUMBER(Suppliers!F57),Suppliers!F57,DATE(YEAR(TODAY()),MONTH(TODAY()),1))),12)=0,1,0),IF(Suppliers!E57="One-time",IF(14=0,1,0),1)))))),"")</f>
        <v/>
      </c>
      <c r="U59" s="10" t="str">
        <f ca="1">IFERROR(IF(OR(15&gt;=$B$1,Suppliers!A57="",NOT(ISNUMBER(Suppliers!D57)),Suppliers!L57="Expired",Suppliers!L57="Terminate"),"",Suppliers!D57*-1*IF(Suppliers!E57="Monthly",IF(AND(ISNUMBER(Suppliers!G57),(YEAR(EDATE(DATE(YEAR(TODAY()),MONTH(TODAY()),1),15))*12+MONTH(EDATE(DATE(YEAR(TODAY()),MONTH(TODAY()),1),15)))&gt;(YEAR(Suppliers!G57)*12+MONTH(Suppliers!G57))),"",1),IF(Suppliers!E57="Quarterly",IF(MOD((YEAR(EDATE(DATE(YEAR(TODAY()),MONTH(TODAY()),1),15))-YEAR(IF(ISNUMBER(Suppliers!F57),Suppliers!F57,DATE(YEAR(TODAY()),MONTH(TODAY()),1))))*12+MONTH(EDATE(DATE(YEAR(TODAY()),MONTH(TODAY()),1),15))-MONTH(IF(ISNUMBER(Suppliers!F57),Suppliers!F57,DATE(YEAR(TODAY()),MONTH(TODAY()),1))),3)=0,1,0),IF(Suppliers!E57="Semi-annual",IF(MOD((YEAR(EDATE(DATE(YEAR(TODAY()),MONTH(TODAY()),1),15))-YEAR(IF(ISNUMBER(Suppliers!F57),Suppliers!F57,DATE(YEAR(TODAY()),MONTH(TODAY()),1))))*12+MONTH(EDATE(DATE(YEAR(TODAY()),MONTH(TODAY()),1),15))-MONTH(IF(ISNUMBER(Suppliers!F57),Suppliers!F57,DATE(YEAR(TODAY()),MONTH(TODAY()),1))),6)=0,1,0),IF(Suppliers!E57="Annual",IF(MOD((YEAR(EDATE(DATE(YEAR(TODAY()),MONTH(TODAY()),1),15))-YEAR(IF(ISNUMBER(Suppliers!F57),Suppliers!F57,DATE(YEAR(TODAY()),MONTH(TODAY()),1))))*12+MONTH(EDATE(DATE(YEAR(TODAY()),MONTH(TODAY()),1),15))-MONTH(IF(ISNUMBER(Suppliers!F57),Suppliers!F57,DATE(YEAR(TODAY()),MONTH(TODAY()),1))),12)=0,1,0),IF(Suppliers!E57="One-time",IF(15=0,1,0),1)))))),"")</f>
        <v/>
      </c>
      <c r="V59" s="10" t="str">
        <f ca="1">IFERROR(IF(OR(16&gt;=$B$1,Suppliers!A57="",NOT(ISNUMBER(Suppliers!D57)),Suppliers!L57="Expired",Suppliers!L57="Terminate"),"",Suppliers!D57*-1*IF(Suppliers!E57="Monthly",IF(AND(ISNUMBER(Suppliers!G57),(YEAR(EDATE(DATE(YEAR(TODAY()),MONTH(TODAY()),1),16))*12+MONTH(EDATE(DATE(YEAR(TODAY()),MONTH(TODAY()),1),16)))&gt;(YEAR(Suppliers!G57)*12+MONTH(Suppliers!G57))),"",1),IF(Suppliers!E57="Quarterly",IF(MOD((YEAR(EDATE(DATE(YEAR(TODAY()),MONTH(TODAY()),1),16))-YEAR(IF(ISNUMBER(Suppliers!F57),Suppliers!F57,DATE(YEAR(TODAY()),MONTH(TODAY()),1))))*12+MONTH(EDATE(DATE(YEAR(TODAY()),MONTH(TODAY()),1),16))-MONTH(IF(ISNUMBER(Suppliers!F57),Suppliers!F57,DATE(YEAR(TODAY()),MONTH(TODAY()),1))),3)=0,1,0),IF(Suppliers!E57="Semi-annual",IF(MOD((YEAR(EDATE(DATE(YEAR(TODAY()),MONTH(TODAY()),1),16))-YEAR(IF(ISNUMBER(Suppliers!F57),Suppliers!F57,DATE(YEAR(TODAY()),MONTH(TODAY()),1))))*12+MONTH(EDATE(DATE(YEAR(TODAY()),MONTH(TODAY()),1),16))-MONTH(IF(ISNUMBER(Suppliers!F57),Suppliers!F57,DATE(YEAR(TODAY()),MONTH(TODAY()),1))),6)=0,1,0),IF(Suppliers!E57="Annual",IF(MOD((YEAR(EDATE(DATE(YEAR(TODAY()),MONTH(TODAY()),1),16))-YEAR(IF(ISNUMBER(Suppliers!F57),Suppliers!F57,DATE(YEAR(TODAY()),MONTH(TODAY()),1))))*12+MONTH(EDATE(DATE(YEAR(TODAY()),MONTH(TODAY()),1),16))-MONTH(IF(ISNUMBER(Suppliers!F57),Suppliers!F57,DATE(YEAR(TODAY()),MONTH(TODAY()),1))),12)=0,1,0),IF(Suppliers!E57="One-time",IF(16=0,1,0),1)))))),"")</f>
        <v/>
      </c>
      <c r="W59" s="10" t="str">
        <f ca="1">IFERROR(IF(OR(17&gt;=$B$1,Suppliers!A57="",NOT(ISNUMBER(Suppliers!D57)),Suppliers!L57="Expired",Suppliers!L57="Terminate"),"",Suppliers!D57*-1*IF(Suppliers!E57="Monthly",IF(AND(ISNUMBER(Suppliers!G57),(YEAR(EDATE(DATE(YEAR(TODAY()),MONTH(TODAY()),1),17))*12+MONTH(EDATE(DATE(YEAR(TODAY()),MONTH(TODAY()),1),17)))&gt;(YEAR(Suppliers!G57)*12+MONTH(Suppliers!G57))),"",1),IF(Suppliers!E57="Quarterly",IF(MOD((YEAR(EDATE(DATE(YEAR(TODAY()),MONTH(TODAY()),1),17))-YEAR(IF(ISNUMBER(Suppliers!F57),Suppliers!F57,DATE(YEAR(TODAY()),MONTH(TODAY()),1))))*12+MONTH(EDATE(DATE(YEAR(TODAY()),MONTH(TODAY()),1),17))-MONTH(IF(ISNUMBER(Suppliers!F57),Suppliers!F57,DATE(YEAR(TODAY()),MONTH(TODAY()),1))),3)=0,1,0),IF(Suppliers!E57="Semi-annual",IF(MOD((YEAR(EDATE(DATE(YEAR(TODAY()),MONTH(TODAY()),1),17))-YEAR(IF(ISNUMBER(Suppliers!F57),Suppliers!F57,DATE(YEAR(TODAY()),MONTH(TODAY()),1))))*12+MONTH(EDATE(DATE(YEAR(TODAY()),MONTH(TODAY()),1),17))-MONTH(IF(ISNUMBER(Suppliers!F57),Suppliers!F57,DATE(YEAR(TODAY()),MONTH(TODAY()),1))),6)=0,1,0),IF(Suppliers!E57="Annual",IF(MOD((YEAR(EDATE(DATE(YEAR(TODAY()),MONTH(TODAY()),1),17))-YEAR(IF(ISNUMBER(Suppliers!F57),Suppliers!F57,DATE(YEAR(TODAY()),MONTH(TODAY()),1))))*12+MONTH(EDATE(DATE(YEAR(TODAY()),MONTH(TODAY()),1),17))-MONTH(IF(ISNUMBER(Suppliers!F57),Suppliers!F57,DATE(YEAR(TODAY()),MONTH(TODAY()),1))),12)=0,1,0),IF(Suppliers!E57="One-time",IF(17=0,1,0),1)))))),"")</f>
        <v/>
      </c>
      <c r="X59" s="10" t="str">
        <f ca="1">IFERROR(IF(OR(18&gt;=$B$1,Suppliers!A57="",NOT(ISNUMBER(Suppliers!D57)),Suppliers!L57="Expired",Suppliers!L57="Terminate"),"",Suppliers!D57*-1*IF(Suppliers!E57="Monthly",IF(AND(ISNUMBER(Suppliers!G57),(YEAR(EDATE(DATE(YEAR(TODAY()),MONTH(TODAY()),1),18))*12+MONTH(EDATE(DATE(YEAR(TODAY()),MONTH(TODAY()),1),18)))&gt;(YEAR(Suppliers!G57)*12+MONTH(Suppliers!G57))),"",1),IF(Suppliers!E57="Quarterly",IF(MOD((YEAR(EDATE(DATE(YEAR(TODAY()),MONTH(TODAY()),1),18))-YEAR(IF(ISNUMBER(Suppliers!F57),Suppliers!F57,DATE(YEAR(TODAY()),MONTH(TODAY()),1))))*12+MONTH(EDATE(DATE(YEAR(TODAY()),MONTH(TODAY()),1),18))-MONTH(IF(ISNUMBER(Suppliers!F57),Suppliers!F57,DATE(YEAR(TODAY()),MONTH(TODAY()),1))),3)=0,1,0),IF(Suppliers!E57="Semi-annual",IF(MOD((YEAR(EDATE(DATE(YEAR(TODAY()),MONTH(TODAY()),1),18))-YEAR(IF(ISNUMBER(Suppliers!F57),Suppliers!F57,DATE(YEAR(TODAY()),MONTH(TODAY()),1))))*12+MONTH(EDATE(DATE(YEAR(TODAY()),MONTH(TODAY()),1),18))-MONTH(IF(ISNUMBER(Suppliers!F57),Suppliers!F57,DATE(YEAR(TODAY()),MONTH(TODAY()),1))),6)=0,1,0),IF(Suppliers!E57="Annual",IF(MOD((YEAR(EDATE(DATE(YEAR(TODAY()),MONTH(TODAY()),1),18))-YEAR(IF(ISNUMBER(Suppliers!F57),Suppliers!F57,DATE(YEAR(TODAY()),MONTH(TODAY()),1))))*12+MONTH(EDATE(DATE(YEAR(TODAY()),MONTH(TODAY()),1),18))-MONTH(IF(ISNUMBER(Suppliers!F57),Suppliers!F57,DATE(YEAR(TODAY()),MONTH(TODAY()),1))),12)=0,1,0),IF(Suppliers!E57="One-time",IF(18=0,1,0),1)))))),"")</f>
        <v/>
      </c>
      <c r="Y59" s="10" t="str">
        <f ca="1">IFERROR(IF(OR(19&gt;=$B$1,Suppliers!A57="",NOT(ISNUMBER(Suppliers!D57)),Suppliers!L57="Expired",Suppliers!L57="Terminate"),"",Suppliers!D57*-1*IF(Suppliers!E57="Monthly",IF(AND(ISNUMBER(Suppliers!G57),(YEAR(EDATE(DATE(YEAR(TODAY()),MONTH(TODAY()),1),19))*12+MONTH(EDATE(DATE(YEAR(TODAY()),MONTH(TODAY()),1),19)))&gt;(YEAR(Suppliers!G57)*12+MONTH(Suppliers!G57))),"",1),IF(Suppliers!E57="Quarterly",IF(MOD((YEAR(EDATE(DATE(YEAR(TODAY()),MONTH(TODAY()),1),19))-YEAR(IF(ISNUMBER(Suppliers!F57),Suppliers!F57,DATE(YEAR(TODAY()),MONTH(TODAY()),1))))*12+MONTH(EDATE(DATE(YEAR(TODAY()),MONTH(TODAY()),1),19))-MONTH(IF(ISNUMBER(Suppliers!F57),Suppliers!F57,DATE(YEAR(TODAY()),MONTH(TODAY()),1))),3)=0,1,0),IF(Suppliers!E57="Semi-annual",IF(MOD((YEAR(EDATE(DATE(YEAR(TODAY()),MONTH(TODAY()),1),19))-YEAR(IF(ISNUMBER(Suppliers!F57),Suppliers!F57,DATE(YEAR(TODAY()),MONTH(TODAY()),1))))*12+MONTH(EDATE(DATE(YEAR(TODAY()),MONTH(TODAY()),1),19))-MONTH(IF(ISNUMBER(Suppliers!F57),Suppliers!F57,DATE(YEAR(TODAY()),MONTH(TODAY()),1))),6)=0,1,0),IF(Suppliers!E57="Annual",IF(MOD((YEAR(EDATE(DATE(YEAR(TODAY()),MONTH(TODAY()),1),19))-YEAR(IF(ISNUMBER(Suppliers!F57),Suppliers!F57,DATE(YEAR(TODAY()),MONTH(TODAY()),1))))*12+MONTH(EDATE(DATE(YEAR(TODAY()),MONTH(TODAY()),1),19))-MONTH(IF(ISNUMBER(Suppliers!F57),Suppliers!F57,DATE(YEAR(TODAY()),MONTH(TODAY()),1))),12)=0,1,0),IF(Suppliers!E57="One-time",IF(19=0,1,0),1)))))),"")</f>
        <v/>
      </c>
      <c r="Z59" s="10" t="str">
        <f ca="1">IFERROR(IF(OR(20&gt;=$B$1,Suppliers!A57="",NOT(ISNUMBER(Suppliers!D57)),Suppliers!L57="Expired",Suppliers!L57="Terminate"),"",Suppliers!D57*-1*IF(Suppliers!E57="Monthly",IF(AND(ISNUMBER(Suppliers!G57),(YEAR(EDATE(DATE(YEAR(TODAY()),MONTH(TODAY()),1),20))*12+MONTH(EDATE(DATE(YEAR(TODAY()),MONTH(TODAY()),1),20)))&gt;(YEAR(Suppliers!G57)*12+MONTH(Suppliers!G57))),"",1),IF(Suppliers!E57="Quarterly",IF(MOD((YEAR(EDATE(DATE(YEAR(TODAY()),MONTH(TODAY()),1),20))-YEAR(IF(ISNUMBER(Suppliers!F57),Suppliers!F57,DATE(YEAR(TODAY()),MONTH(TODAY()),1))))*12+MONTH(EDATE(DATE(YEAR(TODAY()),MONTH(TODAY()),1),20))-MONTH(IF(ISNUMBER(Suppliers!F57),Suppliers!F57,DATE(YEAR(TODAY()),MONTH(TODAY()),1))),3)=0,1,0),IF(Suppliers!E57="Semi-annual",IF(MOD((YEAR(EDATE(DATE(YEAR(TODAY()),MONTH(TODAY()),1),20))-YEAR(IF(ISNUMBER(Suppliers!F57),Suppliers!F57,DATE(YEAR(TODAY()),MONTH(TODAY()),1))))*12+MONTH(EDATE(DATE(YEAR(TODAY()),MONTH(TODAY()),1),20))-MONTH(IF(ISNUMBER(Suppliers!F57),Suppliers!F57,DATE(YEAR(TODAY()),MONTH(TODAY()),1))),6)=0,1,0),IF(Suppliers!E57="Annual",IF(MOD((YEAR(EDATE(DATE(YEAR(TODAY()),MONTH(TODAY()),1),20))-YEAR(IF(ISNUMBER(Suppliers!F57),Suppliers!F57,DATE(YEAR(TODAY()),MONTH(TODAY()),1))))*12+MONTH(EDATE(DATE(YEAR(TODAY()),MONTH(TODAY()),1),20))-MONTH(IF(ISNUMBER(Suppliers!F57),Suppliers!F57,DATE(YEAR(TODAY()),MONTH(TODAY()),1))),12)=0,1,0),IF(Suppliers!E57="One-time",IF(20=0,1,0),1)))))),"")</f>
        <v/>
      </c>
      <c r="AA59" s="10" t="str">
        <f ca="1">IFERROR(IF(OR(21&gt;=$B$1,Suppliers!A57="",NOT(ISNUMBER(Suppliers!D57)),Suppliers!L57="Expired",Suppliers!L57="Terminate"),"",Suppliers!D57*-1*IF(Suppliers!E57="Monthly",IF(AND(ISNUMBER(Suppliers!G57),(YEAR(EDATE(DATE(YEAR(TODAY()),MONTH(TODAY()),1),21))*12+MONTH(EDATE(DATE(YEAR(TODAY()),MONTH(TODAY()),1),21)))&gt;(YEAR(Suppliers!G57)*12+MONTH(Suppliers!G57))),"",1),IF(Suppliers!E57="Quarterly",IF(MOD((YEAR(EDATE(DATE(YEAR(TODAY()),MONTH(TODAY()),1),21))-YEAR(IF(ISNUMBER(Suppliers!F57),Suppliers!F57,DATE(YEAR(TODAY()),MONTH(TODAY()),1))))*12+MONTH(EDATE(DATE(YEAR(TODAY()),MONTH(TODAY()),1),21))-MONTH(IF(ISNUMBER(Suppliers!F57),Suppliers!F57,DATE(YEAR(TODAY()),MONTH(TODAY()),1))),3)=0,1,0),IF(Suppliers!E57="Semi-annual",IF(MOD((YEAR(EDATE(DATE(YEAR(TODAY()),MONTH(TODAY()),1),21))-YEAR(IF(ISNUMBER(Suppliers!F57),Suppliers!F57,DATE(YEAR(TODAY()),MONTH(TODAY()),1))))*12+MONTH(EDATE(DATE(YEAR(TODAY()),MONTH(TODAY()),1),21))-MONTH(IF(ISNUMBER(Suppliers!F57),Suppliers!F57,DATE(YEAR(TODAY()),MONTH(TODAY()),1))),6)=0,1,0),IF(Suppliers!E57="Annual",IF(MOD((YEAR(EDATE(DATE(YEAR(TODAY()),MONTH(TODAY()),1),21))-YEAR(IF(ISNUMBER(Suppliers!F57),Suppliers!F57,DATE(YEAR(TODAY()),MONTH(TODAY()),1))))*12+MONTH(EDATE(DATE(YEAR(TODAY()),MONTH(TODAY()),1),21))-MONTH(IF(ISNUMBER(Suppliers!F57),Suppliers!F57,DATE(YEAR(TODAY()),MONTH(TODAY()),1))),12)=0,1,0),IF(Suppliers!E57="One-time",IF(21=0,1,0),1)))))),"")</f>
        <v/>
      </c>
      <c r="AB59" s="10" t="str">
        <f ca="1">IFERROR(IF(OR(22&gt;=$B$1,Suppliers!A57="",NOT(ISNUMBER(Suppliers!D57)),Suppliers!L57="Expired",Suppliers!L57="Terminate"),"",Suppliers!D57*-1*IF(Suppliers!E57="Monthly",IF(AND(ISNUMBER(Suppliers!G57),(YEAR(EDATE(DATE(YEAR(TODAY()),MONTH(TODAY()),1),22))*12+MONTH(EDATE(DATE(YEAR(TODAY()),MONTH(TODAY()),1),22)))&gt;(YEAR(Suppliers!G57)*12+MONTH(Suppliers!G57))),"",1),IF(Suppliers!E57="Quarterly",IF(MOD((YEAR(EDATE(DATE(YEAR(TODAY()),MONTH(TODAY()),1),22))-YEAR(IF(ISNUMBER(Suppliers!F57),Suppliers!F57,DATE(YEAR(TODAY()),MONTH(TODAY()),1))))*12+MONTH(EDATE(DATE(YEAR(TODAY()),MONTH(TODAY()),1),22))-MONTH(IF(ISNUMBER(Suppliers!F57),Suppliers!F57,DATE(YEAR(TODAY()),MONTH(TODAY()),1))),3)=0,1,0),IF(Suppliers!E57="Semi-annual",IF(MOD((YEAR(EDATE(DATE(YEAR(TODAY()),MONTH(TODAY()),1),22))-YEAR(IF(ISNUMBER(Suppliers!F57),Suppliers!F57,DATE(YEAR(TODAY()),MONTH(TODAY()),1))))*12+MONTH(EDATE(DATE(YEAR(TODAY()),MONTH(TODAY()),1),22))-MONTH(IF(ISNUMBER(Suppliers!F57),Suppliers!F57,DATE(YEAR(TODAY()),MONTH(TODAY()),1))),6)=0,1,0),IF(Suppliers!E57="Annual",IF(MOD((YEAR(EDATE(DATE(YEAR(TODAY()),MONTH(TODAY()),1),22))-YEAR(IF(ISNUMBER(Suppliers!F57),Suppliers!F57,DATE(YEAR(TODAY()),MONTH(TODAY()),1))))*12+MONTH(EDATE(DATE(YEAR(TODAY()),MONTH(TODAY()),1),22))-MONTH(IF(ISNUMBER(Suppliers!F57),Suppliers!F57,DATE(YEAR(TODAY()),MONTH(TODAY()),1))),12)=0,1,0),IF(Suppliers!E57="One-time",IF(22=0,1,0),1)))))),"")</f>
        <v/>
      </c>
      <c r="AC59" s="10" t="str">
        <f ca="1">IFERROR(IF(OR(23&gt;=$B$1,Suppliers!A57="",NOT(ISNUMBER(Suppliers!D57)),Suppliers!L57="Expired",Suppliers!L57="Terminate"),"",Suppliers!D57*-1*IF(Suppliers!E57="Monthly",IF(AND(ISNUMBER(Suppliers!G57),(YEAR(EDATE(DATE(YEAR(TODAY()),MONTH(TODAY()),1),23))*12+MONTH(EDATE(DATE(YEAR(TODAY()),MONTH(TODAY()),1),23)))&gt;(YEAR(Suppliers!G57)*12+MONTH(Suppliers!G57))),"",1),IF(Suppliers!E57="Quarterly",IF(MOD((YEAR(EDATE(DATE(YEAR(TODAY()),MONTH(TODAY()),1),23))-YEAR(IF(ISNUMBER(Suppliers!F57),Suppliers!F57,DATE(YEAR(TODAY()),MONTH(TODAY()),1))))*12+MONTH(EDATE(DATE(YEAR(TODAY()),MONTH(TODAY()),1),23))-MONTH(IF(ISNUMBER(Suppliers!F57),Suppliers!F57,DATE(YEAR(TODAY()),MONTH(TODAY()),1))),3)=0,1,0),IF(Suppliers!E57="Semi-annual",IF(MOD((YEAR(EDATE(DATE(YEAR(TODAY()),MONTH(TODAY()),1),23))-YEAR(IF(ISNUMBER(Suppliers!F57),Suppliers!F57,DATE(YEAR(TODAY()),MONTH(TODAY()),1))))*12+MONTH(EDATE(DATE(YEAR(TODAY()),MONTH(TODAY()),1),23))-MONTH(IF(ISNUMBER(Suppliers!F57),Suppliers!F57,DATE(YEAR(TODAY()),MONTH(TODAY()),1))),6)=0,1,0),IF(Suppliers!E57="Annual",IF(MOD((YEAR(EDATE(DATE(YEAR(TODAY()),MONTH(TODAY()),1),23))-YEAR(IF(ISNUMBER(Suppliers!F57),Suppliers!F57,DATE(YEAR(TODAY()),MONTH(TODAY()),1))))*12+MONTH(EDATE(DATE(YEAR(TODAY()),MONTH(TODAY()),1),23))-MONTH(IF(ISNUMBER(Suppliers!F57),Suppliers!F57,DATE(YEAR(TODAY()),MONTH(TODAY()),1))),12)=0,1,0),IF(Suppliers!E57="One-time",IF(23=0,1,0),1)))))),"")</f>
        <v/>
      </c>
    </row>
    <row r="60" spans="1:30" ht="15" customHeight="1" x14ac:dyDescent="0.35">
      <c r="A60" s="4" t="s">
        <v>80</v>
      </c>
      <c r="B60" s="4" t="str">
        <f>IF(Suppliers!A58="","",Suppliers!A58)</f>
        <v/>
      </c>
      <c r="C60" s="10" t="str">
        <f>IF(Suppliers!C58="","",Suppliers!C58)</f>
        <v/>
      </c>
      <c r="D60" s="10" t="str">
        <f>IF(Suppliers!D58="","",Suppliers!D58)</f>
        <v/>
      </c>
      <c r="E60" s="4" t="str">
        <f>IF(Suppliers!E58="","",Suppliers!E58)</f>
        <v/>
      </c>
      <c r="F60" s="10" t="str">
        <f ca="1">IFERROR(IF(OR(0&gt;=$B$1,Suppliers!A58="",NOT(ISNUMBER(Suppliers!D58)),Suppliers!L58="Expired",Suppliers!L58="Terminate"),"",Suppliers!D58*-1*IF(Suppliers!E58="Monthly",IF(AND(ISNUMBER(Suppliers!G58),(YEAR(EDATE(DATE(YEAR(TODAY()),MONTH(TODAY()),1),0))*12+MONTH(EDATE(DATE(YEAR(TODAY()),MONTH(TODAY()),1),0)))&gt;(YEAR(Suppliers!G58)*12+MONTH(Suppliers!G58))),"",1),IF(Suppliers!E58="Quarterly",IF(MOD((YEAR(EDATE(DATE(YEAR(TODAY()),MONTH(TODAY()),1),0))-YEAR(IF(ISNUMBER(Suppliers!F58),Suppliers!F58,DATE(YEAR(TODAY()),MONTH(TODAY()),1))))*12+MONTH(EDATE(DATE(YEAR(TODAY()),MONTH(TODAY()),1),0))-MONTH(IF(ISNUMBER(Suppliers!F58),Suppliers!F58,DATE(YEAR(TODAY()),MONTH(TODAY()),1))),3)=0,1,0),IF(Suppliers!E58="Semi-annual",IF(MOD((YEAR(EDATE(DATE(YEAR(TODAY()),MONTH(TODAY()),1),0))-YEAR(IF(ISNUMBER(Suppliers!F58),Suppliers!F58,DATE(YEAR(TODAY()),MONTH(TODAY()),1))))*12+MONTH(EDATE(DATE(YEAR(TODAY()),MONTH(TODAY()),1),0))-MONTH(IF(ISNUMBER(Suppliers!F58),Suppliers!F58,DATE(YEAR(TODAY()),MONTH(TODAY()),1))),6)=0,1,0),IF(Suppliers!E58="Annual",IF(MOD((YEAR(EDATE(DATE(YEAR(TODAY()),MONTH(TODAY()),1),0))-YEAR(IF(ISNUMBER(Suppliers!F58),Suppliers!F58,DATE(YEAR(TODAY()),MONTH(TODAY()),1))))*12+MONTH(EDATE(DATE(YEAR(TODAY()),MONTH(TODAY()),1),0))-MONTH(IF(ISNUMBER(Suppliers!F58),Suppliers!F58,DATE(YEAR(TODAY()),MONTH(TODAY()),1))),12)=0,1,0),IF(Suppliers!E58="One-time",IF(0=0,1,0),1)))))),"")</f>
        <v/>
      </c>
      <c r="G60" s="10" t="str">
        <f ca="1">IFERROR(IF(OR(1&gt;=$B$1,Suppliers!A58="",NOT(ISNUMBER(Suppliers!D58)),Suppliers!L58="Expired",Suppliers!L58="Terminate"),"",Suppliers!D58*-1*IF(Suppliers!E58="Monthly",IF(AND(ISNUMBER(Suppliers!G58),(YEAR(EDATE(DATE(YEAR(TODAY()),MONTH(TODAY()),1),1))*12+MONTH(EDATE(DATE(YEAR(TODAY()),MONTH(TODAY()),1),1)))&gt;(YEAR(Suppliers!G58)*12+MONTH(Suppliers!G58))),"",1),IF(Suppliers!E58="Quarterly",IF(MOD((YEAR(EDATE(DATE(YEAR(TODAY()),MONTH(TODAY()),1),1))-YEAR(IF(ISNUMBER(Suppliers!F58),Suppliers!F58,DATE(YEAR(TODAY()),MONTH(TODAY()),1))))*12+MONTH(EDATE(DATE(YEAR(TODAY()),MONTH(TODAY()),1),1))-MONTH(IF(ISNUMBER(Suppliers!F58),Suppliers!F58,DATE(YEAR(TODAY()),MONTH(TODAY()),1))),3)=0,1,0),IF(Suppliers!E58="Semi-annual",IF(MOD((YEAR(EDATE(DATE(YEAR(TODAY()),MONTH(TODAY()),1),1))-YEAR(IF(ISNUMBER(Suppliers!F58),Suppliers!F58,DATE(YEAR(TODAY()),MONTH(TODAY()),1))))*12+MONTH(EDATE(DATE(YEAR(TODAY()),MONTH(TODAY()),1),1))-MONTH(IF(ISNUMBER(Suppliers!F58),Suppliers!F58,DATE(YEAR(TODAY()),MONTH(TODAY()),1))),6)=0,1,0),IF(Suppliers!E58="Annual",IF(MOD((YEAR(EDATE(DATE(YEAR(TODAY()),MONTH(TODAY()),1),1))-YEAR(IF(ISNUMBER(Suppliers!F58),Suppliers!F58,DATE(YEAR(TODAY()),MONTH(TODAY()),1))))*12+MONTH(EDATE(DATE(YEAR(TODAY()),MONTH(TODAY()),1),1))-MONTH(IF(ISNUMBER(Suppliers!F58),Suppliers!F58,DATE(YEAR(TODAY()),MONTH(TODAY()),1))),12)=0,1,0),IF(Suppliers!E58="One-time",IF(1=0,1,0),1)))))),"")</f>
        <v/>
      </c>
      <c r="H60" s="10" t="str">
        <f ca="1">IFERROR(IF(OR(2&gt;=$B$1,Suppliers!A58="",NOT(ISNUMBER(Suppliers!D58)),Suppliers!L58="Expired",Suppliers!L58="Terminate"),"",Suppliers!D58*-1*IF(Suppliers!E58="Monthly",IF(AND(ISNUMBER(Suppliers!G58),(YEAR(EDATE(DATE(YEAR(TODAY()),MONTH(TODAY()),1),2))*12+MONTH(EDATE(DATE(YEAR(TODAY()),MONTH(TODAY()),1),2)))&gt;(YEAR(Suppliers!G58)*12+MONTH(Suppliers!G58))),"",1),IF(Suppliers!E58="Quarterly",IF(MOD((YEAR(EDATE(DATE(YEAR(TODAY()),MONTH(TODAY()),1),2))-YEAR(IF(ISNUMBER(Suppliers!F58),Suppliers!F58,DATE(YEAR(TODAY()),MONTH(TODAY()),1))))*12+MONTH(EDATE(DATE(YEAR(TODAY()),MONTH(TODAY()),1),2))-MONTH(IF(ISNUMBER(Suppliers!F58),Suppliers!F58,DATE(YEAR(TODAY()),MONTH(TODAY()),1))),3)=0,1,0),IF(Suppliers!E58="Semi-annual",IF(MOD((YEAR(EDATE(DATE(YEAR(TODAY()),MONTH(TODAY()),1),2))-YEAR(IF(ISNUMBER(Suppliers!F58),Suppliers!F58,DATE(YEAR(TODAY()),MONTH(TODAY()),1))))*12+MONTH(EDATE(DATE(YEAR(TODAY()),MONTH(TODAY()),1),2))-MONTH(IF(ISNUMBER(Suppliers!F58),Suppliers!F58,DATE(YEAR(TODAY()),MONTH(TODAY()),1))),6)=0,1,0),IF(Suppliers!E58="Annual",IF(MOD((YEAR(EDATE(DATE(YEAR(TODAY()),MONTH(TODAY()),1),2))-YEAR(IF(ISNUMBER(Suppliers!F58),Suppliers!F58,DATE(YEAR(TODAY()),MONTH(TODAY()),1))))*12+MONTH(EDATE(DATE(YEAR(TODAY()),MONTH(TODAY()),1),2))-MONTH(IF(ISNUMBER(Suppliers!F58),Suppliers!F58,DATE(YEAR(TODAY()),MONTH(TODAY()),1))),12)=0,1,0),IF(Suppliers!E58="One-time",IF(2=0,1,0),1)))))),"")</f>
        <v/>
      </c>
      <c r="I60" s="10" t="str">
        <f ca="1">IFERROR(IF(OR(3&gt;=$B$1,Suppliers!A58="",NOT(ISNUMBER(Suppliers!D58)),Suppliers!L58="Expired",Suppliers!L58="Terminate"),"",Suppliers!D58*-1*IF(Suppliers!E58="Monthly",IF(AND(ISNUMBER(Suppliers!G58),(YEAR(EDATE(DATE(YEAR(TODAY()),MONTH(TODAY()),1),3))*12+MONTH(EDATE(DATE(YEAR(TODAY()),MONTH(TODAY()),1),3)))&gt;(YEAR(Suppliers!G58)*12+MONTH(Suppliers!G58))),"",1),IF(Suppliers!E58="Quarterly",IF(MOD((YEAR(EDATE(DATE(YEAR(TODAY()),MONTH(TODAY()),1),3))-YEAR(IF(ISNUMBER(Suppliers!F58),Suppliers!F58,DATE(YEAR(TODAY()),MONTH(TODAY()),1))))*12+MONTH(EDATE(DATE(YEAR(TODAY()),MONTH(TODAY()),1),3))-MONTH(IF(ISNUMBER(Suppliers!F58),Suppliers!F58,DATE(YEAR(TODAY()),MONTH(TODAY()),1))),3)=0,1,0),IF(Suppliers!E58="Semi-annual",IF(MOD((YEAR(EDATE(DATE(YEAR(TODAY()),MONTH(TODAY()),1),3))-YEAR(IF(ISNUMBER(Suppliers!F58),Suppliers!F58,DATE(YEAR(TODAY()),MONTH(TODAY()),1))))*12+MONTH(EDATE(DATE(YEAR(TODAY()),MONTH(TODAY()),1),3))-MONTH(IF(ISNUMBER(Suppliers!F58),Suppliers!F58,DATE(YEAR(TODAY()),MONTH(TODAY()),1))),6)=0,1,0),IF(Suppliers!E58="Annual",IF(MOD((YEAR(EDATE(DATE(YEAR(TODAY()),MONTH(TODAY()),1),3))-YEAR(IF(ISNUMBER(Suppliers!F58),Suppliers!F58,DATE(YEAR(TODAY()),MONTH(TODAY()),1))))*12+MONTH(EDATE(DATE(YEAR(TODAY()),MONTH(TODAY()),1),3))-MONTH(IF(ISNUMBER(Suppliers!F58),Suppliers!F58,DATE(YEAR(TODAY()),MONTH(TODAY()),1))),12)=0,1,0),IF(Suppliers!E58="One-time",IF(3=0,1,0),1)))))),"")</f>
        <v/>
      </c>
      <c r="J60" s="10" t="str">
        <f ca="1">IFERROR(IF(OR(4&gt;=$B$1,Suppliers!A58="",NOT(ISNUMBER(Suppliers!D58)),Suppliers!L58="Expired",Suppliers!L58="Terminate"),"",Suppliers!D58*-1*IF(Suppliers!E58="Monthly",IF(AND(ISNUMBER(Suppliers!G58),(YEAR(EDATE(DATE(YEAR(TODAY()),MONTH(TODAY()),1),4))*12+MONTH(EDATE(DATE(YEAR(TODAY()),MONTH(TODAY()),1),4)))&gt;(YEAR(Suppliers!G58)*12+MONTH(Suppliers!G58))),"",1),IF(Suppliers!E58="Quarterly",IF(MOD((YEAR(EDATE(DATE(YEAR(TODAY()),MONTH(TODAY()),1),4))-YEAR(IF(ISNUMBER(Suppliers!F58),Suppliers!F58,DATE(YEAR(TODAY()),MONTH(TODAY()),1))))*12+MONTH(EDATE(DATE(YEAR(TODAY()),MONTH(TODAY()),1),4))-MONTH(IF(ISNUMBER(Suppliers!F58),Suppliers!F58,DATE(YEAR(TODAY()),MONTH(TODAY()),1))),3)=0,1,0),IF(Suppliers!E58="Semi-annual",IF(MOD((YEAR(EDATE(DATE(YEAR(TODAY()),MONTH(TODAY()),1),4))-YEAR(IF(ISNUMBER(Suppliers!F58),Suppliers!F58,DATE(YEAR(TODAY()),MONTH(TODAY()),1))))*12+MONTH(EDATE(DATE(YEAR(TODAY()),MONTH(TODAY()),1),4))-MONTH(IF(ISNUMBER(Suppliers!F58),Suppliers!F58,DATE(YEAR(TODAY()),MONTH(TODAY()),1))),6)=0,1,0),IF(Suppliers!E58="Annual",IF(MOD((YEAR(EDATE(DATE(YEAR(TODAY()),MONTH(TODAY()),1),4))-YEAR(IF(ISNUMBER(Suppliers!F58),Suppliers!F58,DATE(YEAR(TODAY()),MONTH(TODAY()),1))))*12+MONTH(EDATE(DATE(YEAR(TODAY()),MONTH(TODAY()),1),4))-MONTH(IF(ISNUMBER(Suppliers!F58),Suppliers!F58,DATE(YEAR(TODAY()),MONTH(TODAY()),1))),12)=0,1,0),IF(Suppliers!E58="One-time",IF(4=0,1,0),1)))))),"")</f>
        <v/>
      </c>
      <c r="K60" s="10" t="str">
        <f ca="1">IFERROR(IF(OR(5&gt;=$B$1,Suppliers!A58="",NOT(ISNUMBER(Suppliers!D58)),Suppliers!L58="Expired",Suppliers!L58="Terminate"),"",Suppliers!D58*-1*IF(Suppliers!E58="Monthly",IF(AND(ISNUMBER(Suppliers!G58),(YEAR(EDATE(DATE(YEAR(TODAY()),MONTH(TODAY()),1),5))*12+MONTH(EDATE(DATE(YEAR(TODAY()),MONTH(TODAY()),1),5)))&gt;(YEAR(Suppliers!G58)*12+MONTH(Suppliers!G58))),"",1),IF(Suppliers!E58="Quarterly",IF(MOD((YEAR(EDATE(DATE(YEAR(TODAY()),MONTH(TODAY()),1),5))-YEAR(IF(ISNUMBER(Suppliers!F58),Suppliers!F58,DATE(YEAR(TODAY()),MONTH(TODAY()),1))))*12+MONTH(EDATE(DATE(YEAR(TODAY()),MONTH(TODAY()),1),5))-MONTH(IF(ISNUMBER(Suppliers!F58),Suppliers!F58,DATE(YEAR(TODAY()),MONTH(TODAY()),1))),3)=0,1,0),IF(Suppliers!E58="Semi-annual",IF(MOD((YEAR(EDATE(DATE(YEAR(TODAY()),MONTH(TODAY()),1),5))-YEAR(IF(ISNUMBER(Suppliers!F58),Suppliers!F58,DATE(YEAR(TODAY()),MONTH(TODAY()),1))))*12+MONTH(EDATE(DATE(YEAR(TODAY()),MONTH(TODAY()),1),5))-MONTH(IF(ISNUMBER(Suppliers!F58),Suppliers!F58,DATE(YEAR(TODAY()),MONTH(TODAY()),1))),6)=0,1,0),IF(Suppliers!E58="Annual",IF(MOD((YEAR(EDATE(DATE(YEAR(TODAY()),MONTH(TODAY()),1),5))-YEAR(IF(ISNUMBER(Suppliers!F58),Suppliers!F58,DATE(YEAR(TODAY()),MONTH(TODAY()),1))))*12+MONTH(EDATE(DATE(YEAR(TODAY()),MONTH(TODAY()),1),5))-MONTH(IF(ISNUMBER(Suppliers!F58),Suppliers!F58,DATE(YEAR(TODAY()),MONTH(TODAY()),1))),12)=0,1,0),IF(Suppliers!E58="One-time",IF(5=0,1,0),1)))))),"")</f>
        <v/>
      </c>
      <c r="L60" s="10" t="str">
        <f ca="1">IFERROR(IF(OR(6&gt;=$B$1,Suppliers!A58="",NOT(ISNUMBER(Suppliers!D58)),Suppliers!L58="Expired",Suppliers!L58="Terminate"),"",Suppliers!D58*-1*IF(Suppliers!E58="Monthly",IF(AND(ISNUMBER(Suppliers!G58),(YEAR(EDATE(DATE(YEAR(TODAY()),MONTH(TODAY()),1),6))*12+MONTH(EDATE(DATE(YEAR(TODAY()),MONTH(TODAY()),1),6)))&gt;(YEAR(Suppliers!G58)*12+MONTH(Suppliers!G58))),"",1),IF(Suppliers!E58="Quarterly",IF(MOD((YEAR(EDATE(DATE(YEAR(TODAY()),MONTH(TODAY()),1),6))-YEAR(IF(ISNUMBER(Suppliers!F58),Suppliers!F58,DATE(YEAR(TODAY()),MONTH(TODAY()),1))))*12+MONTH(EDATE(DATE(YEAR(TODAY()),MONTH(TODAY()),1),6))-MONTH(IF(ISNUMBER(Suppliers!F58),Suppliers!F58,DATE(YEAR(TODAY()),MONTH(TODAY()),1))),3)=0,1,0),IF(Suppliers!E58="Semi-annual",IF(MOD((YEAR(EDATE(DATE(YEAR(TODAY()),MONTH(TODAY()),1),6))-YEAR(IF(ISNUMBER(Suppliers!F58),Suppliers!F58,DATE(YEAR(TODAY()),MONTH(TODAY()),1))))*12+MONTH(EDATE(DATE(YEAR(TODAY()),MONTH(TODAY()),1),6))-MONTH(IF(ISNUMBER(Suppliers!F58),Suppliers!F58,DATE(YEAR(TODAY()),MONTH(TODAY()),1))),6)=0,1,0),IF(Suppliers!E58="Annual",IF(MOD((YEAR(EDATE(DATE(YEAR(TODAY()),MONTH(TODAY()),1),6))-YEAR(IF(ISNUMBER(Suppliers!F58),Suppliers!F58,DATE(YEAR(TODAY()),MONTH(TODAY()),1))))*12+MONTH(EDATE(DATE(YEAR(TODAY()),MONTH(TODAY()),1),6))-MONTH(IF(ISNUMBER(Suppliers!F58),Suppliers!F58,DATE(YEAR(TODAY()),MONTH(TODAY()),1))),12)=0,1,0),IF(Suppliers!E58="One-time",IF(6=0,1,0),1)))))),"")</f>
        <v/>
      </c>
      <c r="M60" s="10" t="str">
        <f ca="1">IFERROR(IF(OR(7&gt;=$B$1,Suppliers!A58="",NOT(ISNUMBER(Suppliers!D58)),Suppliers!L58="Expired",Suppliers!L58="Terminate"),"",Suppliers!D58*-1*IF(Suppliers!E58="Monthly",IF(AND(ISNUMBER(Suppliers!G58),(YEAR(EDATE(DATE(YEAR(TODAY()),MONTH(TODAY()),1),7))*12+MONTH(EDATE(DATE(YEAR(TODAY()),MONTH(TODAY()),1),7)))&gt;(YEAR(Suppliers!G58)*12+MONTH(Suppliers!G58))),"",1),IF(Suppliers!E58="Quarterly",IF(MOD((YEAR(EDATE(DATE(YEAR(TODAY()),MONTH(TODAY()),1),7))-YEAR(IF(ISNUMBER(Suppliers!F58),Suppliers!F58,DATE(YEAR(TODAY()),MONTH(TODAY()),1))))*12+MONTH(EDATE(DATE(YEAR(TODAY()),MONTH(TODAY()),1),7))-MONTH(IF(ISNUMBER(Suppliers!F58),Suppliers!F58,DATE(YEAR(TODAY()),MONTH(TODAY()),1))),3)=0,1,0),IF(Suppliers!E58="Semi-annual",IF(MOD((YEAR(EDATE(DATE(YEAR(TODAY()),MONTH(TODAY()),1),7))-YEAR(IF(ISNUMBER(Suppliers!F58),Suppliers!F58,DATE(YEAR(TODAY()),MONTH(TODAY()),1))))*12+MONTH(EDATE(DATE(YEAR(TODAY()),MONTH(TODAY()),1),7))-MONTH(IF(ISNUMBER(Suppliers!F58),Suppliers!F58,DATE(YEAR(TODAY()),MONTH(TODAY()),1))),6)=0,1,0),IF(Suppliers!E58="Annual",IF(MOD((YEAR(EDATE(DATE(YEAR(TODAY()),MONTH(TODAY()),1),7))-YEAR(IF(ISNUMBER(Suppliers!F58),Suppliers!F58,DATE(YEAR(TODAY()),MONTH(TODAY()),1))))*12+MONTH(EDATE(DATE(YEAR(TODAY()),MONTH(TODAY()),1),7))-MONTH(IF(ISNUMBER(Suppliers!F58),Suppliers!F58,DATE(YEAR(TODAY()),MONTH(TODAY()),1))),12)=0,1,0),IF(Suppliers!E58="One-time",IF(7=0,1,0),1)))))),"")</f>
        <v/>
      </c>
      <c r="N60" s="10" t="str">
        <f ca="1">IFERROR(IF(OR(8&gt;=$B$1,Suppliers!A58="",NOT(ISNUMBER(Suppliers!D58)),Suppliers!L58="Expired",Suppliers!L58="Terminate"),"",Suppliers!D58*-1*IF(Suppliers!E58="Monthly",IF(AND(ISNUMBER(Suppliers!G58),(YEAR(EDATE(DATE(YEAR(TODAY()),MONTH(TODAY()),1),8))*12+MONTH(EDATE(DATE(YEAR(TODAY()),MONTH(TODAY()),1),8)))&gt;(YEAR(Suppliers!G58)*12+MONTH(Suppliers!G58))),"",1),IF(Suppliers!E58="Quarterly",IF(MOD((YEAR(EDATE(DATE(YEAR(TODAY()),MONTH(TODAY()),1),8))-YEAR(IF(ISNUMBER(Suppliers!F58),Suppliers!F58,DATE(YEAR(TODAY()),MONTH(TODAY()),1))))*12+MONTH(EDATE(DATE(YEAR(TODAY()),MONTH(TODAY()),1),8))-MONTH(IF(ISNUMBER(Suppliers!F58),Suppliers!F58,DATE(YEAR(TODAY()),MONTH(TODAY()),1))),3)=0,1,0),IF(Suppliers!E58="Semi-annual",IF(MOD((YEAR(EDATE(DATE(YEAR(TODAY()),MONTH(TODAY()),1),8))-YEAR(IF(ISNUMBER(Suppliers!F58),Suppliers!F58,DATE(YEAR(TODAY()),MONTH(TODAY()),1))))*12+MONTH(EDATE(DATE(YEAR(TODAY()),MONTH(TODAY()),1),8))-MONTH(IF(ISNUMBER(Suppliers!F58),Suppliers!F58,DATE(YEAR(TODAY()),MONTH(TODAY()),1))),6)=0,1,0),IF(Suppliers!E58="Annual",IF(MOD((YEAR(EDATE(DATE(YEAR(TODAY()),MONTH(TODAY()),1),8))-YEAR(IF(ISNUMBER(Suppliers!F58),Suppliers!F58,DATE(YEAR(TODAY()),MONTH(TODAY()),1))))*12+MONTH(EDATE(DATE(YEAR(TODAY()),MONTH(TODAY()),1),8))-MONTH(IF(ISNUMBER(Suppliers!F58),Suppliers!F58,DATE(YEAR(TODAY()),MONTH(TODAY()),1))),12)=0,1,0),IF(Suppliers!E58="One-time",IF(8=0,1,0),1)))))),"")</f>
        <v/>
      </c>
      <c r="O60" s="10" t="str">
        <f ca="1">IFERROR(IF(OR(9&gt;=$B$1,Suppliers!A58="",NOT(ISNUMBER(Suppliers!D58)),Suppliers!L58="Expired",Suppliers!L58="Terminate"),"",Suppliers!D58*-1*IF(Suppliers!E58="Monthly",IF(AND(ISNUMBER(Suppliers!G58),(YEAR(EDATE(DATE(YEAR(TODAY()),MONTH(TODAY()),1),9))*12+MONTH(EDATE(DATE(YEAR(TODAY()),MONTH(TODAY()),1),9)))&gt;(YEAR(Suppliers!G58)*12+MONTH(Suppliers!G58))),"",1),IF(Suppliers!E58="Quarterly",IF(MOD((YEAR(EDATE(DATE(YEAR(TODAY()),MONTH(TODAY()),1),9))-YEAR(IF(ISNUMBER(Suppliers!F58),Suppliers!F58,DATE(YEAR(TODAY()),MONTH(TODAY()),1))))*12+MONTH(EDATE(DATE(YEAR(TODAY()),MONTH(TODAY()),1),9))-MONTH(IF(ISNUMBER(Suppliers!F58),Suppliers!F58,DATE(YEAR(TODAY()),MONTH(TODAY()),1))),3)=0,1,0),IF(Suppliers!E58="Semi-annual",IF(MOD((YEAR(EDATE(DATE(YEAR(TODAY()),MONTH(TODAY()),1),9))-YEAR(IF(ISNUMBER(Suppliers!F58),Suppliers!F58,DATE(YEAR(TODAY()),MONTH(TODAY()),1))))*12+MONTH(EDATE(DATE(YEAR(TODAY()),MONTH(TODAY()),1),9))-MONTH(IF(ISNUMBER(Suppliers!F58),Suppliers!F58,DATE(YEAR(TODAY()),MONTH(TODAY()),1))),6)=0,1,0),IF(Suppliers!E58="Annual",IF(MOD((YEAR(EDATE(DATE(YEAR(TODAY()),MONTH(TODAY()),1),9))-YEAR(IF(ISNUMBER(Suppliers!F58),Suppliers!F58,DATE(YEAR(TODAY()),MONTH(TODAY()),1))))*12+MONTH(EDATE(DATE(YEAR(TODAY()),MONTH(TODAY()),1),9))-MONTH(IF(ISNUMBER(Suppliers!F58),Suppliers!F58,DATE(YEAR(TODAY()),MONTH(TODAY()),1))),12)=0,1,0),IF(Suppliers!E58="One-time",IF(9=0,1,0),1)))))),"")</f>
        <v/>
      </c>
      <c r="P60" s="10" t="str">
        <f ca="1">IFERROR(IF(OR(10&gt;=$B$1,Suppliers!A58="",NOT(ISNUMBER(Suppliers!D58)),Suppliers!L58="Expired",Suppliers!L58="Terminate"),"",Suppliers!D58*-1*IF(Suppliers!E58="Monthly",IF(AND(ISNUMBER(Suppliers!G58),(YEAR(EDATE(DATE(YEAR(TODAY()),MONTH(TODAY()),1),10))*12+MONTH(EDATE(DATE(YEAR(TODAY()),MONTH(TODAY()),1),10)))&gt;(YEAR(Suppliers!G58)*12+MONTH(Suppliers!G58))),"",1),IF(Suppliers!E58="Quarterly",IF(MOD((YEAR(EDATE(DATE(YEAR(TODAY()),MONTH(TODAY()),1),10))-YEAR(IF(ISNUMBER(Suppliers!F58),Suppliers!F58,DATE(YEAR(TODAY()),MONTH(TODAY()),1))))*12+MONTH(EDATE(DATE(YEAR(TODAY()),MONTH(TODAY()),1),10))-MONTH(IF(ISNUMBER(Suppliers!F58),Suppliers!F58,DATE(YEAR(TODAY()),MONTH(TODAY()),1))),3)=0,1,0),IF(Suppliers!E58="Semi-annual",IF(MOD((YEAR(EDATE(DATE(YEAR(TODAY()),MONTH(TODAY()),1),10))-YEAR(IF(ISNUMBER(Suppliers!F58),Suppliers!F58,DATE(YEAR(TODAY()),MONTH(TODAY()),1))))*12+MONTH(EDATE(DATE(YEAR(TODAY()),MONTH(TODAY()),1),10))-MONTH(IF(ISNUMBER(Suppliers!F58),Suppliers!F58,DATE(YEAR(TODAY()),MONTH(TODAY()),1))),6)=0,1,0),IF(Suppliers!E58="Annual",IF(MOD((YEAR(EDATE(DATE(YEAR(TODAY()),MONTH(TODAY()),1),10))-YEAR(IF(ISNUMBER(Suppliers!F58),Suppliers!F58,DATE(YEAR(TODAY()),MONTH(TODAY()),1))))*12+MONTH(EDATE(DATE(YEAR(TODAY()),MONTH(TODAY()),1),10))-MONTH(IF(ISNUMBER(Suppliers!F58),Suppliers!F58,DATE(YEAR(TODAY()),MONTH(TODAY()),1))),12)=0,1,0),IF(Suppliers!E58="One-time",IF(10=0,1,0),1)))))),"")</f>
        <v/>
      </c>
      <c r="Q60" s="10" t="str">
        <f ca="1">IFERROR(IF(OR(11&gt;=$B$1,Suppliers!A58="",NOT(ISNUMBER(Suppliers!D58)),Suppliers!L58="Expired",Suppliers!L58="Terminate"),"",Suppliers!D58*-1*IF(Suppliers!E58="Monthly",IF(AND(ISNUMBER(Suppliers!G58),(YEAR(EDATE(DATE(YEAR(TODAY()),MONTH(TODAY()),1),11))*12+MONTH(EDATE(DATE(YEAR(TODAY()),MONTH(TODAY()),1),11)))&gt;(YEAR(Suppliers!G58)*12+MONTH(Suppliers!G58))),"",1),IF(Suppliers!E58="Quarterly",IF(MOD((YEAR(EDATE(DATE(YEAR(TODAY()),MONTH(TODAY()),1),11))-YEAR(IF(ISNUMBER(Suppliers!F58),Suppliers!F58,DATE(YEAR(TODAY()),MONTH(TODAY()),1))))*12+MONTH(EDATE(DATE(YEAR(TODAY()),MONTH(TODAY()),1),11))-MONTH(IF(ISNUMBER(Suppliers!F58),Suppliers!F58,DATE(YEAR(TODAY()),MONTH(TODAY()),1))),3)=0,1,0),IF(Suppliers!E58="Semi-annual",IF(MOD((YEAR(EDATE(DATE(YEAR(TODAY()),MONTH(TODAY()),1),11))-YEAR(IF(ISNUMBER(Suppliers!F58),Suppliers!F58,DATE(YEAR(TODAY()),MONTH(TODAY()),1))))*12+MONTH(EDATE(DATE(YEAR(TODAY()),MONTH(TODAY()),1),11))-MONTH(IF(ISNUMBER(Suppliers!F58),Suppliers!F58,DATE(YEAR(TODAY()),MONTH(TODAY()),1))),6)=0,1,0),IF(Suppliers!E58="Annual",IF(MOD((YEAR(EDATE(DATE(YEAR(TODAY()),MONTH(TODAY()),1),11))-YEAR(IF(ISNUMBER(Suppliers!F58),Suppliers!F58,DATE(YEAR(TODAY()),MONTH(TODAY()),1))))*12+MONTH(EDATE(DATE(YEAR(TODAY()),MONTH(TODAY()),1),11))-MONTH(IF(ISNUMBER(Suppliers!F58),Suppliers!F58,DATE(YEAR(TODAY()),MONTH(TODAY()),1))),12)=0,1,0),IF(Suppliers!E58="One-time",IF(11=0,1,0),1)))))),"")</f>
        <v/>
      </c>
      <c r="R60" s="10" t="str">
        <f ca="1">IFERROR(IF(OR(12&gt;=$B$1,Suppliers!A58="",NOT(ISNUMBER(Suppliers!D58)),Suppliers!L58="Expired",Suppliers!L58="Terminate"),"",Suppliers!D58*-1*IF(Suppliers!E58="Monthly",IF(AND(ISNUMBER(Suppliers!G58),(YEAR(EDATE(DATE(YEAR(TODAY()),MONTH(TODAY()),1),12))*12+MONTH(EDATE(DATE(YEAR(TODAY()),MONTH(TODAY()),1),12)))&gt;(YEAR(Suppliers!G58)*12+MONTH(Suppliers!G58))),"",1),IF(Suppliers!E58="Quarterly",IF(MOD((YEAR(EDATE(DATE(YEAR(TODAY()),MONTH(TODAY()),1),12))-YEAR(IF(ISNUMBER(Suppliers!F58),Suppliers!F58,DATE(YEAR(TODAY()),MONTH(TODAY()),1))))*12+MONTH(EDATE(DATE(YEAR(TODAY()),MONTH(TODAY()),1),12))-MONTH(IF(ISNUMBER(Suppliers!F58),Suppliers!F58,DATE(YEAR(TODAY()),MONTH(TODAY()),1))),3)=0,1,0),IF(Suppliers!E58="Semi-annual",IF(MOD((YEAR(EDATE(DATE(YEAR(TODAY()),MONTH(TODAY()),1),12))-YEAR(IF(ISNUMBER(Suppliers!F58),Suppliers!F58,DATE(YEAR(TODAY()),MONTH(TODAY()),1))))*12+MONTH(EDATE(DATE(YEAR(TODAY()),MONTH(TODAY()),1),12))-MONTH(IF(ISNUMBER(Suppliers!F58),Suppliers!F58,DATE(YEAR(TODAY()),MONTH(TODAY()),1))),6)=0,1,0),IF(Suppliers!E58="Annual",IF(MOD((YEAR(EDATE(DATE(YEAR(TODAY()),MONTH(TODAY()),1),12))-YEAR(IF(ISNUMBER(Suppliers!F58),Suppliers!F58,DATE(YEAR(TODAY()),MONTH(TODAY()),1))))*12+MONTH(EDATE(DATE(YEAR(TODAY()),MONTH(TODAY()),1),12))-MONTH(IF(ISNUMBER(Suppliers!F58),Suppliers!F58,DATE(YEAR(TODAY()),MONTH(TODAY()),1))),12)=0,1,0),IF(Suppliers!E58="One-time",IF(12=0,1,0),1)))))),"")</f>
        <v/>
      </c>
      <c r="S60" s="10" t="str">
        <f ca="1">IFERROR(IF(OR(13&gt;=$B$1,Suppliers!A58="",NOT(ISNUMBER(Suppliers!D58)),Suppliers!L58="Expired",Suppliers!L58="Terminate"),"",Suppliers!D58*-1*IF(Suppliers!E58="Monthly",IF(AND(ISNUMBER(Suppliers!G58),(YEAR(EDATE(DATE(YEAR(TODAY()),MONTH(TODAY()),1),13))*12+MONTH(EDATE(DATE(YEAR(TODAY()),MONTH(TODAY()),1),13)))&gt;(YEAR(Suppliers!G58)*12+MONTH(Suppliers!G58))),"",1),IF(Suppliers!E58="Quarterly",IF(MOD((YEAR(EDATE(DATE(YEAR(TODAY()),MONTH(TODAY()),1),13))-YEAR(IF(ISNUMBER(Suppliers!F58),Suppliers!F58,DATE(YEAR(TODAY()),MONTH(TODAY()),1))))*12+MONTH(EDATE(DATE(YEAR(TODAY()),MONTH(TODAY()),1),13))-MONTH(IF(ISNUMBER(Suppliers!F58),Suppliers!F58,DATE(YEAR(TODAY()),MONTH(TODAY()),1))),3)=0,1,0),IF(Suppliers!E58="Semi-annual",IF(MOD((YEAR(EDATE(DATE(YEAR(TODAY()),MONTH(TODAY()),1),13))-YEAR(IF(ISNUMBER(Suppliers!F58),Suppliers!F58,DATE(YEAR(TODAY()),MONTH(TODAY()),1))))*12+MONTH(EDATE(DATE(YEAR(TODAY()),MONTH(TODAY()),1),13))-MONTH(IF(ISNUMBER(Suppliers!F58),Suppliers!F58,DATE(YEAR(TODAY()),MONTH(TODAY()),1))),6)=0,1,0),IF(Suppliers!E58="Annual",IF(MOD((YEAR(EDATE(DATE(YEAR(TODAY()),MONTH(TODAY()),1),13))-YEAR(IF(ISNUMBER(Suppliers!F58),Suppliers!F58,DATE(YEAR(TODAY()),MONTH(TODAY()),1))))*12+MONTH(EDATE(DATE(YEAR(TODAY()),MONTH(TODAY()),1),13))-MONTH(IF(ISNUMBER(Suppliers!F58),Suppliers!F58,DATE(YEAR(TODAY()),MONTH(TODAY()),1))),12)=0,1,0),IF(Suppliers!E58="One-time",IF(13=0,1,0),1)))))),"")</f>
        <v/>
      </c>
      <c r="T60" s="10" t="str">
        <f ca="1">IFERROR(IF(OR(14&gt;=$B$1,Suppliers!A58="",NOT(ISNUMBER(Suppliers!D58)),Suppliers!L58="Expired",Suppliers!L58="Terminate"),"",Suppliers!D58*-1*IF(Suppliers!E58="Monthly",IF(AND(ISNUMBER(Suppliers!G58),(YEAR(EDATE(DATE(YEAR(TODAY()),MONTH(TODAY()),1),14))*12+MONTH(EDATE(DATE(YEAR(TODAY()),MONTH(TODAY()),1),14)))&gt;(YEAR(Suppliers!G58)*12+MONTH(Suppliers!G58))),"",1),IF(Suppliers!E58="Quarterly",IF(MOD((YEAR(EDATE(DATE(YEAR(TODAY()),MONTH(TODAY()),1),14))-YEAR(IF(ISNUMBER(Suppliers!F58),Suppliers!F58,DATE(YEAR(TODAY()),MONTH(TODAY()),1))))*12+MONTH(EDATE(DATE(YEAR(TODAY()),MONTH(TODAY()),1),14))-MONTH(IF(ISNUMBER(Suppliers!F58),Suppliers!F58,DATE(YEAR(TODAY()),MONTH(TODAY()),1))),3)=0,1,0),IF(Suppliers!E58="Semi-annual",IF(MOD((YEAR(EDATE(DATE(YEAR(TODAY()),MONTH(TODAY()),1),14))-YEAR(IF(ISNUMBER(Suppliers!F58),Suppliers!F58,DATE(YEAR(TODAY()),MONTH(TODAY()),1))))*12+MONTH(EDATE(DATE(YEAR(TODAY()),MONTH(TODAY()),1),14))-MONTH(IF(ISNUMBER(Suppliers!F58),Suppliers!F58,DATE(YEAR(TODAY()),MONTH(TODAY()),1))),6)=0,1,0),IF(Suppliers!E58="Annual",IF(MOD((YEAR(EDATE(DATE(YEAR(TODAY()),MONTH(TODAY()),1),14))-YEAR(IF(ISNUMBER(Suppliers!F58),Suppliers!F58,DATE(YEAR(TODAY()),MONTH(TODAY()),1))))*12+MONTH(EDATE(DATE(YEAR(TODAY()),MONTH(TODAY()),1),14))-MONTH(IF(ISNUMBER(Suppliers!F58),Suppliers!F58,DATE(YEAR(TODAY()),MONTH(TODAY()),1))),12)=0,1,0),IF(Suppliers!E58="One-time",IF(14=0,1,0),1)))))),"")</f>
        <v/>
      </c>
      <c r="U60" s="10" t="str">
        <f ca="1">IFERROR(IF(OR(15&gt;=$B$1,Suppliers!A58="",NOT(ISNUMBER(Suppliers!D58)),Suppliers!L58="Expired",Suppliers!L58="Terminate"),"",Suppliers!D58*-1*IF(Suppliers!E58="Monthly",IF(AND(ISNUMBER(Suppliers!G58),(YEAR(EDATE(DATE(YEAR(TODAY()),MONTH(TODAY()),1),15))*12+MONTH(EDATE(DATE(YEAR(TODAY()),MONTH(TODAY()),1),15)))&gt;(YEAR(Suppliers!G58)*12+MONTH(Suppliers!G58))),"",1),IF(Suppliers!E58="Quarterly",IF(MOD((YEAR(EDATE(DATE(YEAR(TODAY()),MONTH(TODAY()),1),15))-YEAR(IF(ISNUMBER(Suppliers!F58),Suppliers!F58,DATE(YEAR(TODAY()),MONTH(TODAY()),1))))*12+MONTH(EDATE(DATE(YEAR(TODAY()),MONTH(TODAY()),1),15))-MONTH(IF(ISNUMBER(Suppliers!F58),Suppliers!F58,DATE(YEAR(TODAY()),MONTH(TODAY()),1))),3)=0,1,0),IF(Suppliers!E58="Semi-annual",IF(MOD((YEAR(EDATE(DATE(YEAR(TODAY()),MONTH(TODAY()),1),15))-YEAR(IF(ISNUMBER(Suppliers!F58),Suppliers!F58,DATE(YEAR(TODAY()),MONTH(TODAY()),1))))*12+MONTH(EDATE(DATE(YEAR(TODAY()),MONTH(TODAY()),1),15))-MONTH(IF(ISNUMBER(Suppliers!F58),Suppliers!F58,DATE(YEAR(TODAY()),MONTH(TODAY()),1))),6)=0,1,0),IF(Suppliers!E58="Annual",IF(MOD((YEAR(EDATE(DATE(YEAR(TODAY()),MONTH(TODAY()),1),15))-YEAR(IF(ISNUMBER(Suppliers!F58),Suppliers!F58,DATE(YEAR(TODAY()),MONTH(TODAY()),1))))*12+MONTH(EDATE(DATE(YEAR(TODAY()),MONTH(TODAY()),1),15))-MONTH(IF(ISNUMBER(Suppliers!F58),Suppliers!F58,DATE(YEAR(TODAY()),MONTH(TODAY()),1))),12)=0,1,0),IF(Suppliers!E58="One-time",IF(15=0,1,0),1)))))),"")</f>
        <v/>
      </c>
      <c r="V60" s="10" t="str">
        <f ca="1">IFERROR(IF(OR(16&gt;=$B$1,Suppliers!A58="",NOT(ISNUMBER(Suppliers!D58)),Suppliers!L58="Expired",Suppliers!L58="Terminate"),"",Suppliers!D58*-1*IF(Suppliers!E58="Monthly",IF(AND(ISNUMBER(Suppliers!G58),(YEAR(EDATE(DATE(YEAR(TODAY()),MONTH(TODAY()),1),16))*12+MONTH(EDATE(DATE(YEAR(TODAY()),MONTH(TODAY()),1),16)))&gt;(YEAR(Suppliers!G58)*12+MONTH(Suppliers!G58))),"",1),IF(Suppliers!E58="Quarterly",IF(MOD((YEAR(EDATE(DATE(YEAR(TODAY()),MONTH(TODAY()),1),16))-YEAR(IF(ISNUMBER(Suppliers!F58),Suppliers!F58,DATE(YEAR(TODAY()),MONTH(TODAY()),1))))*12+MONTH(EDATE(DATE(YEAR(TODAY()),MONTH(TODAY()),1),16))-MONTH(IF(ISNUMBER(Suppliers!F58),Suppliers!F58,DATE(YEAR(TODAY()),MONTH(TODAY()),1))),3)=0,1,0),IF(Suppliers!E58="Semi-annual",IF(MOD((YEAR(EDATE(DATE(YEAR(TODAY()),MONTH(TODAY()),1),16))-YEAR(IF(ISNUMBER(Suppliers!F58),Suppliers!F58,DATE(YEAR(TODAY()),MONTH(TODAY()),1))))*12+MONTH(EDATE(DATE(YEAR(TODAY()),MONTH(TODAY()),1),16))-MONTH(IF(ISNUMBER(Suppliers!F58),Suppliers!F58,DATE(YEAR(TODAY()),MONTH(TODAY()),1))),6)=0,1,0),IF(Suppliers!E58="Annual",IF(MOD((YEAR(EDATE(DATE(YEAR(TODAY()),MONTH(TODAY()),1),16))-YEAR(IF(ISNUMBER(Suppliers!F58),Suppliers!F58,DATE(YEAR(TODAY()),MONTH(TODAY()),1))))*12+MONTH(EDATE(DATE(YEAR(TODAY()),MONTH(TODAY()),1),16))-MONTH(IF(ISNUMBER(Suppliers!F58),Suppliers!F58,DATE(YEAR(TODAY()),MONTH(TODAY()),1))),12)=0,1,0),IF(Suppliers!E58="One-time",IF(16=0,1,0),1)))))),"")</f>
        <v/>
      </c>
      <c r="W60" s="10" t="str">
        <f ca="1">IFERROR(IF(OR(17&gt;=$B$1,Suppliers!A58="",NOT(ISNUMBER(Suppliers!D58)),Suppliers!L58="Expired",Suppliers!L58="Terminate"),"",Suppliers!D58*-1*IF(Suppliers!E58="Monthly",IF(AND(ISNUMBER(Suppliers!G58),(YEAR(EDATE(DATE(YEAR(TODAY()),MONTH(TODAY()),1),17))*12+MONTH(EDATE(DATE(YEAR(TODAY()),MONTH(TODAY()),1),17)))&gt;(YEAR(Suppliers!G58)*12+MONTH(Suppliers!G58))),"",1),IF(Suppliers!E58="Quarterly",IF(MOD((YEAR(EDATE(DATE(YEAR(TODAY()),MONTH(TODAY()),1),17))-YEAR(IF(ISNUMBER(Suppliers!F58),Suppliers!F58,DATE(YEAR(TODAY()),MONTH(TODAY()),1))))*12+MONTH(EDATE(DATE(YEAR(TODAY()),MONTH(TODAY()),1),17))-MONTH(IF(ISNUMBER(Suppliers!F58),Suppliers!F58,DATE(YEAR(TODAY()),MONTH(TODAY()),1))),3)=0,1,0),IF(Suppliers!E58="Semi-annual",IF(MOD((YEAR(EDATE(DATE(YEAR(TODAY()),MONTH(TODAY()),1),17))-YEAR(IF(ISNUMBER(Suppliers!F58),Suppliers!F58,DATE(YEAR(TODAY()),MONTH(TODAY()),1))))*12+MONTH(EDATE(DATE(YEAR(TODAY()),MONTH(TODAY()),1),17))-MONTH(IF(ISNUMBER(Suppliers!F58),Suppliers!F58,DATE(YEAR(TODAY()),MONTH(TODAY()),1))),6)=0,1,0),IF(Suppliers!E58="Annual",IF(MOD((YEAR(EDATE(DATE(YEAR(TODAY()),MONTH(TODAY()),1),17))-YEAR(IF(ISNUMBER(Suppliers!F58),Suppliers!F58,DATE(YEAR(TODAY()),MONTH(TODAY()),1))))*12+MONTH(EDATE(DATE(YEAR(TODAY()),MONTH(TODAY()),1),17))-MONTH(IF(ISNUMBER(Suppliers!F58),Suppliers!F58,DATE(YEAR(TODAY()),MONTH(TODAY()),1))),12)=0,1,0),IF(Suppliers!E58="One-time",IF(17=0,1,0),1)))))),"")</f>
        <v/>
      </c>
      <c r="X60" s="10" t="str">
        <f ca="1">IFERROR(IF(OR(18&gt;=$B$1,Suppliers!A58="",NOT(ISNUMBER(Suppliers!D58)),Suppliers!L58="Expired",Suppliers!L58="Terminate"),"",Suppliers!D58*-1*IF(Suppliers!E58="Monthly",IF(AND(ISNUMBER(Suppliers!G58),(YEAR(EDATE(DATE(YEAR(TODAY()),MONTH(TODAY()),1),18))*12+MONTH(EDATE(DATE(YEAR(TODAY()),MONTH(TODAY()),1),18)))&gt;(YEAR(Suppliers!G58)*12+MONTH(Suppliers!G58))),"",1),IF(Suppliers!E58="Quarterly",IF(MOD((YEAR(EDATE(DATE(YEAR(TODAY()),MONTH(TODAY()),1),18))-YEAR(IF(ISNUMBER(Suppliers!F58),Suppliers!F58,DATE(YEAR(TODAY()),MONTH(TODAY()),1))))*12+MONTH(EDATE(DATE(YEAR(TODAY()),MONTH(TODAY()),1),18))-MONTH(IF(ISNUMBER(Suppliers!F58),Suppliers!F58,DATE(YEAR(TODAY()),MONTH(TODAY()),1))),3)=0,1,0),IF(Suppliers!E58="Semi-annual",IF(MOD((YEAR(EDATE(DATE(YEAR(TODAY()),MONTH(TODAY()),1),18))-YEAR(IF(ISNUMBER(Suppliers!F58),Suppliers!F58,DATE(YEAR(TODAY()),MONTH(TODAY()),1))))*12+MONTH(EDATE(DATE(YEAR(TODAY()),MONTH(TODAY()),1),18))-MONTH(IF(ISNUMBER(Suppliers!F58),Suppliers!F58,DATE(YEAR(TODAY()),MONTH(TODAY()),1))),6)=0,1,0),IF(Suppliers!E58="Annual",IF(MOD((YEAR(EDATE(DATE(YEAR(TODAY()),MONTH(TODAY()),1),18))-YEAR(IF(ISNUMBER(Suppliers!F58),Suppliers!F58,DATE(YEAR(TODAY()),MONTH(TODAY()),1))))*12+MONTH(EDATE(DATE(YEAR(TODAY()),MONTH(TODAY()),1),18))-MONTH(IF(ISNUMBER(Suppliers!F58),Suppliers!F58,DATE(YEAR(TODAY()),MONTH(TODAY()),1))),12)=0,1,0),IF(Suppliers!E58="One-time",IF(18=0,1,0),1)))))),"")</f>
        <v/>
      </c>
      <c r="Y60" s="10" t="str">
        <f ca="1">IFERROR(IF(OR(19&gt;=$B$1,Suppliers!A58="",NOT(ISNUMBER(Suppliers!D58)),Suppliers!L58="Expired",Suppliers!L58="Terminate"),"",Suppliers!D58*-1*IF(Suppliers!E58="Monthly",IF(AND(ISNUMBER(Suppliers!G58),(YEAR(EDATE(DATE(YEAR(TODAY()),MONTH(TODAY()),1),19))*12+MONTH(EDATE(DATE(YEAR(TODAY()),MONTH(TODAY()),1),19)))&gt;(YEAR(Suppliers!G58)*12+MONTH(Suppliers!G58))),"",1),IF(Suppliers!E58="Quarterly",IF(MOD((YEAR(EDATE(DATE(YEAR(TODAY()),MONTH(TODAY()),1),19))-YEAR(IF(ISNUMBER(Suppliers!F58),Suppliers!F58,DATE(YEAR(TODAY()),MONTH(TODAY()),1))))*12+MONTH(EDATE(DATE(YEAR(TODAY()),MONTH(TODAY()),1),19))-MONTH(IF(ISNUMBER(Suppliers!F58),Suppliers!F58,DATE(YEAR(TODAY()),MONTH(TODAY()),1))),3)=0,1,0),IF(Suppliers!E58="Semi-annual",IF(MOD((YEAR(EDATE(DATE(YEAR(TODAY()),MONTH(TODAY()),1),19))-YEAR(IF(ISNUMBER(Suppliers!F58),Suppliers!F58,DATE(YEAR(TODAY()),MONTH(TODAY()),1))))*12+MONTH(EDATE(DATE(YEAR(TODAY()),MONTH(TODAY()),1),19))-MONTH(IF(ISNUMBER(Suppliers!F58),Suppliers!F58,DATE(YEAR(TODAY()),MONTH(TODAY()),1))),6)=0,1,0),IF(Suppliers!E58="Annual",IF(MOD((YEAR(EDATE(DATE(YEAR(TODAY()),MONTH(TODAY()),1),19))-YEAR(IF(ISNUMBER(Suppliers!F58),Suppliers!F58,DATE(YEAR(TODAY()),MONTH(TODAY()),1))))*12+MONTH(EDATE(DATE(YEAR(TODAY()),MONTH(TODAY()),1),19))-MONTH(IF(ISNUMBER(Suppliers!F58),Suppliers!F58,DATE(YEAR(TODAY()),MONTH(TODAY()),1))),12)=0,1,0),IF(Suppliers!E58="One-time",IF(19=0,1,0),1)))))),"")</f>
        <v/>
      </c>
      <c r="Z60" s="10" t="str">
        <f ca="1">IFERROR(IF(OR(20&gt;=$B$1,Suppliers!A58="",NOT(ISNUMBER(Suppliers!D58)),Suppliers!L58="Expired",Suppliers!L58="Terminate"),"",Suppliers!D58*-1*IF(Suppliers!E58="Monthly",IF(AND(ISNUMBER(Suppliers!G58),(YEAR(EDATE(DATE(YEAR(TODAY()),MONTH(TODAY()),1),20))*12+MONTH(EDATE(DATE(YEAR(TODAY()),MONTH(TODAY()),1),20)))&gt;(YEAR(Suppliers!G58)*12+MONTH(Suppliers!G58))),"",1),IF(Suppliers!E58="Quarterly",IF(MOD((YEAR(EDATE(DATE(YEAR(TODAY()),MONTH(TODAY()),1),20))-YEAR(IF(ISNUMBER(Suppliers!F58),Suppliers!F58,DATE(YEAR(TODAY()),MONTH(TODAY()),1))))*12+MONTH(EDATE(DATE(YEAR(TODAY()),MONTH(TODAY()),1),20))-MONTH(IF(ISNUMBER(Suppliers!F58),Suppliers!F58,DATE(YEAR(TODAY()),MONTH(TODAY()),1))),3)=0,1,0),IF(Suppliers!E58="Semi-annual",IF(MOD((YEAR(EDATE(DATE(YEAR(TODAY()),MONTH(TODAY()),1),20))-YEAR(IF(ISNUMBER(Suppliers!F58),Suppliers!F58,DATE(YEAR(TODAY()),MONTH(TODAY()),1))))*12+MONTH(EDATE(DATE(YEAR(TODAY()),MONTH(TODAY()),1),20))-MONTH(IF(ISNUMBER(Suppliers!F58),Suppliers!F58,DATE(YEAR(TODAY()),MONTH(TODAY()),1))),6)=0,1,0),IF(Suppliers!E58="Annual",IF(MOD((YEAR(EDATE(DATE(YEAR(TODAY()),MONTH(TODAY()),1),20))-YEAR(IF(ISNUMBER(Suppliers!F58),Suppliers!F58,DATE(YEAR(TODAY()),MONTH(TODAY()),1))))*12+MONTH(EDATE(DATE(YEAR(TODAY()),MONTH(TODAY()),1),20))-MONTH(IF(ISNUMBER(Suppliers!F58),Suppliers!F58,DATE(YEAR(TODAY()),MONTH(TODAY()),1))),12)=0,1,0),IF(Suppliers!E58="One-time",IF(20=0,1,0),1)))))),"")</f>
        <v/>
      </c>
      <c r="AA60" s="10" t="str">
        <f ca="1">IFERROR(IF(OR(21&gt;=$B$1,Suppliers!A58="",NOT(ISNUMBER(Suppliers!D58)),Suppliers!L58="Expired",Suppliers!L58="Terminate"),"",Suppliers!D58*-1*IF(Suppliers!E58="Monthly",IF(AND(ISNUMBER(Suppliers!G58),(YEAR(EDATE(DATE(YEAR(TODAY()),MONTH(TODAY()),1),21))*12+MONTH(EDATE(DATE(YEAR(TODAY()),MONTH(TODAY()),1),21)))&gt;(YEAR(Suppliers!G58)*12+MONTH(Suppliers!G58))),"",1),IF(Suppliers!E58="Quarterly",IF(MOD((YEAR(EDATE(DATE(YEAR(TODAY()),MONTH(TODAY()),1),21))-YEAR(IF(ISNUMBER(Suppliers!F58),Suppliers!F58,DATE(YEAR(TODAY()),MONTH(TODAY()),1))))*12+MONTH(EDATE(DATE(YEAR(TODAY()),MONTH(TODAY()),1),21))-MONTH(IF(ISNUMBER(Suppliers!F58),Suppliers!F58,DATE(YEAR(TODAY()),MONTH(TODAY()),1))),3)=0,1,0),IF(Suppliers!E58="Semi-annual",IF(MOD((YEAR(EDATE(DATE(YEAR(TODAY()),MONTH(TODAY()),1),21))-YEAR(IF(ISNUMBER(Suppliers!F58),Suppliers!F58,DATE(YEAR(TODAY()),MONTH(TODAY()),1))))*12+MONTH(EDATE(DATE(YEAR(TODAY()),MONTH(TODAY()),1),21))-MONTH(IF(ISNUMBER(Suppliers!F58),Suppliers!F58,DATE(YEAR(TODAY()),MONTH(TODAY()),1))),6)=0,1,0),IF(Suppliers!E58="Annual",IF(MOD((YEAR(EDATE(DATE(YEAR(TODAY()),MONTH(TODAY()),1),21))-YEAR(IF(ISNUMBER(Suppliers!F58),Suppliers!F58,DATE(YEAR(TODAY()),MONTH(TODAY()),1))))*12+MONTH(EDATE(DATE(YEAR(TODAY()),MONTH(TODAY()),1),21))-MONTH(IF(ISNUMBER(Suppliers!F58),Suppliers!F58,DATE(YEAR(TODAY()),MONTH(TODAY()),1))),12)=0,1,0),IF(Suppliers!E58="One-time",IF(21=0,1,0),1)))))),"")</f>
        <v/>
      </c>
      <c r="AB60" s="10" t="str">
        <f ca="1">IFERROR(IF(OR(22&gt;=$B$1,Suppliers!A58="",NOT(ISNUMBER(Suppliers!D58)),Suppliers!L58="Expired",Suppliers!L58="Terminate"),"",Suppliers!D58*-1*IF(Suppliers!E58="Monthly",IF(AND(ISNUMBER(Suppliers!G58),(YEAR(EDATE(DATE(YEAR(TODAY()),MONTH(TODAY()),1),22))*12+MONTH(EDATE(DATE(YEAR(TODAY()),MONTH(TODAY()),1),22)))&gt;(YEAR(Suppliers!G58)*12+MONTH(Suppliers!G58))),"",1),IF(Suppliers!E58="Quarterly",IF(MOD((YEAR(EDATE(DATE(YEAR(TODAY()),MONTH(TODAY()),1),22))-YEAR(IF(ISNUMBER(Suppliers!F58),Suppliers!F58,DATE(YEAR(TODAY()),MONTH(TODAY()),1))))*12+MONTH(EDATE(DATE(YEAR(TODAY()),MONTH(TODAY()),1),22))-MONTH(IF(ISNUMBER(Suppliers!F58),Suppliers!F58,DATE(YEAR(TODAY()),MONTH(TODAY()),1))),3)=0,1,0),IF(Suppliers!E58="Semi-annual",IF(MOD((YEAR(EDATE(DATE(YEAR(TODAY()),MONTH(TODAY()),1),22))-YEAR(IF(ISNUMBER(Suppliers!F58),Suppliers!F58,DATE(YEAR(TODAY()),MONTH(TODAY()),1))))*12+MONTH(EDATE(DATE(YEAR(TODAY()),MONTH(TODAY()),1),22))-MONTH(IF(ISNUMBER(Suppliers!F58),Suppliers!F58,DATE(YEAR(TODAY()),MONTH(TODAY()),1))),6)=0,1,0),IF(Suppliers!E58="Annual",IF(MOD((YEAR(EDATE(DATE(YEAR(TODAY()),MONTH(TODAY()),1),22))-YEAR(IF(ISNUMBER(Suppliers!F58),Suppliers!F58,DATE(YEAR(TODAY()),MONTH(TODAY()),1))))*12+MONTH(EDATE(DATE(YEAR(TODAY()),MONTH(TODAY()),1),22))-MONTH(IF(ISNUMBER(Suppliers!F58),Suppliers!F58,DATE(YEAR(TODAY()),MONTH(TODAY()),1))),12)=0,1,0),IF(Suppliers!E58="One-time",IF(22=0,1,0),1)))))),"")</f>
        <v/>
      </c>
      <c r="AC60" s="10" t="str">
        <f ca="1">IFERROR(IF(OR(23&gt;=$B$1,Suppliers!A58="",NOT(ISNUMBER(Suppliers!D58)),Suppliers!L58="Expired",Suppliers!L58="Terminate"),"",Suppliers!D58*-1*IF(Suppliers!E58="Monthly",IF(AND(ISNUMBER(Suppliers!G58),(YEAR(EDATE(DATE(YEAR(TODAY()),MONTH(TODAY()),1),23))*12+MONTH(EDATE(DATE(YEAR(TODAY()),MONTH(TODAY()),1),23)))&gt;(YEAR(Suppliers!G58)*12+MONTH(Suppliers!G58))),"",1),IF(Suppliers!E58="Quarterly",IF(MOD((YEAR(EDATE(DATE(YEAR(TODAY()),MONTH(TODAY()),1),23))-YEAR(IF(ISNUMBER(Suppliers!F58),Suppliers!F58,DATE(YEAR(TODAY()),MONTH(TODAY()),1))))*12+MONTH(EDATE(DATE(YEAR(TODAY()),MONTH(TODAY()),1),23))-MONTH(IF(ISNUMBER(Suppliers!F58),Suppliers!F58,DATE(YEAR(TODAY()),MONTH(TODAY()),1))),3)=0,1,0),IF(Suppliers!E58="Semi-annual",IF(MOD((YEAR(EDATE(DATE(YEAR(TODAY()),MONTH(TODAY()),1),23))-YEAR(IF(ISNUMBER(Suppliers!F58),Suppliers!F58,DATE(YEAR(TODAY()),MONTH(TODAY()),1))))*12+MONTH(EDATE(DATE(YEAR(TODAY()),MONTH(TODAY()),1),23))-MONTH(IF(ISNUMBER(Suppliers!F58),Suppliers!F58,DATE(YEAR(TODAY()),MONTH(TODAY()),1))),6)=0,1,0),IF(Suppliers!E58="Annual",IF(MOD((YEAR(EDATE(DATE(YEAR(TODAY()),MONTH(TODAY()),1),23))-YEAR(IF(ISNUMBER(Suppliers!F58),Suppliers!F58,DATE(YEAR(TODAY()),MONTH(TODAY()),1))))*12+MONTH(EDATE(DATE(YEAR(TODAY()),MONTH(TODAY()),1),23))-MONTH(IF(ISNUMBER(Suppliers!F58),Suppliers!F58,DATE(YEAR(TODAY()),MONTH(TODAY()),1))),12)=0,1,0),IF(Suppliers!E58="One-time",IF(23=0,1,0),1)))))),"")</f>
        <v/>
      </c>
    </row>
    <row r="61" spans="1:30" ht="15" customHeight="1" x14ac:dyDescent="0.35">
      <c r="A61" s="4" t="s">
        <v>80</v>
      </c>
      <c r="B61" s="4" t="str">
        <f>IF(Suppliers!A59="","",Suppliers!A59)</f>
        <v/>
      </c>
      <c r="C61" s="10" t="str">
        <f>IF(Suppliers!C59="","",Suppliers!C59)</f>
        <v/>
      </c>
      <c r="D61" s="10" t="str">
        <f>IF(Suppliers!D59="","",Suppliers!D59)</f>
        <v/>
      </c>
      <c r="E61" s="4" t="str">
        <f>IF(Suppliers!E59="","",Suppliers!E59)</f>
        <v/>
      </c>
      <c r="F61" s="10" t="str">
        <f ca="1">IFERROR(IF(OR(0&gt;=$B$1,Suppliers!A59="",NOT(ISNUMBER(Suppliers!D59)),Suppliers!L59="Expired",Suppliers!L59="Terminate"),"",Suppliers!D59*-1*IF(Suppliers!E59="Monthly",IF(AND(ISNUMBER(Suppliers!G59),(YEAR(EDATE(DATE(YEAR(TODAY()),MONTH(TODAY()),1),0))*12+MONTH(EDATE(DATE(YEAR(TODAY()),MONTH(TODAY()),1),0)))&gt;(YEAR(Suppliers!G59)*12+MONTH(Suppliers!G59))),"",1),IF(Suppliers!E59="Quarterly",IF(MOD((YEAR(EDATE(DATE(YEAR(TODAY()),MONTH(TODAY()),1),0))-YEAR(IF(ISNUMBER(Suppliers!F59),Suppliers!F59,DATE(YEAR(TODAY()),MONTH(TODAY()),1))))*12+MONTH(EDATE(DATE(YEAR(TODAY()),MONTH(TODAY()),1),0))-MONTH(IF(ISNUMBER(Suppliers!F59),Suppliers!F59,DATE(YEAR(TODAY()),MONTH(TODAY()),1))),3)=0,1,0),IF(Suppliers!E59="Semi-annual",IF(MOD((YEAR(EDATE(DATE(YEAR(TODAY()),MONTH(TODAY()),1),0))-YEAR(IF(ISNUMBER(Suppliers!F59),Suppliers!F59,DATE(YEAR(TODAY()),MONTH(TODAY()),1))))*12+MONTH(EDATE(DATE(YEAR(TODAY()),MONTH(TODAY()),1),0))-MONTH(IF(ISNUMBER(Suppliers!F59),Suppliers!F59,DATE(YEAR(TODAY()),MONTH(TODAY()),1))),6)=0,1,0),IF(Suppliers!E59="Annual",IF(MOD((YEAR(EDATE(DATE(YEAR(TODAY()),MONTH(TODAY()),1),0))-YEAR(IF(ISNUMBER(Suppliers!F59),Suppliers!F59,DATE(YEAR(TODAY()),MONTH(TODAY()),1))))*12+MONTH(EDATE(DATE(YEAR(TODAY()),MONTH(TODAY()),1),0))-MONTH(IF(ISNUMBER(Suppliers!F59),Suppliers!F59,DATE(YEAR(TODAY()),MONTH(TODAY()),1))),12)=0,1,0),IF(Suppliers!E59="One-time",IF(0=0,1,0),1)))))),"")</f>
        <v/>
      </c>
      <c r="G61" s="10" t="str">
        <f ca="1">IFERROR(IF(OR(1&gt;=$B$1,Suppliers!A59="",NOT(ISNUMBER(Suppliers!D59)),Suppliers!L59="Expired",Suppliers!L59="Terminate"),"",Suppliers!D59*-1*IF(Suppliers!E59="Monthly",IF(AND(ISNUMBER(Suppliers!G59),(YEAR(EDATE(DATE(YEAR(TODAY()),MONTH(TODAY()),1),1))*12+MONTH(EDATE(DATE(YEAR(TODAY()),MONTH(TODAY()),1),1)))&gt;(YEAR(Suppliers!G59)*12+MONTH(Suppliers!G59))),"",1),IF(Suppliers!E59="Quarterly",IF(MOD((YEAR(EDATE(DATE(YEAR(TODAY()),MONTH(TODAY()),1),1))-YEAR(IF(ISNUMBER(Suppliers!F59),Suppliers!F59,DATE(YEAR(TODAY()),MONTH(TODAY()),1))))*12+MONTH(EDATE(DATE(YEAR(TODAY()),MONTH(TODAY()),1),1))-MONTH(IF(ISNUMBER(Suppliers!F59),Suppliers!F59,DATE(YEAR(TODAY()),MONTH(TODAY()),1))),3)=0,1,0),IF(Suppliers!E59="Semi-annual",IF(MOD((YEAR(EDATE(DATE(YEAR(TODAY()),MONTH(TODAY()),1),1))-YEAR(IF(ISNUMBER(Suppliers!F59),Suppliers!F59,DATE(YEAR(TODAY()),MONTH(TODAY()),1))))*12+MONTH(EDATE(DATE(YEAR(TODAY()),MONTH(TODAY()),1),1))-MONTH(IF(ISNUMBER(Suppliers!F59),Suppliers!F59,DATE(YEAR(TODAY()),MONTH(TODAY()),1))),6)=0,1,0),IF(Suppliers!E59="Annual",IF(MOD((YEAR(EDATE(DATE(YEAR(TODAY()),MONTH(TODAY()),1),1))-YEAR(IF(ISNUMBER(Suppliers!F59),Suppliers!F59,DATE(YEAR(TODAY()),MONTH(TODAY()),1))))*12+MONTH(EDATE(DATE(YEAR(TODAY()),MONTH(TODAY()),1),1))-MONTH(IF(ISNUMBER(Suppliers!F59),Suppliers!F59,DATE(YEAR(TODAY()),MONTH(TODAY()),1))),12)=0,1,0),IF(Suppliers!E59="One-time",IF(1=0,1,0),1)))))),"")</f>
        <v/>
      </c>
      <c r="H61" s="10" t="str">
        <f ca="1">IFERROR(IF(OR(2&gt;=$B$1,Suppliers!A59="",NOT(ISNUMBER(Suppliers!D59)),Suppliers!L59="Expired",Suppliers!L59="Terminate"),"",Suppliers!D59*-1*IF(Suppliers!E59="Monthly",IF(AND(ISNUMBER(Suppliers!G59),(YEAR(EDATE(DATE(YEAR(TODAY()),MONTH(TODAY()),1),2))*12+MONTH(EDATE(DATE(YEAR(TODAY()),MONTH(TODAY()),1),2)))&gt;(YEAR(Suppliers!G59)*12+MONTH(Suppliers!G59))),"",1),IF(Suppliers!E59="Quarterly",IF(MOD((YEAR(EDATE(DATE(YEAR(TODAY()),MONTH(TODAY()),1),2))-YEAR(IF(ISNUMBER(Suppliers!F59),Suppliers!F59,DATE(YEAR(TODAY()),MONTH(TODAY()),1))))*12+MONTH(EDATE(DATE(YEAR(TODAY()),MONTH(TODAY()),1),2))-MONTH(IF(ISNUMBER(Suppliers!F59),Suppliers!F59,DATE(YEAR(TODAY()),MONTH(TODAY()),1))),3)=0,1,0),IF(Suppliers!E59="Semi-annual",IF(MOD((YEAR(EDATE(DATE(YEAR(TODAY()),MONTH(TODAY()),1),2))-YEAR(IF(ISNUMBER(Suppliers!F59),Suppliers!F59,DATE(YEAR(TODAY()),MONTH(TODAY()),1))))*12+MONTH(EDATE(DATE(YEAR(TODAY()),MONTH(TODAY()),1),2))-MONTH(IF(ISNUMBER(Suppliers!F59),Suppliers!F59,DATE(YEAR(TODAY()),MONTH(TODAY()),1))),6)=0,1,0),IF(Suppliers!E59="Annual",IF(MOD((YEAR(EDATE(DATE(YEAR(TODAY()),MONTH(TODAY()),1),2))-YEAR(IF(ISNUMBER(Suppliers!F59),Suppliers!F59,DATE(YEAR(TODAY()),MONTH(TODAY()),1))))*12+MONTH(EDATE(DATE(YEAR(TODAY()),MONTH(TODAY()),1),2))-MONTH(IF(ISNUMBER(Suppliers!F59),Suppliers!F59,DATE(YEAR(TODAY()),MONTH(TODAY()),1))),12)=0,1,0),IF(Suppliers!E59="One-time",IF(2=0,1,0),1)))))),"")</f>
        <v/>
      </c>
      <c r="I61" s="10" t="str">
        <f ca="1">IFERROR(IF(OR(3&gt;=$B$1,Suppliers!A59="",NOT(ISNUMBER(Suppliers!D59)),Suppliers!L59="Expired",Suppliers!L59="Terminate"),"",Suppliers!D59*-1*IF(Suppliers!E59="Monthly",IF(AND(ISNUMBER(Suppliers!G59),(YEAR(EDATE(DATE(YEAR(TODAY()),MONTH(TODAY()),1),3))*12+MONTH(EDATE(DATE(YEAR(TODAY()),MONTH(TODAY()),1),3)))&gt;(YEAR(Suppliers!G59)*12+MONTH(Suppliers!G59))),"",1),IF(Suppliers!E59="Quarterly",IF(MOD((YEAR(EDATE(DATE(YEAR(TODAY()),MONTH(TODAY()),1),3))-YEAR(IF(ISNUMBER(Suppliers!F59),Suppliers!F59,DATE(YEAR(TODAY()),MONTH(TODAY()),1))))*12+MONTH(EDATE(DATE(YEAR(TODAY()),MONTH(TODAY()),1),3))-MONTH(IF(ISNUMBER(Suppliers!F59),Suppliers!F59,DATE(YEAR(TODAY()),MONTH(TODAY()),1))),3)=0,1,0),IF(Suppliers!E59="Semi-annual",IF(MOD((YEAR(EDATE(DATE(YEAR(TODAY()),MONTH(TODAY()),1),3))-YEAR(IF(ISNUMBER(Suppliers!F59),Suppliers!F59,DATE(YEAR(TODAY()),MONTH(TODAY()),1))))*12+MONTH(EDATE(DATE(YEAR(TODAY()),MONTH(TODAY()),1),3))-MONTH(IF(ISNUMBER(Suppliers!F59),Suppliers!F59,DATE(YEAR(TODAY()),MONTH(TODAY()),1))),6)=0,1,0),IF(Suppliers!E59="Annual",IF(MOD((YEAR(EDATE(DATE(YEAR(TODAY()),MONTH(TODAY()),1),3))-YEAR(IF(ISNUMBER(Suppliers!F59),Suppliers!F59,DATE(YEAR(TODAY()),MONTH(TODAY()),1))))*12+MONTH(EDATE(DATE(YEAR(TODAY()),MONTH(TODAY()),1),3))-MONTH(IF(ISNUMBER(Suppliers!F59),Suppliers!F59,DATE(YEAR(TODAY()),MONTH(TODAY()),1))),12)=0,1,0),IF(Suppliers!E59="One-time",IF(3=0,1,0),1)))))),"")</f>
        <v/>
      </c>
      <c r="J61" s="10" t="str">
        <f ca="1">IFERROR(IF(OR(4&gt;=$B$1,Suppliers!A59="",NOT(ISNUMBER(Suppliers!D59)),Suppliers!L59="Expired",Suppliers!L59="Terminate"),"",Suppliers!D59*-1*IF(Suppliers!E59="Monthly",IF(AND(ISNUMBER(Suppliers!G59),(YEAR(EDATE(DATE(YEAR(TODAY()),MONTH(TODAY()),1),4))*12+MONTH(EDATE(DATE(YEAR(TODAY()),MONTH(TODAY()),1),4)))&gt;(YEAR(Suppliers!G59)*12+MONTH(Suppliers!G59))),"",1),IF(Suppliers!E59="Quarterly",IF(MOD((YEAR(EDATE(DATE(YEAR(TODAY()),MONTH(TODAY()),1),4))-YEAR(IF(ISNUMBER(Suppliers!F59),Suppliers!F59,DATE(YEAR(TODAY()),MONTH(TODAY()),1))))*12+MONTH(EDATE(DATE(YEAR(TODAY()),MONTH(TODAY()),1),4))-MONTH(IF(ISNUMBER(Suppliers!F59),Suppliers!F59,DATE(YEAR(TODAY()),MONTH(TODAY()),1))),3)=0,1,0),IF(Suppliers!E59="Semi-annual",IF(MOD((YEAR(EDATE(DATE(YEAR(TODAY()),MONTH(TODAY()),1),4))-YEAR(IF(ISNUMBER(Suppliers!F59),Suppliers!F59,DATE(YEAR(TODAY()),MONTH(TODAY()),1))))*12+MONTH(EDATE(DATE(YEAR(TODAY()),MONTH(TODAY()),1),4))-MONTH(IF(ISNUMBER(Suppliers!F59),Suppliers!F59,DATE(YEAR(TODAY()),MONTH(TODAY()),1))),6)=0,1,0),IF(Suppliers!E59="Annual",IF(MOD((YEAR(EDATE(DATE(YEAR(TODAY()),MONTH(TODAY()),1),4))-YEAR(IF(ISNUMBER(Suppliers!F59),Suppliers!F59,DATE(YEAR(TODAY()),MONTH(TODAY()),1))))*12+MONTH(EDATE(DATE(YEAR(TODAY()),MONTH(TODAY()),1),4))-MONTH(IF(ISNUMBER(Suppliers!F59),Suppliers!F59,DATE(YEAR(TODAY()),MONTH(TODAY()),1))),12)=0,1,0),IF(Suppliers!E59="One-time",IF(4=0,1,0),1)))))),"")</f>
        <v/>
      </c>
      <c r="K61" s="10" t="str">
        <f ca="1">IFERROR(IF(OR(5&gt;=$B$1,Suppliers!A59="",NOT(ISNUMBER(Suppliers!D59)),Suppliers!L59="Expired",Suppliers!L59="Terminate"),"",Suppliers!D59*-1*IF(Suppliers!E59="Monthly",IF(AND(ISNUMBER(Suppliers!G59),(YEAR(EDATE(DATE(YEAR(TODAY()),MONTH(TODAY()),1),5))*12+MONTH(EDATE(DATE(YEAR(TODAY()),MONTH(TODAY()),1),5)))&gt;(YEAR(Suppliers!G59)*12+MONTH(Suppliers!G59))),"",1),IF(Suppliers!E59="Quarterly",IF(MOD((YEAR(EDATE(DATE(YEAR(TODAY()),MONTH(TODAY()),1),5))-YEAR(IF(ISNUMBER(Suppliers!F59),Suppliers!F59,DATE(YEAR(TODAY()),MONTH(TODAY()),1))))*12+MONTH(EDATE(DATE(YEAR(TODAY()),MONTH(TODAY()),1),5))-MONTH(IF(ISNUMBER(Suppliers!F59),Suppliers!F59,DATE(YEAR(TODAY()),MONTH(TODAY()),1))),3)=0,1,0),IF(Suppliers!E59="Semi-annual",IF(MOD((YEAR(EDATE(DATE(YEAR(TODAY()),MONTH(TODAY()),1),5))-YEAR(IF(ISNUMBER(Suppliers!F59),Suppliers!F59,DATE(YEAR(TODAY()),MONTH(TODAY()),1))))*12+MONTH(EDATE(DATE(YEAR(TODAY()),MONTH(TODAY()),1),5))-MONTH(IF(ISNUMBER(Suppliers!F59),Suppliers!F59,DATE(YEAR(TODAY()),MONTH(TODAY()),1))),6)=0,1,0),IF(Suppliers!E59="Annual",IF(MOD((YEAR(EDATE(DATE(YEAR(TODAY()),MONTH(TODAY()),1),5))-YEAR(IF(ISNUMBER(Suppliers!F59),Suppliers!F59,DATE(YEAR(TODAY()),MONTH(TODAY()),1))))*12+MONTH(EDATE(DATE(YEAR(TODAY()),MONTH(TODAY()),1),5))-MONTH(IF(ISNUMBER(Suppliers!F59),Suppliers!F59,DATE(YEAR(TODAY()),MONTH(TODAY()),1))),12)=0,1,0),IF(Suppliers!E59="One-time",IF(5=0,1,0),1)))))),"")</f>
        <v/>
      </c>
      <c r="L61" s="10" t="str">
        <f ca="1">IFERROR(IF(OR(6&gt;=$B$1,Suppliers!A59="",NOT(ISNUMBER(Suppliers!D59)),Suppliers!L59="Expired",Suppliers!L59="Terminate"),"",Suppliers!D59*-1*IF(Suppliers!E59="Monthly",IF(AND(ISNUMBER(Suppliers!G59),(YEAR(EDATE(DATE(YEAR(TODAY()),MONTH(TODAY()),1),6))*12+MONTH(EDATE(DATE(YEAR(TODAY()),MONTH(TODAY()),1),6)))&gt;(YEAR(Suppliers!G59)*12+MONTH(Suppliers!G59))),"",1),IF(Suppliers!E59="Quarterly",IF(MOD((YEAR(EDATE(DATE(YEAR(TODAY()),MONTH(TODAY()),1),6))-YEAR(IF(ISNUMBER(Suppliers!F59),Suppliers!F59,DATE(YEAR(TODAY()),MONTH(TODAY()),1))))*12+MONTH(EDATE(DATE(YEAR(TODAY()),MONTH(TODAY()),1),6))-MONTH(IF(ISNUMBER(Suppliers!F59),Suppliers!F59,DATE(YEAR(TODAY()),MONTH(TODAY()),1))),3)=0,1,0),IF(Suppliers!E59="Semi-annual",IF(MOD((YEAR(EDATE(DATE(YEAR(TODAY()),MONTH(TODAY()),1),6))-YEAR(IF(ISNUMBER(Suppliers!F59),Suppliers!F59,DATE(YEAR(TODAY()),MONTH(TODAY()),1))))*12+MONTH(EDATE(DATE(YEAR(TODAY()),MONTH(TODAY()),1),6))-MONTH(IF(ISNUMBER(Suppliers!F59),Suppliers!F59,DATE(YEAR(TODAY()),MONTH(TODAY()),1))),6)=0,1,0),IF(Suppliers!E59="Annual",IF(MOD((YEAR(EDATE(DATE(YEAR(TODAY()),MONTH(TODAY()),1),6))-YEAR(IF(ISNUMBER(Suppliers!F59),Suppliers!F59,DATE(YEAR(TODAY()),MONTH(TODAY()),1))))*12+MONTH(EDATE(DATE(YEAR(TODAY()),MONTH(TODAY()),1),6))-MONTH(IF(ISNUMBER(Suppliers!F59),Suppliers!F59,DATE(YEAR(TODAY()),MONTH(TODAY()),1))),12)=0,1,0),IF(Suppliers!E59="One-time",IF(6=0,1,0),1)))))),"")</f>
        <v/>
      </c>
      <c r="M61" s="10" t="str">
        <f ca="1">IFERROR(IF(OR(7&gt;=$B$1,Suppliers!A59="",NOT(ISNUMBER(Suppliers!D59)),Suppliers!L59="Expired",Suppliers!L59="Terminate"),"",Suppliers!D59*-1*IF(Suppliers!E59="Monthly",IF(AND(ISNUMBER(Suppliers!G59),(YEAR(EDATE(DATE(YEAR(TODAY()),MONTH(TODAY()),1),7))*12+MONTH(EDATE(DATE(YEAR(TODAY()),MONTH(TODAY()),1),7)))&gt;(YEAR(Suppliers!G59)*12+MONTH(Suppliers!G59))),"",1),IF(Suppliers!E59="Quarterly",IF(MOD((YEAR(EDATE(DATE(YEAR(TODAY()),MONTH(TODAY()),1),7))-YEAR(IF(ISNUMBER(Suppliers!F59),Suppliers!F59,DATE(YEAR(TODAY()),MONTH(TODAY()),1))))*12+MONTH(EDATE(DATE(YEAR(TODAY()),MONTH(TODAY()),1),7))-MONTH(IF(ISNUMBER(Suppliers!F59),Suppliers!F59,DATE(YEAR(TODAY()),MONTH(TODAY()),1))),3)=0,1,0),IF(Suppliers!E59="Semi-annual",IF(MOD((YEAR(EDATE(DATE(YEAR(TODAY()),MONTH(TODAY()),1),7))-YEAR(IF(ISNUMBER(Suppliers!F59),Suppliers!F59,DATE(YEAR(TODAY()),MONTH(TODAY()),1))))*12+MONTH(EDATE(DATE(YEAR(TODAY()),MONTH(TODAY()),1),7))-MONTH(IF(ISNUMBER(Suppliers!F59),Suppliers!F59,DATE(YEAR(TODAY()),MONTH(TODAY()),1))),6)=0,1,0),IF(Suppliers!E59="Annual",IF(MOD((YEAR(EDATE(DATE(YEAR(TODAY()),MONTH(TODAY()),1),7))-YEAR(IF(ISNUMBER(Suppliers!F59),Suppliers!F59,DATE(YEAR(TODAY()),MONTH(TODAY()),1))))*12+MONTH(EDATE(DATE(YEAR(TODAY()),MONTH(TODAY()),1),7))-MONTH(IF(ISNUMBER(Suppliers!F59),Suppliers!F59,DATE(YEAR(TODAY()),MONTH(TODAY()),1))),12)=0,1,0),IF(Suppliers!E59="One-time",IF(7=0,1,0),1)))))),"")</f>
        <v/>
      </c>
      <c r="N61" s="10" t="str">
        <f ca="1">IFERROR(IF(OR(8&gt;=$B$1,Suppliers!A59="",NOT(ISNUMBER(Suppliers!D59)),Suppliers!L59="Expired",Suppliers!L59="Terminate"),"",Suppliers!D59*-1*IF(Suppliers!E59="Monthly",IF(AND(ISNUMBER(Suppliers!G59),(YEAR(EDATE(DATE(YEAR(TODAY()),MONTH(TODAY()),1),8))*12+MONTH(EDATE(DATE(YEAR(TODAY()),MONTH(TODAY()),1),8)))&gt;(YEAR(Suppliers!G59)*12+MONTH(Suppliers!G59))),"",1),IF(Suppliers!E59="Quarterly",IF(MOD((YEAR(EDATE(DATE(YEAR(TODAY()),MONTH(TODAY()),1),8))-YEAR(IF(ISNUMBER(Suppliers!F59),Suppliers!F59,DATE(YEAR(TODAY()),MONTH(TODAY()),1))))*12+MONTH(EDATE(DATE(YEAR(TODAY()),MONTH(TODAY()),1),8))-MONTH(IF(ISNUMBER(Suppliers!F59),Suppliers!F59,DATE(YEAR(TODAY()),MONTH(TODAY()),1))),3)=0,1,0),IF(Suppliers!E59="Semi-annual",IF(MOD((YEAR(EDATE(DATE(YEAR(TODAY()),MONTH(TODAY()),1),8))-YEAR(IF(ISNUMBER(Suppliers!F59),Suppliers!F59,DATE(YEAR(TODAY()),MONTH(TODAY()),1))))*12+MONTH(EDATE(DATE(YEAR(TODAY()),MONTH(TODAY()),1),8))-MONTH(IF(ISNUMBER(Suppliers!F59),Suppliers!F59,DATE(YEAR(TODAY()),MONTH(TODAY()),1))),6)=0,1,0),IF(Suppliers!E59="Annual",IF(MOD((YEAR(EDATE(DATE(YEAR(TODAY()),MONTH(TODAY()),1),8))-YEAR(IF(ISNUMBER(Suppliers!F59),Suppliers!F59,DATE(YEAR(TODAY()),MONTH(TODAY()),1))))*12+MONTH(EDATE(DATE(YEAR(TODAY()),MONTH(TODAY()),1),8))-MONTH(IF(ISNUMBER(Suppliers!F59),Suppliers!F59,DATE(YEAR(TODAY()),MONTH(TODAY()),1))),12)=0,1,0),IF(Suppliers!E59="One-time",IF(8=0,1,0),1)))))),"")</f>
        <v/>
      </c>
      <c r="O61" s="10" t="str">
        <f ca="1">IFERROR(IF(OR(9&gt;=$B$1,Suppliers!A59="",NOT(ISNUMBER(Suppliers!D59)),Suppliers!L59="Expired",Suppliers!L59="Terminate"),"",Suppliers!D59*-1*IF(Suppliers!E59="Monthly",IF(AND(ISNUMBER(Suppliers!G59),(YEAR(EDATE(DATE(YEAR(TODAY()),MONTH(TODAY()),1),9))*12+MONTH(EDATE(DATE(YEAR(TODAY()),MONTH(TODAY()),1),9)))&gt;(YEAR(Suppliers!G59)*12+MONTH(Suppliers!G59))),"",1),IF(Suppliers!E59="Quarterly",IF(MOD((YEAR(EDATE(DATE(YEAR(TODAY()),MONTH(TODAY()),1),9))-YEAR(IF(ISNUMBER(Suppliers!F59),Suppliers!F59,DATE(YEAR(TODAY()),MONTH(TODAY()),1))))*12+MONTH(EDATE(DATE(YEAR(TODAY()),MONTH(TODAY()),1),9))-MONTH(IF(ISNUMBER(Suppliers!F59),Suppliers!F59,DATE(YEAR(TODAY()),MONTH(TODAY()),1))),3)=0,1,0),IF(Suppliers!E59="Semi-annual",IF(MOD((YEAR(EDATE(DATE(YEAR(TODAY()),MONTH(TODAY()),1),9))-YEAR(IF(ISNUMBER(Suppliers!F59),Suppliers!F59,DATE(YEAR(TODAY()),MONTH(TODAY()),1))))*12+MONTH(EDATE(DATE(YEAR(TODAY()),MONTH(TODAY()),1),9))-MONTH(IF(ISNUMBER(Suppliers!F59),Suppliers!F59,DATE(YEAR(TODAY()),MONTH(TODAY()),1))),6)=0,1,0),IF(Suppliers!E59="Annual",IF(MOD((YEAR(EDATE(DATE(YEAR(TODAY()),MONTH(TODAY()),1),9))-YEAR(IF(ISNUMBER(Suppliers!F59),Suppliers!F59,DATE(YEAR(TODAY()),MONTH(TODAY()),1))))*12+MONTH(EDATE(DATE(YEAR(TODAY()),MONTH(TODAY()),1),9))-MONTH(IF(ISNUMBER(Suppliers!F59),Suppliers!F59,DATE(YEAR(TODAY()),MONTH(TODAY()),1))),12)=0,1,0),IF(Suppliers!E59="One-time",IF(9=0,1,0),1)))))),"")</f>
        <v/>
      </c>
      <c r="P61" s="10" t="str">
        <f ca="1">IFERROR(IF(OR(10&gt;=$B$1,Suppliers!A59="",NOT(ISNUMBER(Suppliers!D59)),Suppliers!L59="Expired",Suppliers!L59="Terminate"),"",Suppliers!D59*-1*IF(Suppliers!E59="Monthly",IF(AND(ISNUMBER(Suppliers!G59),(YEAR(EDATE(DATE(YEAR(TODAY()),MONTH(TODAY()),1),10))*12+MONTH(EDATE(DATE(YEAR(TODAY()),MONTH(TODAY()),1),10)))&gt;(YEAR(Suppliers!G59)*12+MONTH(Suppliers!G59))),"",1),IF(Suppliers!E59="Quarterly",IF(MOD((YEAR(EDATE(DATE(YEAR(TODAY()),MONTH(TODAY()),1),10))-YEAR(IF(ISNUMBER(Suppliers!F59),Suppliers!F59,DATE(YEAR(TODAY()),MONTH(TODAY()),1))))*12+MONTH(EDATE(DATE(YEAR(TODAY()),MONTH(TODAY()),1),10))-MONTH(IF(ISNUMBER(Suppliers!F59),Suppliers!F59,DATE(YEAR(TODAY()),MONTH(TODAY()),1))),3)=0,1,0),IF(Suppliers!E59="Semi-annual",IF(MOD((YEAR(EDATE(DATE(YEAR(TODAY()),MONTH(TODAY()),1),10))-YEAR(IF(ISNUMBER(Suppliers!F59),Suppliers!F59,DATE(YEAR(TODAY()),MONTH(TODAY()),1))))*12+MONTH(EDATE(DATE(YEAR(TODAY()),MONTH(TODAY()),1),10))-MONTH(IF(ISNUMBER(Suppliers!F59),Suppliers!F59,DATE(YEAR(TODAY()),MONTH(TODAY()),1))),6)=0,1,0),IF(Suppliers!E59="Annual",IF(MOD((YEAR(EDATE(DATE(YEAR(TODAY()),MONTH(TODAY()),1),10))-YEAR(IF(ISNUMBER(Suppliers!F59),Suppliers!F59,DATE(YEAR(TODAY()),MONTH(TODAY()),1))))*12+MONTH(EDATE(DATE(YEAR(TODAY()),MONTH(TODAY()),1),10))-MONTH(IF(ISNUMBER(Suppliers!F59),Suppliers!F59,DATE(YEAR(TODAY()),MONTH(TODAY()),1))),12)=0,1,0),IF(Suppliers!E59="One-time",IF(10=0,1,0),1)))))),"")</f>
        <v/>
      </c>
      <c r="Q61" s="10" t="str">
        <f ca="1">IFERROR(IF(OR(11&gt;=$B$1,Suppliers!A59="",NOT(ISNUMBER(Suppliers!D59)),Suppliers!L59="Expired",Suppliers!L59="Terminate"),"",Suppliers!D59*-1*IF(Suppliers!E59="Monthly",IF(AND(ISNUMBER(Suppliers!G59),(YEAR(EDATE(DATE(YEAR(TODAY()),MONTH(TODAY()),1),11))*12+MONTH(EDATE(DATE(YEAR(TODAY()),MONTH(TODAY()),1),11)))&gt;(YEAR(Suppliers!G59)*12+MONTH(Suppliers!G59))),"",1),IF(Suppliers!E59="Quarterly",IF(MOD((YEAR(EDATE(DATE(YEAR(TODAY()),MONTH(TODAY()),1),11))-YEAR(IF(ISNUMBER(Suppliers!F59),Suppliers!F59,DATE(YEAR(TODAY()),MONTH(TODAY()),1))))*12+MONTH(EDATE(DATE(YEAR(TODAY()),MONTH(TODAY()),1),11))-MONTH(IF(ISNUMBER(Suppliers!F59),Suppliers!F59,DATE(YEAR(TODAY()),MONTH(TODAY()),1))),3)=0,1,0),IF(Suppliers!E59="Semi-annual",IF(MOD((YEAR(EDATE(DATE(YEAR(TODAY()),MONTH(TODAY()),1),11))-YEAR(IF(ISNUMBER(Suppliers!F59),Suppliers!F59,DATE(YEAR(TODAY()),MONTH(TODAY()),1))))*12+MONTH(EDATE(DATE(YEAR(TODAY()),MONTH(TODAY()),1),11))-MONTH(IF(ISNUMBER(Suppliers!F59),Suppliers!F59,DATE(YEAR(TODAY()),MONTH(TODAY()),1))),6)=0,1,0),IF(Suppliers!E59="Annual",IF(MOD((YEAR(EDATE(DATE(YEAR(TODAY()),MONTH(TODAY()),1),11))-YEAR(IF(ISNUMBER(Suppliers!F59),Suppliers!F59,DATE(YEAR(TODAY()),MONTH(TODAY()),1))))*12+MONTH(EDATE(DATE(YEAR(TODAY()),MONTH(TODAY()),1),11))-MONTH(IF(ISNUMBER(Suppliers!F59),Suppliers!F59,DATE(YEAR(TODAY()),MONTH(TODAY()),1))),12)=0,1,0),IF(Suppliers!E59="One-time",IF(11=0,1,0),1)))))),"")</f>
        <v/>
      </c>
      <c r="R61" s="10" t="str">
        <f ca="1">IFERROR(IF(OR(12&gt;=$B$1,Suppliers!A59="",NOT(ISNUMBER(Suppliers!D59)),Suppliers!L59="Expired",Suppliers!L59="Terminate"),"",Suppliers!D59*-1*IF(Suppliers!E59="Monthly",IF(AND(ISNUMBER(Suppliers!G59),(YEAR(EDATE(DATE(YEAR(TODAY()),MONTH(TODAY()),1),12))*12+MONTH(EDATE(DATE(YEAR(TODAY()),MONTH(TODAY()),1),12)))&gt;(YEAR(Suppliers!G59)*12+MONTH(Suppliers!G59))),"",1),IF(Suppliers!E59="Quarterly",IF(MOD((YEAR(EDATE(DATE(YEAR(TODAY()),MONTH(TODAY()),1),12))-YEAR(IF(ISNUMBER(Suppliers!F59),Suppliers!F59,DATE(YEAR(TODAY()),MONTH(TODAY()),1))))*12+MONTH(EDATE(DATE(YEAR(TODAY()),MONTH(TODAY()),1),12))-MONTH(IF(ISNUMBER(Suppliers!F59),Suppliers!F59,DATE(YEAR(TODAY()),MONTH(TODAY()),1))),3)=0,1,0),IF(Suppliers!E59="Semi-annual",IF(MOD((YEAR(EDATE(DATE(YEAR(TODAY()),MONTH(TODAY()),1),12))-YEAR(IF(ISNUMBER(Suppliers!F59),Suppliers!F59,DATE(YEAR(TODAY()),MONTH(TODAY()),1))))*12+MONTH(EDATE(DATE(YEAR(TODAY()),MONTH(TODAY()),1),12))-MONTH(IF(ISNUMBER(Suppliers!F59),Suppliers!F59,DATE(YEAR(TODAY()),MONTH(TODAY()),1))),6)=0,1,0),IF(Suppliers!E59="Annual",IF(MOD((YEAR(EDATE(DATE(YEAR(TODAY()),MONTH(TODAY()),1),12))-YEAR(IF(ISNUMBER(Suppliers!F59),Suppliers!F59,DATE(YEAR(TODAY()),MONTH(TODAY()),1))))*12+MONTH(EDATE(DATE(YEAR(TODAY()),MONTH(TODAY()),1),12))-MONTH(IF(ISNUMBER(Suppliers!F59),Suppliers!F59,DATE(YEAR(TODAY()),MONTH(TODAY()),1))),12)=0,1,0),IF(Suppliers!E59="One-time",IF(12=0,1,0),1)))))),"")</f>
        <v/>
      </c>
      <c r="S61" s="10" t="str">
        <f ca="1">IFERROR(IF(OR(13&gt;=$B$1,Suppliers!A59="",NOT(ISNUMBER(Suppliers!D59)),Suppliers!L59="Expired",Suppliers!L59="Terminate"),"",Suppliers!D59*-1*IF(Suppliers!E59="Monthly",IF(AND(ISNUMBER(Suppliers!G59),(YEAR(EDATE(DATE(YEAR(TODAY()),MONTH(TODAY()),1),13))*12+MONTH(EDATE(DATE(YEAR(TODAY()),MONTH(TODAY()),1),13)))&gt;(YEAR(Suppliers!G59)*12+MONTH(Suppliers!G59))),"",1),IF(Suppliers!E59="Quarterly",IF(MOD((YEAR(EDATE(DATE(YEAR(TODAY()),MONTH(TODAY()),1),13))-YEAR(IF(ISNUMBER(Suppliers!F59),Suppliers!F59,DATE(YEAR(TODAY()),MONTH(TODAY()),1))))*12+MONTH(EDATE(DATE(YEAR(TODAY()),MONTH(TODAY()),1),13))-MONTH(IF(ISNUMBER(Suppliers!F59),Suppliers!F59,DATE(YEAR(TODAY()),MONTH(TODAY()),1))),3)=0,1,0),IF(Suppliers!E59="Semi-annual",IF(MOD((YEAR(EDATE(DATE(YEAR(TODAY()),MONTH(TODAY()),1),13))-YEAR(IF(ISNUMBER(Suppliers!F59),Suppliers!F59,DATE(YEAR(TODAY()),MONTH(TODAY()),1))))*12+MONTH(EDATE(DATE(YEAR(TODAY()),MONTH(TODAY()),1),13))-MONTH(IF(ISNUMBER(Suppliers!F59),Suppliers!F59,DATE(YEAR(TODAY()),MONTH(TODAY()),1))),6)=0,1,0),IF(Suppliers!E59="Annual",IF(MOD((YEAR(EDATE(DATE(YEAR(TODAY()),MONTH(TODAY()),1),13))-YEAR(IF(ISNUMBER(Suppliers!F59),Suppliers!F59,DATE(YEAR(TODAY()),MONTH(TODAY()),1))))*12+MONTH(EDATE(DATE(YEAR(TODAY()),MONTH(TODAY()),1),13))-MONTH(IF(ISNUMBER(Suppliers!F59),Suppliers!F59,DATE(YEAR(TODAY()),MONTH(TODAY()),1))),12)=0,1,0),IF(Suppliers!E59="One-time",IF(13=0,1,0),1)))))),"")</f>
        <v/>
      </c>
      <c r="T61" s="10" t="str">
        <f ca="1">IFERROR(IF(OR(14&gt;=$B$1,Suppliers!A59="",NOT(ISNUMBER(Suppliers!D59)),Suppliers!L59="Expired",Suppliers!L59="Terminate"),"",Suppliers!D59*-1*IF(Suppliers!E59="Monthly",IF(AND(ISNUMBER(Suppliers!G59),(YEAR(EDATE(DATE(YEAR(TODAY()),MONTH(TODAY()),1),14))*12+MONTH(EDATE(DATE(YEAR(TODAY()),MONTH(TODAY()),1),14)))&gt;(YEAR(Suppliers!G59)*12+MONTH(Suppliers!G59))),"",1),IF(Suppliers!E59="Quarterly",IF(MOD((YEAR(EDATE(DATE(YEAR(TODAY()),MONTH(TODAY()),1),14))-YEAR(IF(ISNUMBER(Suppliers!F59),Suppliers!F59,DATE(YEAR(TODAY()),MONTH(TODAY()),1))))*12+MONTH(EDATE(DATE(YEAR(TODAY()),MONTH(TODAY()),1),14))-MONTH(IF(ISNUMBER(Suppliers!F59),Suppliers!F59,DATE(YEAR(TODAY()),MONTH(TODAY()),1))),3)=0,1,0),IF(Suppliers!E59="Semi-annual",IF(MOD((YEAR(EDATE(DATE(YEAR(TODAY()),MONTH(TODAY()),1),14))-YEAR(IF(ISNUMBER(Suppliers!F59),Suppliers!F59,DATE(YEAR(TODAY()),MONTH(TODAY()),1))))*12+MONTH(EDATE(DATE(YEAR(TODAY()),MONTH(TODAY()),1),14))-MONTH(IF(ISNUMBER(Suppliers!F59),Suppliers!F59,DATE(YEAR(TODAY()),MONTH(TODAY()),1))),6)=0,1,0),IF(Suppliers!E59="Annual",IF(MOD((YEAR(EDATE(DATE(YEAR(TODAY()),MONTH(TODAY()),1),14))-YEAR(IF(ISNUMBER(Suppliers!F59),Suppliers!F59,DATE(YEAR(TODAY()),MONTH(TODAY()),1))))*12+MONTH(EDATE(DATE(YEAR(TODAY()),MONTH(TODAY()),1),14))-MONTH(IF(ISNUMBER(Suppliers!F59),Suppliers!F59,DATE(YEAR(TODAY()),MONTH(TODAY()),1))),12)=0,1,0),IF(Suppliers!E59="One-time",IF(14=0,1,0),1)))))),"")</f>
        <v/>
      </c>
      <c r="U61" s="10" t="str">
        <f ca="1">IFERROR(IF(OR(15&gt;=$B$1,Suppliers!A59="",NOT(ISNUMBER(Suppliers!D59)),Suppliers!L59="Expired",Suppliers!L59="Terminate"),"",Suppliers!D59*-1*IF(Suppliers!E59="Monthly",IF(AND(ISNUMBER(Suppliers!G59),(YEAR(EDATE(DATE(YEAR(TODAY()),MONTH(TODAY()),1),15))*12+MONTH(EDATE(DATE(YEAR(TODAY()),MONTH(TODAY()),1),15)))&gt;(YEAR(Suppliers!G59)*12+MONTH(Suppliers!G59))),"",1),IF(Suppliers!E59="Quarterly",IF(MOD((YEAR(EDATE(DATE(YEAR(TODAY()),MONTH(TODAY()),1),15))-YEAR(IF(ISNUMBER(Suppliers!F59),Suppliers!F59,DATE(YEAR(TODAY()),MONTH(TODAY()),1))))*12+MONTH(EDATE(DATE(YEAR(TODAY()),MONTH(TODAY()),1),15))-MONTH(IF(ISNUMBER(Suppliers!F59),Suppliers!F59,DATE(YEAR(TODAY()),MONTH(TODAY()),1))),3)=0,1,0),IF(Suppliers!E59="Semi-annual",IF(MOD((YEAR(EDATE(DATE(YEAR(TODAY()),MONTH(TODAY()),1),15))-YEAR(IF(ISNUMBER(Suppliers!F59),Suppliers!F59,DATE(YEAR(TODAY()),MONTH(TODAY()),1))))*12+MONTH(EDATE(DATE(YEAR(TODAY()),MONTH(TODAY()),1),15))-MONTH(IF(ISNUMBER(Suppliers!F59),Suppliers!F59,DATE(YEAR(TODAY()),MONTH(TODAY()),1))),6)=0,1,0),IF(Suppliers!E59="Annual",IF(MOD((YEAR(EDATE(DATE(YEAR(TODAY()),MONTH(TODAY()),1),15))-YEAR(IF(ISNUMBER(Suppliers!F59),Suppliers!F59,DATE(YEAR(TODAY()),MONTH(TODAY()),1))))*12+MONTH(EDATE(DATE(YEAR(TODAY()),MONTH(TODAY()),1),15))-MONTH(IF(ISNUMBER(Suppliers!F59),Suppliers!F59,DATE(YEAR(TODAY()),MONTH(TODAY()),1))),12)=0,1,0),IF(Suppliers!E59="One-time",IF(15=0,1,0),1)))))),"")</f>
        <v/>
      </c>
      <c r="V61" s="10" t="str">
        <f ca="1">IFERROR(IF(OR(16&gt;=$B$1,Suppliers!A59="",NOT(ISNUMBER(Suppliers!D59)),Suppliers!L59="Expired",Suppliers!L59="Terminate"),"",Suppliers!D59*-1*IF(Suppliers!E59="Monthly",IF(AND(ISNUMBER(Suppliers!G59),(YEAR(EDATE(DATE(YEAR(TODAY()),MONTH(TODAY()),1),16))*12+MONTH(EDATE(DATE(YEAR(TODAY()),MONTH(TODAY()),1),16)))&gt;(YEAR(Suppliers!G59)*12+MONTH(Suppliers!G59))),"",1),IF(Suppliers!E59="Quarterly",IF(MOD((YEAR(EDATE(DATE(YEAR(TODAY()),MONTH(TODAY()),1),16))-YEAR(IF(ISNUMBER(Suppliers!F59),Suppliers!F59,DATE(YEAR(TODAY()),MONTH(TODAY()),1))))*12+MONTH(EDATE(DATE(YEAR(TODAY()),MONTH(TODAY()),1),16))-MONTH(IF(ISNUMBER(Suppliers!F59),Suppliers!F59,DATE(YEAR(TODAY()),MONTH(TODAY()),1))),3)=0,1,0),IF(Suppliers!E59="Semi-annual",IF(MOD((YEAR(EDATE(DATE(YEAR(TODAY()),MONTH(TODAY()),1),16))-YEAR(IF(ISNUMBER(Suppliers!F59),Suppliers!F59,DATE(YEAR(TODAY()),MONTH(TODAY()),1))))*12+MONTH(EDATE(DATE(YEAR(TODAY()),MONTH(TODAY()),1),16))-MONTH(IF(ISNUMBER(Suppliers!F59),Suppliers!F59,DATE(YEAR(TODAY()),MONTH(TODAY()),1))),6)=0,1,0),IF(Suppliers!E59="Annual",IF(MOD((YEAR(EDATE(DATE(YEAR(TODAY()),MONTH(TODAY()),1),16))-YEAR(IF(ISNUMBER(Suppliers!F59),Suppliers!F59,DATE(YEAR(TODAY()),MONTH(TODAY()),1))))*12+MONTH(EDATE(DATE(YEAR(TODAY()),MONTH(TODAY()),1),16))-MONTH(IF(ISNUMBER(Suppliers!F59),Suppliers!F59,DATE(YEAR(TODAY()),MONTH(TODAY()),1))),12)=0,1,0),IF(Suppliers!E59="One-time",IF(16=0,1,0),1)))))),"")</f>
        <v/>
      </c>
      <c r="W61" s="10" t="str">
        <f ca="1">IFERROR(IF(OR(17&gt;=$B$1,Suppliers!A59="",NOT(ISNUMBER(Suppliers!D59)),Suppliers!L59="Expired",Suppliers!L59="Terminate"),"",Suppliers!D59*-1*IF(Suppliers!E59="Monthly",IF(AND(ISNUMBER(Suppliers!G59),(YEAR(EDATE(DATE(YEAR(TODAY()),MONTH(TODAY()),1),17))*12+MONTH(EDATE(DATE(YEAR(TODAY()),MONTH(TODAY()),1),17)))&gt;(YEAR(Suppliers!G59)*12+MONTH(Suppliers!G59))),"",1),IF(Suppliers!E59="Quarterly",IF(MOD((YEAR(EDATE(DATE(YEAR(TODAY()),MONTH(TODAY()),1),17))-YEAR(IF(ISNUMBER(Suppliers!F59),Suppliers!F59,DATE(YEAR(TODAY()),MONTH(TODAY()),1))))*12+MONTH(EDATE(DATE(YEAR(TODAY()),MONTH(TODAY()),1),17))-MONTH(IF(ISNUMBER(Suppliers!F59),Suppliers!F59,DATE(YEAR(TODAY()),MONTH(TODAY()),1))),3)=0,1,0),IF(Suppliers!E59="Semi-annual",IF(MOD((YEAR(EDATE(DATE(YEAR(TODAY()),MONTH(TODAY()),1),17))-YEAR(IF(ISNUMBER(Suppliers!F59),Suppliers!F59,DATE(YEAR(TODAY()),MONTH(TODAY()),1))))*12+MONTH(EDATE(DATE(YEAR(TODAY()),MONTH(TODAY()),1),17))-MONTH(IF(ISNUMBER(Suppliers!F59),Suppliers!F59,DATE(YEAR(TODAY()),MONTH(TODAY()),1))),6)=0,1,0),IF(Suppliers!E59="Annual",IF(MOD((YEAR(EDATE(DATE(YEAR(TODAY()),MONTH(TODAY()),1),17))-YEAR(IF(ISNUMBER(Suppliers!F59),Suppliers!F59,DATE(YEAR(TODAY()),MONTH(TODAY()),1))))*12+MONTH(EDATE(DATE(YEAR(TODAY()),MONTH(TODAY()),1),17))-MONTH(IF(ISNUMBER(Suppliers!F59),Suppliers!F59,DATE(YEAR(TODAY()),MONTH(TODAY()),1))),12)=0,1,0),IF(Suppliers!E59="One-time",IF(17=0,1,0),1)))))),"")</f>
        <v/>
      </c>
      <c r="X61" s="10" t="str">
        <f ca="1">IFERROR(IF(OR(18&gt;=$B$1,Suppliers!A59="",NOT(ISNUMBER(Suppliers!D59)),Suppliers!L59="Expired",Suppliers!L59="Terminate"),"",Suppliers!D59*-1*IF(Suppliers!E59="Monthly",IF(AND(ISNUMBER(Suppliers!G59),(YEAR(EDATE(DATE(YEAR(TODAY()),MONTH(TODAY()),1),18))*12+MONTH(EDATE(DATE(YEAR(TODAY()),MONTH(TODAY()),1),18)))&gt;(YEAR(Suppliers!G59)*12+MONTH(Suppliers!G59))),"",1),IF(Suppliers!E59="Quarterly",IF(MOD((YEAR(EDATE(DATE(YEAR(TODAY()),MONTH(TODAY()),1),18))-YEAR(IF(ISNUMBER(Suppliers!F59),Suppliers!F59,DATE(YEAR(TODAY()),MONTH(TODAY()),1))))*12+MONTH(EDATE(DATE(YEAR(TODAY()),MONTH(TODAY()),1),18))-MONTH(IF(ISNUMBER(Suppliers!F59),Suppliers!F59,DATE(YEAR(TODAY()),MONTH(TODAY()),1))),3)=0,1,0),IF(Suppliers!E59="Semi-annual",IF(MOD((YEAR(EDATE(DATE(YEAR(TODAY()),MONTH(TODAY()),1),18))-YEAR(IF(ISNUMBER(Suppliers!F59),Suppliers!F59,DATE(YEAR(TODAY()),MONTH(TODAY()),1))))*12+MONTH(EDATE(DATE(YEAR(TODAY()),MONTH(TODAY()),1),18))-MONTH(IF(ISNUMBER(Suppliers!F59),Suppliers!F59,DATE(YEAR(TODAY()),MONTH(TODAY()),1))),6)=0,1,0),IF(Suppliers!E59="Annual",IF(MOD((YEAR(EDATE(DATE(YEAR(TODAY()),MONTH(TODAY()),1),18))-YEAR(IF(ISNUMBER(Suppliers!F59),Suppliers!F59,DATE(YEAR(TODAY()),MONTH(TODAY()),1))))*12+MONTH(EDATE(DATE(YEAR(TODAY()),MONTH(TODAY()),1),18))-MONTH(IF(ISNUMBER(Suppliers!F59),Suppliers!F59,DATE(YEAR(TODAY()),MONTH(TODAY()),1))),12)=0,1,0),IF(Suppliers!E59="One-time",IF(18=0,1,0),1)))))),"")</f>
        <v/>
      </c>
      <c r="Y61" s="10" t="str">
        <f ca="1">IFERROR(IF(OR(19&gt;=$B$1,Suppliers!A59="",NOT(ISNUMBER(Suppliers!D59)),Suppliers!L59="Expired",Suppliers!L59="Terminate"),"",Suppliers!D59*-1*IF(Suppliers!E59="Monthly",IF(AND(ISNUMBER(Suppliers!G59),(YEAR(EDATE(DATE(YEAR(TODAY()),MONTH(TODAY()),1),19))*12+MONTH(EDATE(DATE(YEAR(TODAY()),MONTH(TODAY()),1),19)))&gt;(YEAR(Suppliers!G59)*12+MONTH(Suppliers!G59))),"",1),IF(Suppliers!E59="Quarterly",IF(MOD((YEAR(EDATE(DATE(YEAR(TODAY()),MONTH(TODAY()),1),19))-YEAR(IF(ISNUMBER(Suppliers!F59),Suppliers!F59,DATE(YEAR(TODAY()),MONTH(TODAY()),1))))*12+MONTH(EDATE(DATE(YEAR(TODAY()),MONTH(TODAY()),1),19))-MONTH(IF(ISNUMBER(Suppliers!F59),Suppliers!F59,DATE(YEAR(TODAY()),MONTH(TODAY()),1))),3)=0,1,0),IF(Suppliers!E59="Semi-annual",IF(MOD((YEAR(EDATE(DATE(YEAR(TODAY()),MONTH(TODAY()),1),19))-YEAR(IF(ISNUMBER(Suppliers!F59),Suppliers!F59,DATE(YEAR(TODAY()),MONTH(TODAY()),1))))*12+MONTH(EDATE(DATE(YEAR(TODAY()),MONTH(TODAY()),1),19))-MONTH(IF(ISNUMBER(Suppliers!F59),Suppliers!F59,DATE(YEAR(TODAY()),MONTH(TODAY()),1))),6)=0,1,0),IF(Suppliers!E59="Annual",IF(MOD((YEAR(EDATE(DATE(YEAR(TODAY()),MONTH(TODAY()),1),19))-YEAR(IF(ISNUMBER(Suppliers!F59),Suppliers!F59,DATE(YEAR(TODAY()),MONTH(TODAY()),1))))*12+MONTH(EDATE(DATE(YEAR(TODAY()),MONTH(TODAY()),1),19))-MONTH(IF(ISNUMBER(Suppliers!F59),Suppliers!F59,DATE(YEAR(TODAY()),MONTH(TODAY()),1))),12)=0,1,0),IF(Suppliers!E59="One-time",IF(19=0,1,0),1)))))),"")</f>
        <v/>
      </c>
      <c r="Z61" s="10" t="str">
        <f ca="1">IFERROR(IF(OR(20&gt;=$B$1,Suppliers!A59="",NOT(ISNUMBER(Suppliers!D59)),Suppliers!L59="Expired",Suppliers!L59="Terminate"),"",Suppliers!D59*-1*IF(Suppliers!E59="Monthly",IF(AND(ISNUMBER(Suppliers!G59),(YEAR(EDATE(DATE(YEAR(TODAY()),MONTH(TODAY()),1),20))*12+MONTH(EDATE(DATE(YEAR(TODAY()),MONTH(TODAY()),1),20)))&gt;(YEAR(Suppliers!G59)*12+MONTH(Suppliers!G59))),"",1),IF(Suppliers!E59="Quarterly",IF(MOD((YEAR(EDATE(DATE(YEAR(TODAY()),MONTH(TODAY()),1),20))-YEAR(IF(ISNUMBER(Suppliers!F59),Suppliers!F59,DATE(YEAR(TODAY()),MONTH(TODAY()),1))))*12+MONTH(EDATE(DATE(YEAR(TODAY()),MONTH(TODAY()),1),20))-MONTH(IF(ISNUMBER(Suppliers!F59),Suppliers!F59,DATE(YEAR(TODAY()),MONTH(TODAY()),1))),3)=0,1,0),IF(Suppliers!E59="Semi-annual",IF(MOD((YEAR(EDATE(DATE(YEAR(TODAY()),MONTH(TODAY()),1),20))-YEAR(IF(ISNUMBER(Suppliers!F59),Suppliers!F59,DATE(YEAR(TODAY()),MONTH(TODAY()),1))))*12+MONTH(EDATE(DATE(YEAR(TODAY()),MONTH(TODAY()),1),20))-MONTH(IF(ISNUMBER(Suppliers!F59),Suppliers!F59,DATE(YEAR(TODAY()),MONTH(TODAY()),1))),6)=0,1,0),IF(Suppliers!E59="Annual",IF(MOD((YEAR(EDATE(DATE(YEAR(TODAY()),MONTH(TODAY()),1),20))-YEAR(IF(ISNUMBER(Suppliers!F59),Suppliers!F59,DATE(YEAR(TODAY()),MONTH(TODAY()),1))))*12+MONTH(EDATE(DATE(YEAR(TODAY()),MONTH(TODAY()),1),20))-MONTH(IF(ISNUMBER(Suppliers!F59),Suppliers!F59,DATE(YEAR(TODAY()),MONTH(TODAY()),1))),12)=0,1,0),IF(Suppliers!E59="One-time",IF(20=0,1,0),1)))))),"")</f>
        <v/>
      </c>
      <c r="AA61" s="10" t="str">
        <f ca="1">IFERROR(IF(OR(21&gt;=$B$1,Suppliers!A59="",NOT(ISNUMBER(Suppliers!D59)),Suppliers!L59="Expired",Suppliers!L59="Terminate"),"",Suppliers!D59*-1*IF(Suppliers!E59="Monthly",IF(AND(ISNUMBER(Suppliers!G59),(YEAR(EDATE(DATE(YEAR(TODAY()),MONTH(TODAY()),1),21))*12+MONTH(EDATE(DATE(YEAR(TODAY()),MONTH(TODAY()),1),21)))&gt;(YEAR(Suppliers!G59)*12+MONTH(Suppliers!G59))),"",1),IF(Suppliers!E59="Quarterly",IF(MOD((YEAR(EDATE(DATE(YEAR(TODAY()),MONTH(TODAY()),1),21))-YEAR(IF(ISNUMBER(Suppliers!F59),Suppliers!F59,DATE(YEAR(TODAY()),MONTH(TODAY()),1))))*12+MONTH(EDATE(DATE(YEAR(TODAY()),MONTH(TODAY()),1),21))-MONTH(IF(ISNUMBER(Suppliers!F59),Suppliers!F59,DATE(YEAR(TODAY()),MONTH(TODAY()),1))),3)=0,1,0),IF(Suppliers!E59="Semi-annual",IF(MOD((YEAR(EDATE(DATE(YEAR(TODAY()),MONTH(TODAY()),1),21))-YEAR(IF(ISNUMBER(Suppliers!F59),Suppliers!F59,DATE(YEAR(TODAY()),MONTH(TODAY()),1))))*12+MONTH(EDATE(DATE(YEAR(TODAY()),MONTH(TODAY()),1),21))-MONTH(IF(ISNUMBER(Suppliers!F59),Suppliers!F59,DATE(YEAR(TODAY()),MONTH(TODAY()),1))),6)=0,1,0),IF(Suppliers!E59="Annual",IF(MOD((YEAR(EDATE(DATE(YEAR(TODAY()),MONTH(TODAY()),1),21))-YEAR(IF(ISNUMBER(Suppliers!F59),Suppliers!F59,DATE(YEAR(TODAY()),MONTH(TODAY()),1))))*12+MONTH(EDATE(DATE(YEAR(TODAY()),MONTH(TODAY()),1),21))-MONTH(IF(ISNUMBER(Suppliers!F59),Suppliers!F59,DATE(YEAR(TODAY()),MONTH(TODAY()),1))),12)=0,1,0),IF(Suppliers!E59="One-time",IF(21=0,1,0),1)))))),"")</f>
        <v/>
      </c>
      <c r="AB61" s="10" t="str">
        <f ca="1">IFERROR(IF(OR(22&gt;=$B$1,Suppliers!A59="",NOT(ISNUMBER(Suppliers!D59)),Suppliers!L59="Expired",Suppliers!L59="Terminate"),"",Suppliers!D59*-1*IF(Suppliers!E59="Monthly",IF(AND(ISNUMBER(Suppliers!G59),(YEAR(EDATE(DATE(YEAR(TODAY()),MONTH(TODAY()),1),22))*12+MONTH(EDATE(DATE(YEAR(TODAY()),MONTH(TODAY()),1),22)))&gt;(YEAR(Suppliers!G59)*12+MONTH(Suppliers!G59))),"",1),IF(Suppliers!E59="Quarterly",IF(MOD((YEAR(EDATE(DATE(YEAR(TODAY()),MONTH(TODAY()),1),22))-YEAR(IF(ISNUMBER(Suppliers!F59),Suppliers!F59,DATE(YEAR(TODAY()),MONTH(TODAY()),1))))*12+MONTH(EDATE(DATE(YEAR(TODAY()),MONTH(TODAY()),1),22))-MONTH(IF(ISNUMBER(Suppliers!F59),Suppliers!F59,DATE(YEAR(TODAY()),MONTH(TODAY()),1))),3)=0,1,0),IF(Suppliers!E59="Semi-annual",IF(MOD((YEAR(EDATE(DATE(YEAR(TODAY()),MONTH(TODAY()),1),22))-YEAR(IF(ISNUMBER(Suppliers!F59),Suppliers!F59,DATE(YEAR(TODAY()),MONTH(TODAY()),1))))*12+MONTH(EDATE(DATE(YEAR(TODAY()),MONTH(TODAY()),1),22))-MONTH(IF(ISNUMBER(Suppliers!F59),Suppliers!F59,DATE(YEAR(TODAY()),MONTH(TODAY()),1))),6)=0,1,0),IF(Suppliers!E59="Annual",IF(MOD((YEAR(EDATE(DATE(YEAR(TODAY()),MONTH(TODAY()),1),22))-YEAR(IF(ISNUMBER(Suppliers!F59),Suppliers!F59,DATE(YEAR(TODAY()),MONTH(TODAY()),1))))*12+MONTH(EDATE(DATE(YEAR(TODAY()),MONTH(TODAY()),1),22))-MONTH(IF(ISNUMBER(Suppliers!F59),Suppliers!F59,DATE(YEAR(TODAY()),MONTH(TODAY()),1))),12)=0,1,0),IF(Suppliers!E59="One-time",IF(22=0,1,0),1)))))),"")</f>
        <v/>
      </c>
      <c r="AC61" s="10" t="str">
        <f ca="1">IFERROR(IF(OR(23&gt;=$B$1,Suppliers!A59="",NOT(ISNUMBER(Suppliers!D59)),Suppliers!L59="Expired",Suppliers!L59="Terminate"),"",Suppliers!D59*-1*IF(Suppliers!E59="Monthly",IF(AND(ISNUMBER(Suppliers!G59),(YEAR(EDATE(DATE(YEAR(TODAY()),MONTH(TODAY()),1),23))*12+MONTH(EDATE(DATE(YEAR(TODAY()),MONTH(TODAY()),1),23)))&gt;(YEAR(Suppliers!G59)*12+MONTH(Suppliers!G59))),"",1),IF(Suppliers!E59="Quarterly",IF(MOD((YEAR(EDATE(DATE(YEAR(TODAY()),MONTH(TODAY()),1),23))-YEAR(IF(ISNUMBER(Suppliers!F59),Suppliers!F59,DATE(YEAR(TODAY()),MONTH(TODAY()),1))))*12+MONTH(EDATE(DATE(YEAR(TODAY()),MONTH(TODAY()),1),23))-MONTH(IF(ISNUMBER(Suppliers!F59),Suppliers!F59,DATE(YEAR(TODAY()),MONTH(TODAY()),1))),3)=0,1,0),IF(Suppliers!E59="Semi-annual",IF(MOD((YEAR(EDATE(DATE(YEAR(TODAY()),MONTH(TODAY()),1),23))-YEAR(IF(ISNUMBER(Suppliers!F59),Suppliers!F59,DATE(YEAR(TODAY()),MONTH(TODAY()),1))))*12+MONTH(EDATE(DATE(YEAR(TODAY()),MONTH(TODAY()),1),23))-MONTH(IF(ISNUMBER(Suppliers!F59),Suppliers!F59,DATE(YEAR(TODAY()),MONTH(TODAY()),1))),6)=0,1,0),IF(Suppliers!E59="Annual",IF(MOD((YEAR(EDATE(DATE(YEAR(TODAY()),MONTH(TODAY()),1),23))-YEAR(IF(ISNUMBER(Suppliers!F59),Suppliers!F59,DATE(YEAR(TODAY()),MONTH(TODAY()),1))))*12+MONTH(EDATE(DATE(YEAR(TODAY()),MONTH(TODAY()),1),23))-MONTH(IF(ISNUMBER(Suppliers!F59),Suppliers!F59,DATE(YEAR(TODAY()),MONTH(TODAY()),1))),12)=0,1,0),IF(Suppliers!E59="One-time",IF(23=0,1,0),1)))))),"")</f>
        <v/>
      </c>
      <c r="AD61" s="10" t="str">
        <f ca="1">IFERROR(IF(OR(1&gt;=$B$1,Suppliers!X59="",NOT(ISNUMBER(Suppliers!AA59))),"",IF(OR(Suppliers!AI59="Expired",Suppliers!AI59="Terminate"),"",Suppliers!AA59*-1*IF(Suppliers!AB59="Monthly",1,IF(Suppliers!AB59="Quarterly",IF(MOD(DATEDIF(IF(ISNUMBER(Suppliers!AC59),Suppliers!AC59,DATE(YEAR(TODAY()),MONTH(TODAY()),1)),EDATE(DATE(YEAR(TODAY()),MONTH(TODAY()),1),1),"M"),3)=0,1,0),IF(Suppliers!AB59="Semi-annual",IF(MOD(DATEDIF(IF(ISNUMBER(Suppliers!AC59),Suppliers!AC59,DATE(YEAR(TODAY()),MONTH(TODAY()),1)),EDATE(DATE(YEAR(TODAY()),MONTH(TODAY()),1),1),"M"),6)=0,1,0),IF(Suppliers!AB59="Annual",IF(MOD(DATEDIF(IF(ISNUMBER(Suppliers!AC59),Suppliers!AC59,DATE(YEAR(TODAY()),MONTH(TODAY()),1)),EDATE(DATE(YEAR(TODAY()),MONTH(TODAY()),1),1),"M"),12)=0,1,0),IF(Suppliers!AB59="One-time",IF(1=0,1,0),1))))))),"")</f>
        <v/>
      </c>
    </row>
    <row r="62" spans="1:30" ht="15" customHeight="1" x14ac:dyDescent="0.35">
      <c r="A62" s="4" t="s">
        <v>80</v>
      </c>
      <c r="B62" s="4" t="str">
        <f>IF(Suppliers!A60="","",Suppliers!A60)</f>
        <v/>
      </c>
      <c r="C62" s="10" t="str">
        <f>IF(Suppliers!C60="","",Suppliers!C60)</f>
        <v/>
      </c>
      <c r="D62" s="10" t="str">
        <f>IF(Suppliers!D60="","",Suppliers!D60)</f>
        <v/>
      </c>
      <c r="E62" s="4" t="str">
        <f>IF(Suppliers!E60="","",Suppliers!E60)</f>
        <v/>
      </c>
      <c r="F62" s="10" t="str">
        <f ca="1">IFERROR(IF(OR(0&gt;=$B$1,Suppliers!A60="",NOT(ISNUMBER(Suppliers!D60)),Suppliers!L60="Expired",Suppliers!L60="Terminate"),"",Suppliers!D60*-1*IF(Suppliers!E60="Monthly",IF(AND(ISNUMBER(Suppliers!G60),(YEAR(EDATE(DATE(YEAR(TODAY()),MONTH(TODAY()),1),0))*12+MONTH(EDATE(DATE(YEAR(TODAY()),MONTH(TODAY()),1),0)))&gt;(YEAR(Suppliers!G60)*12+MONTH(Suppliers!G60))),"",1),IF(Suppliers!E60="Quarterly",IF(MOD((YEAR(EDATE(DATE(YEAR(TODAY()),MONTH(TODAY()),1),0))-YEAR(IF(ISNUMBER(Suppliers!F60),Suppliers!F60,DATE(YEAR(TODAY()),MONTH(TODAY()),1))))*12+MONTH(EDATE(DATE(YEAR(TODAY()),MONTH(TODAY()),1),0))-MONTH(IF(ISNUMBER(Suppliers!F60),Suppliers!F60,DATE(YEAR(TODAY()),MONTH(TODAY()),1))),3)=0,1,0),IF(Suppliers!E60="Semi-annual",IF(MOD((YEAR(EDATE(DATE(YEAR(TODAY()),MONTH(TODAY()),1),0))-YEAR(IF(ISNUMBER(Suppliers!F60),Suppliers!F60,DATE(YEAR(TODAY()),MONTH(TODAY()),1))))*12+MONTH(EDATE(DATE(YEAR(TODAY()),MONTH(TODAY()),1),0))-MONTH(IF(ISNUMBER(Suppliers!F60),Suppliers!F60,DATE(YEAR(TODAY()),MONTH(TODAY()),1))),6)=0,1,0),IF(Suppliers!E60="Annual",IF(MOD((YEAR(EDATE(DATE(YEAR(TODAY()),MONTH(TODAY()),1),0))-YEAR(IF(ISNUMBER(Suppliers!F60),Suppliers!F60,DATE(YEAR(TODAY()),MONTH(TODAY()),1))))*12+MONTH(EDATE(DATE(YEAR(TODAY()),MONTH(TODAY()),1),0))-MONTH(IF(ISNUMBER(Suppliers!F60),Suppliers!F60,DATE(YEAR(TODAY()),MONTH(TODAY()),1))),12)=0,1,0),IF(Suppliers!E60="One-time",IF(0=0,1,0),1)))))),"")</f>
        <v/>
      </c>
      <c r="G62" s="10" t="str">
        <f ca="1">IFERROR(IF(OR(1&gt;=$B$1,Suppliers!A60="",NOT(ISNUMBER(Suppliers!D60)),Suppliers!L60="Expired",Suppliers!L60="Terminate"),"",Suppliers!D60*-1*IF(Suppliers!E60="Monthly",IF(AND(ISNUMBER(Suppliers!G60),(YEAR(EDATE(DATE(YEAR(TODAY()),MONTH(TODAY()),1),1))*12+MONTH(EDATE(DATE(YEAR(TODAY()),MONTH(TODAY()),1),1)))&gt;(YEAR(Suppliers!G60)*12+MONTH(Suppliers!G60))),"",1),IF(Suppliers!E60="Quarterly",IF(MOD((YEAR(EDATE(DATE(YEAR(TODAY()),MONTH(TODAY()),1),1))-YEAR(IF(ISNUMBER(Suppliers!F60),Suppliers!F60,DATE(YEAR(TODAY()),MONTH(TODAY()),1))))*12+MONTH(EDATE(DATE(YEAR(TODAY()),MONTH(TODAY()),1),1))-MONTH(IF(ISNUMBER(Suppliers!F60),Suppliers!F60,DATE(YEAR(TODAY()),MONTH(TODAY()),1))),3)=0,1,0),IF(Suppliers!E60="Semi-annual",IF(MOD((YEAR(EDATE(DATE(YEAR(TODAY()),MONTH(TODAY()),1),1))-YEAR(IF(ISNUMBER(Suppliers!F60),Suppliers!F60,DATE(YEAR(TODAY()),MONTH(TODAY()),1))))*12+MONTH(EDATE(DATE(YEAR(TODAY()),MONTH(TODAY()),1),1))-MONTH(IF(ISNUMBER(Suppliers!F60),Suppliers!F60,DATE(YEAR(TODAY()),MONTH(TODAY()),1))),6)=0,1,0),IF(Suppliers!E60="Annual",IF(MOD((YEAR(EDATE(DATE(YEAR(TODAY()),MONTH(TODAY()),1),1))-YEAR(IF(ISNUMBER(Suppliers!F60),Suppliers!F60,DATE(YEAR(TODAY()),MONTH(TODAY()),1))))*12+MONTH(EDATE(DATE(YEAR(TODAY()),MONTH(TODAY()),1),1))-MONTH(IF(ISNUMBER(Suppliers!F60),Suppliers!F60,DATE(YEAR(TODAY()),MONTH(TODAY()),1))),12)=0,1,0),IF(Suppliers!E60="One-time",IF(1=0,1,0),1)))))),"")</f>
        <v/>
      </c>
      <c r="H62" s="10" t="str">
        <f ca="1">IFERROR(IF(OR(2&gt;=$B$1,Suppliers!A60="",NOT(ISNUMBER(Suppliers!D60)),Suppliers!L60="Expired",Suppliers!L60="Terminate"),"",Suppliers!D60*-1*IF(Suppliers!E60="Monthly",IF(AND(ISNUMBER(Suppliers!G60),(YEAR(EDATE(DATE(YEAR(TODAY()),MONTH(TODAY()),1),2))*12+MONTH(EDATE(DATE(YEAR(TODAY()),MONTH(TODAY()),1),2)))&gt;(YEAR(Suppliers!G60)*12+MONTH(Suppliers!G60))),"",1),IF(Suppliers!E60="Quarterly",IF(MOD((YEAR(EDATE(DATE(YEAR(TODAY()),MONTH(TODAY()),1),2))-YEAR(IF(ISNUMBER(Suppliers!F60),Suppliers!F60,DATE(YEAR(TODAY()),MONTH(TODAY()),1))))*12+MONTH(EDATE(DATE(YEAR(TODAY()),MONTH(TODAY()),1),2))-MONTH(IF(ISNUMBER(Suppliers!F60),Suppliers!F60,DATE(YEAR(TODAY()),MONTH(TODAY()),1))),3)=0,1,0),IF(Suppliers!E60="Semi-annual",IF(MOD((YEAR(EDATE(DATE(YEAR(TODAY()),MONTH(TODAY()),1),2))-YEAR(IF(ISNUMBER(Suppliers!F60),Suppliers!F60,DATE(YEAR(TODAY()),MONTH(TODAY()),1))))*12+MONTH(EDATE(DATE(YEAR(TODAY()),MONTH(TODAY()),1),2))-MONTH(IF(ISNUMBER(Suppliers!F60),Suppliers!F60,DATE(YEAR(TODAY()),MONTH(TODAY()),1))),6)=0,1,0),IF(Suppliers!E60="Annual",IF(MOD((YEAR(EDATE(DATE(YEAR(TODAY()),MONTH(TODAY()),1),2))-YEAR(IF(ISNUMBER(Suppliers!F60),Suppliers!F60,DATE(YEAR(TODAY()),MONTH(TODAY()),1))))*12+MONTH(EDATE(DATE(YEAR(TODAY()),MONTH(TODAY()),1),2))-MONTH(IF(ISNUMBER(Suppliers!F60),Suppliers!F60,DATE(YEAR(TODAY()),MONTH(TODAY()),1))),12)=0,1,0),IF(Suppliers!E60="One-time",IF(2=0,1,0),1)))))),"")</f>
        <v/>
      </c>
      <c r="I62" s="10" t="str">
        <f ca="1">IFERROR(IF(OR(3&gt;=$B$1,Suppliers!A60="",NOT(ISNUMBER(Suppliers!D60)),Suppliers!L60="Expired",Suppliers!L60="Terminate"),"",Suppliers!D60*-1*IF(Suppliers!E60="Monthly",IF(AND(ISNUMBER(Suppliers!G60),(YEAR(EDATE(DATE(YEAR(TODAY()),MONTH(TODAY()),1),3))*12+MONTH(EDATE(DATE(YEAR(TODAY()),MONTH(TODAY()),1),3)))&gt;(YEAR(Suppliers!G60)*12+MONTH(Suppliers!G60))),"",1),IF(Suppliers!E60="Quarterly",IF(MOD((YEAR(EDATE(DATE(YEAR(TODAY()),MONTH(TODAY()),1),3))-YEAR(IF(ISNUMBER(Suppliers!F60),Suppliers!F60,DATE(YEAR(TODAY()),MONTH(TODAY()),1))))*12+MONTH(EDATE(DATE(YEAR(TODAY()),MONTH(TODAY()),1),3))-MONTH(IF(ISNUMBER(Suppliers!F60),Suppliers!F60,DATE(YEAR(TODAY()),MONTH(TODAY()),1))),3)=0,1,0),IF(Suppliers!E60="Semi-annual",IF(MOD((YEAR(EDATE(DATE(YEAR(TODAY()),MONTH(TODAY()),1),3))-YEAR(IF(ISNUMBER(Suppliers!F60),Suppliers!F60,DATE(YEAR(TODAY()),MONTH(TODAY()),1))))*12+MONTH(EDATE(DATE(YEAR(TODAY()),MONTH(TODAY()),1),3))-MONTH(IF(ISNUMBER(Suppliers!F60),Suppliers!F60,DATE(YEAR(TODAY()),MONTH(TODAY()),1))),6)=0,1,0),IF(Suppliers!E60="Annual",IF(MOD((YEAR(EDATE(DATE(YEAR(TODAY()),MONTH(TODAY()),1),3))-YEAR(IF(ISNUMBER(Suppliers!F60),Suppliers!F60,DATE(YEAR(TODAY()),MONTH(TODAY()),1))))*12+MONTH(EDATE(DATE(YEAR(TODAY()),MONTH(TODAY()),1),3))-MONTH(IF(ISNUMBER(Suppliers!F60),Suppliers!F60,DATE(YEAR(TODAY()),MONTH(TODAY()),1))),12)=0,1,0),IF(Suppliers!E60="One-time",IF(3=0,1,0),1)))))),"")</f>
        <v/>
      </c>
      <c r="J62" s="10" t="str">
        <f ca="1">IFERROR(IF(OR(4&gt;=$B$1,Suppliers!A60="",NOT(ISNUMBER(Suppliers!D60)),Suppliers!L60="Expired",Suppliers!L60="Terminate"),"",Suppliers!D60*-1*IF(Suppliers!E60="Monthly",IF(AND(ISNUMBER(Suppliers!G60),(YEAR(EDATE(DATE(YEAR(TODAY()),MONTH(TODAY()),1),4))*12+MONTH(EDATE(DATE(YEAR(TODAY()),MONTH(TODAY()),1),4)))&gt;(YEAR(Suppliers!G60)*12+MONTH(Suppliers!G60))),"",1),IF(Suppliers!E60="Quarterly",IF(MOD((YEAR(EDATE(DATE(YEAR(TODAY()),MONTH(TODAY()),1),4))-YEAR(IF(ISNUMBER(Suppliers!F60),Suppliers!F60,DATE(YEAR(TODAY()),MONTH(TODAY()),1))))*12+MONTH(EDATE(DATE(YEAR(TODAY()),MONTH(TODAY()),1),4))-MONTH(IF(ISNUMBER(Suppliers!F60),Suppliers!F60,DATE(YEAR(TODAY()),MONTH(TODAY()),1))),3)=0,1,0),IF(Suppliers!E60="Semi-annual",IF(MOD((YEAR(EDATE(DATE(YEAR(TODAY()),MONTH(TODAY()),1),4))-YEAR(IF(ISNUMBER(Suppliers!F60),Suppliers!F60,DATE(YEAR(TODAY()),MONTH(TODAY()),1))))*12+MONTH(EDATE(DATE(YEAR(TODAY()),MONTH(TODAY()),1),4))-MONTH(IF(ISNUMBER(Suppliers!F60),Suppliers!F60,DATE(YEAR(TODAY()),MONTH(TODAY()),1))),6)=0,1,0),IF(Suppliers!E60="Annual",IF(MOD((YEAR(EDATE(DATE(YEAR(TODAY()),MONTH(TODAY()),1),4))-YEAR(IF(ISNUMBER(Suppliers!F60),Suppliers!F60,DATE(YEAR(TODAY()),MONTH(TODAY()),1))))*12+MONTH(EDATE(DATE(YEAR(TODAY()),MONTH(TODAY()),1),4))-MONTH(IF(ISNUMBER(Suppliers!F60),Suppliers!F60,DATE(YEAR(TODAY()),MONTH(TODAY()),1))),12)=0,1,0),IF(Suppliers!E60="One-time",IF(4=0,1,0),1)))))),"")</f>
        <v/>
      </c>
      <c r="K62" s="10" t="str">
        <f ca="1">IFERROR(IF(OR(5&gt;=$B$1,Suppliers!A60="",NOT(ISNUMBER(Suppliers!D60)),Suppliers!L60="Expired",Suppliers!L60="Terminate"),"",Suppliers!D60*-1*IF(Suppliers!E60="Monthly",IF(AND(ISNUMBER(Suppliers!G60),(YEAR(EDATE(DATE(YEAR(TODAY()),MONTH(TODAY()),1),5))*12+MONTH(EDATE(DATE(YEAR(TODAY()),MONTH(TODAY()),1),5)))&gt;(YEAR(Suppliers!G60)*12+MONTH(Suppliers!G60))),"",1),IF(Suppliers!E60="Quarterly",IF(MOD((YEAR(EDATE(DATE(YEAR(TODAY()),MONTH(TODAY()),1),5))-YEAR(IF(ISNUMBER(Suppliers!F60),Suppliers!F60,DATE(YEAR(TODAY()),MONTH(TODAY()),1))))*12+MONTH(EDATE(DATE(YEAR(TODAY()),MONTH(TODAY()),1),5))-MONTH(IF(ISNUMBER(Suppliers!F60),Suppliers!F60,DATE(YEAR(TODAY()),MONTH(TODAY()),1))),3)=0,1,0),IF(Suppliers!E60="Semi-annual",IF(MOD((YEAR(EDATE(DATE(YEAR(TODAY()),MONTH(TODAY()),1),5))-YEAR(IF(ISNUMBER(Suppliers!F60),Suppliers!F60,DATE(YEAR(TODAY()),MONTH(TODAY()),1))))*12+MONTH(EDATE(DATE(YEAR(TODAY()),MONTH(TODAY()),1),5))-MONTH(IF(ISNUMBER(Suppliers!F60),Suppliers!F60,DATE(YEAR(TODAY()),MONTH(TODAY()),1))),6)=0,1,0),IF(Suppliers!E60="Annual",IF(MOD((YEAR(EDATE(DATE(YEAR(TODAY()),MONTH(TODAY()),1),5))-YEAR(IF(ISNUMBER(Suppliers!F60),Suppliers!F60,DATE(YEAR(TODAY()),MONTH(TODAY()),1))))*12+MONTH(EDATE(DATE(YEAR(TODAY()),MONTH(TODAY()),1),5))-MONTH(IF(ISNUMBER(Suppliers!F60),Suppliers!F60,DATE(YEAR(TODAY()),MONTH(TODAY()),1))),12)=0,1,0),IF(Suppliers!E60="One-time",IF(5=0,1,0),1)))))),"")</f>
        <v/>
      </c>
      <c r="L62" s="10" t="str">
        <f ca="1">IFERROR(IF(OR(6&gt;=$B$1,Suppliers!A60="",NOT(ISNUMBER(Suppliers!D60)),Suppliers!L60="Expired",Suppliers!L60="Terminate"),"",Suppliers!D60*-1*IF(Suppliers!E60="Monthly",IF(AND(ISNUMBER(Suppliers!G60),(YEAR(EDATE(DATE(YEAR(TODAY()),MONTH(TODAY()),1),6))*12+MONTH(EDATE(DATE(YEAR(TODAY()),MONTH(TODAY()),1),6)))&gt;(YEAR(Suppliers!G60)*12+MONTH(Suppliers!G60))),"",1),IF(Suppliers!E60="Quarterly",IF(MOD((YEAR(EDATE(DATE(YEAR(TODAY()),MONTH(TODAY()),1),6))-YEAR(IF(ISNUMBER(Suppliers!F60),Suppliers!F60,DATE(YEAR(TODAY()),MONTH(TODAY()),1))))*12+MONTH(EDATE(DATE(YEAR(TODAY()),MONTH(TODAY()),1),6))-MONTH(IF(ISNUMBER(Suppliers!F60),Suppliers!F60,DATE(YEAR(TODAY()),MONTH(TODAY()),1))),3)=0,1,0),IF(Suppliers!E60="Semi-annual",IF(MOD((YEAR(EDATE(DATE(YEAR(TODAY()),MONTH(TODAY()),1),6))-YEAR(IF(ISNUMBER(Suppliers!F60),Suppliers!F60,DATE(YEAR(TODAY()),MONTH(TODAY()),1))))*12+MONTH(EDATE(DATE(YEAR(TODAY()),MONTH(TODAY()),1),6))-MONTH(IF(ISNUMBER(Suppliers!F60),Suppliers!F60,DATE(YEAR(TODAY()),MONTH(TODAY()),1))),6)=0,1,0),IF(Suppliers!E60="Annual",IF(MOD((YEAR(EDATE(DATE(YEAR(TODAY()),MONTH(TODAY()),1),6))-YEAR(IF(ISNUMBER(Suppliers!F60),Suppliers!F60,DATE(YEAR(TODAY()),MONTH(TODAY()),1))))*12+MONTH(EDATE(DATE(YEAR(TODAY()),MONTH(TODAY()),1),6))-MONTH(IF(ISNUMBER(Suppliers!F60),Suppliers!F60,DATE(YEAR(TODAY()),MONTH(TODAY()),1))),12)=0,1,0),IF(Suppliers!E60="One-time",IF(6=0,1,0),1)))))),"")</f>
        <v/>
      </c>
      <c r="M62" s="10" t="str">
        <f ca="1">IFERROR(IF(OR(7&gt;=$B$1,Suppliers!A60="",NOT(ISNUMBER(Suppliers!D60)),Suppliers!L60="Expired",Suppliers!L60="Terminate"),"",Suppliers!D60*-1*IF(Suppliers!E60="Monthly",IF(AND(ISNUMBER(Suppliers!G60),(YEAR(EDATE(DATE(YEAR(TODAY()),MONTH(TODAY()),1),7))*12+MONTH(EDATE(DATE(YEAR(TODAY()),MONTH(TODAY()),1),7)))&gt;(YEAR(Suppliers!G60)*12+MONTH(Suppliers!G60))),"",1),IF(Suppliers!E60="Quarterly",IF(MOD((YEAR(EDATE(DATE(YEAR(TODAY()),MONTH(TODAY()),1),7))-YEAR(IF(ISNUMBER(Suppliers!F60),Suppliers!F60,DATE(YEAR(TODAY()),MONTH(TODAY()),1))))*12+MONTH(EDATE(DATE(YEAR(TODAY()),MONTH(TODAY()),1),7))-MONTH(IF(ISNUMBER(Suppliers!F60),Suppliers!F60,DATE(YEAR(TODAY()),MONTH(TODAY()),1))),3)=0,1,0),IF(Suppliers!E60="Semi-annual",IF(MOD((YEAR(EDATE(DATE(YEAR(TODAY()),MONTH(TODAY()),1),7))-YEAR(IF(ISNUMBER(Suppliers!F60),Suppliers!F60,DATE(YEAR(TODAY()),MONTH(TODAY()),1))))*12+MONTH(EDATE(DATE(YEAR(TODAY()),MONTH(TODAY()),1),7))-MONTH(IF(ISNUMBER(Suppliers!F60),Suppliers!F60,DATE(YEAR(TODAY()),MONTH(TODAY()),1))),6)=0,1,0),IF(Suppliers!E60="Annual",IF(MOD((YEAR(EDATE(DATE(YEAR(TODAY()),MONTH(TODAY()),1),7))-YEAR(IF(ISNUMBER(Suppliers!F60),Suppliers!F60,DATE(YEAR(TODAY()),MONTH(TODAY()),1))))*12+MONTH(EDATE(DATE(YEAR(TODAY()),MONTH(TODAY()),1),7))-MONTH(IF(ISNUMBER(Suppliers!F60),Suppliers!F60,DATE(YEAR(TODAY()),MONTH(TODAY()),1))),12)=0,1,0),IF(Suppliers!E60="One-time",IF(7=0,1,0),1)))))),"")</f>
        <v/>
      </c>
      <c r="N62" s="10" t="str">
        <f ca="1">IFERROR(IF(OR(8&gt;=$B$1,Suppliers!A60="",NOT(ISNUMBER(Suppliers!D60)),Suppliers!L60="Expired",Suppliers!L60="Terminate"),"",Suppliers!D60*-1*IF(Suppliers!E60="Monthly",IF(AND(ISNUMBER(Suppliers!G60),(YEAR(EDATE(DATE(YEAR(TODAY()),MONTH(TODAY()),1),8))*12+MONTH(EDATE(DATE(YEAR(TODAY()),MONTH(TODAY()),1),8)))&gt;(YEAR(Suppliers!G60)*12+MONTH(Suppliers!G60))),"",1),IF(Suppliers!E60="Quarterly",IF(MOD((YEAR(EDATE(DATE(YEAR(TODAY()),MONTH(TODAY()),1),8))-YEAR(IF(ISNUMBER(Suppliers!F60),Suppliers!F60,DATE(YEAR(TODAY()),MONTH(TODAY()),1))))*12+MONTH(EDATE(DATE(YEAR(TODAY()),MONTH(TODAY()),1),8))-MONTH(IF(ISNUMBER(Suppliers!F60),Suppliers!F60,DATE(YEAR(TODAY()),MONTH(TODAY()),1))),3)=0,1,0),IF(Suppliers!E60="Semi-annual",IF(MOD((YEAR(EDATE(DATE(YEAR(TODAY()),MONTH(TODAY()),1),8))-YEAR(IF(ISNUMBER(Suppliers!F60),Suppliers!F60,DATE(YEAR(TODAY()),MONTH(TODAY()),1))))*12+MONTH(EDATE(DATE(YEAR(TODAY()),MONTH(TODAY()),1),8))-MONTH(IF(ISNUMBER(Suppliers!F60),Suppliers!F60,DATE(YEAR(TODAY()),MONTH(TODAY()),1))),6)=0,1,0),IF(Suppliers!E60="Annual",IF(MOD((YEAR(EDATE(DATE(YEAR(TODAY()),MONTH(TODAY()),1),8))-YEAR(IF(ISNUMBER(Suppliers!F60),Suppliers!F60,DATE(YEAR(TODAY()),MONTH(TODAY()),1))))*12+MONTH(EDATE(DATE(YEAR(TODAY()),MONTH(TODAY()),1),8))-MONTH(IF(ISNUMBER(Suppliers!F60),Suppliers!F60,DATE(YEAR(TODAY()),MONTH(TODAY()),1))),12)=0,1,0),IF(Suppliers!E60="One-time",IF(8=0,1,0),1)))))),"")</f>
        <v/>
      </c>
      <c r="O62" s="10" t="str">
        <f ca="1">IFERROR(IF(OR(9&gt;=$B$1,Suppliers!A60="",NOT(ISNUMBER(Suppliers!D60)),Suppliers!L60="Expired",Suppliers!L60="Terminate"),"",Suppliers!D60*-1*IF(Suppliers!E60="Monthly",IF(AND(ISNUMBER(Suppliers!G60),(YEAR(EDATE(DATE(YEAR(TODAY()),MONTH(TODAY()),1),9))*12+MONTH(EDATE(DATE(YEAR(TODAY()),MONTH(TODAY()),1),9)))&gt;(YEAR(Suppliers!G60)*12+MONTH(Suppliers!G60))),"",1),IF(Suppliers!E60="Quarterly",IF(MOD((YEAR(EDATE(DATE(YEAR(TODAY()),MONTH(TODAY()),1),9))-YEAR(IF(ISNUMBER(Suppliers!F60),Suppliers!F60,DATE(YEAR(TODAY()),MONTH(TODAY()),1))))*12+MONTH(EDATE(DATE(YEAR(TODAY()),MONTH(TODAY()),1),9))-MONTH(IF(ISNUMBER(Suppliers!F60),Suppliers!F60,DATE(YEAR(TODAY()),MONTH(TODAY()),1))),3)=0,1,0),IF(Suppliers!E60="Semi-annual",IF(MOD((YEAR(EDATE(DATE(YEAR(TODAY()),MONTH(TODAY()),1),9))-YEAR(IF(ISNUMBER(Suppliers!F60),Suppliers!F60,DATE(YEAR(TODAY()),MONTH(TODAY()),1))))*12+MONTH(EDATE(DATE(YEAR(TODAY()),MONTH(TODAY()),1),9))-MONTH(IF(ISNUMBER(Suppliers!F60),Suppliers!F60,DATE(YEAR(TODAY()),MONTH(TODAY()),1))),6)=0,1,0),IF(Suppliers!E60="Annual",IF(MOD((YEAR(EDATE(DATE(YEAR(TODAY()),MONTH(TODAY()),1),9))-YEAR(IF(ISNUMBER(Suppliers!F60),Suppliers!F60,DATE(YEAR(TODAY()),MONTH(TODAY()),1))))*12+MONTH(EDATE(DATE(YEAR(TODAY()),MONTH(TODAY()),1),9))-MONTH(IF(ISNUMBER(Suppliers!F60),Suppliers!F60,DATE(YEAR(TODAY()),MONTH(TODAY()),1))),12)=0,1,0),IF(Suppliers!E60="One-time",IF(9=0,1,0),1)))))),"")</f>
        <v/>
      </c>
      <c r="P62" s="10" t="str">
        <f ca="1">IFERROR(IF(OR(10&gt;=$B$1,Suppliers!A60="",NOT(ISNUMBER(Suppliers!D60)),Suppliers!L60="Expired",Suppliers!L60="Terminate"),"",Suppliers!D60*-1*IF(Suppliers!E60="Monthly",IF(AND(ISNUMBER(Suppliers!G60),(YEAR(EDATE(DATE(YEAR(TODAY()),MONTH(TODAY()),1),10))*12+MONTH(EDATE(DATE(YEAR(TODAY()),MONTH(TODAY()),1),10)))&gt;(YEAR(Suppliers!G60)*12+MONTH(Suppliers!G60))),"",1),IF(Suppliers!E60="Quarterly",IF(MOD((YEAR(EDATE(DATE(YEAR(TODAY()),MONTH(TODAY()),1),10))-YEAR(IF(ISNUMBER(Suppliers!F60),Suppliers!F60,DATE(YEAR(TODAY()),MONTH(TODAY()),1))))*12+MONTH(EDATE(DATE(YEAR(TODAY()),MONTH(TODAY()),1),10))-MONTH(IF(ISNUMBER(Suppliers!F60),Suppliers!F60,DATE(YEAR(TODAY()),MONTH(TODAY()),1))),3)=0,1,0),IF(Suppliers!E60="Semi-annual",IF(MOD((YEAR(EDATE(DATE(YEAR(TODAY()),MONTH(TODAY()),1),10))-YEAR(IF(ISNUMBER(Suppliers!F60),Suppliers!F60,DATE(YEAR(TODAY()),MONTH(TODAY()),1))))*12+MONTH(EDATE(DATE(YEAR(TODAY()),MONTH(TODAY()),1),10))-MONTH(IF(ISNUMBER(Suppliers!F60),Suppliers!F60,DATE(YEAR(TODAY()),MONTH(TODAY()),1))),6)=0,1,0),IF(Suppliers!E60="Annual",IF(MOD((YEAR(EDATE(DATE(YEAR(TODAY()),MONTH(TODAY()),1),10))-YEAR(IF(ISNUMBER(Suppliers!F60),Suppliers!F60,DATE(YEAR(TODAY()),MONTH(TODAY()),1))))*12+MONTH(EDATE(DATE(YEAR(TODAY()),MONTH(TODAY()),1),10))-MONTH(IF(ISNUMBER(Suppliers!F60),Suppliers!F60,DATE(YEAR(TODAY()),MONTH(TODAY()),1))),12)=0,1,0),IF(Suppliers!E60="One-time",IF(10=0,1,0),1)))))),"")</f>
        <v/>
      </c>
      <c r="Q62" s="10" t="str">
        <f ca="1">IFERROR(IF(OR(11&gt;=$B$1,Suppliers!A60="",NOT(ISNUMBER(Suppliers!D60)),Suppliers!L60="Expired",Suppliers!L60="Terminate"),"",Suppliers!D60*-1*IF(Suppliers!E60="Monthly",IF(AND(ISNUMBER(Suppliers!G60),(YEAR(EDATE(DATE(YEAR(TODAY()),MONTH(TODAY()),1),11))*12+MONTH(EDATE(DATE(YEAR(TODAY()),MONTH(TODAY()),1),11)))&gt;(YEAR(Suppliers!G60)*12+MONTH(Suppliers!G60))),"",1),IF(Suppliers!E60="Quarterly",IF(MOD((YEAR(EDATE(DATE(YEAR(TODAY()),MONTH(TODAY()),1),11))-YEAR(IF(ISNUMBER(Suppliers!F60),Suppliers!F60,DATE(YEAR(TODAY()),MONTH(TODAY()),1))))*12+MONTH(EDATE(DATE(YEAR(TODAY()),MONTH(TODAY()),1),11))-MONTH(IF(ISNUMBER(Suppliers!F60),Suppliers!F60,DATE(YEAR(TODAY()),MONTH(TODAY()),1))),3)=0,1,0),IF(Suppliers!E60="Semi-annual",IF(MOD((YEAR(EDATE(DATE(YEAR(TODAY()),MONTH(TODAY()),1),11))-YEAR(IF(ISNUMBER(Suppliers!F60),Suppliers!F60,DATE(YEAR(TODAY()),MONTH(TODAY()),1))))*12+MONTH(EDATE(DATE(YEAR(TODAY()),MONTH(TODAY()),1),11))-MONTH(IF(ISNUMBER(Suppliers!F60),Suppliers!F60,DATE(YEAR(TODAY()),MONTH(TODAY()),1))),6)=0,1,0),IF(Suppliers!E60="Annual",IF(MOD((YEAR(EDATE(DATE(YEAR(TODAY()),MONTH(TODAY()),1),11))-YEAR(IF(ISNUMBER(Suppliers!F60),Suppliers!F60,DATE(YEAR(TODAY()),MONTH(TODAY()),1))))*12+MONTH(EDATE(DATE(YEAR(TODAY()),MONTH(TODAY()),1),11))-MONTH(IF(ISNUMBER(Suppliers!F60),Suppliers!F60,DATE(YEAR(TODAY()),MONTH(TODAY()),1))),12)=0,1,0),IF(Suppliers!E60="One-time",IF(11=0,1,0),1)))))),"")</f>
        <v/>
      </c>
      <c r="R62" s="10" t="str">
        <f ca="1">IFERROR(IF(OR(12&gt;=$B$1,Suppliers!A60="",NOT(ISNUMBER(Suppliers!D60)),Suppliers!L60="Expired",Suppliers!L60="Terminate"),"",Suppliers!D60*-1*IF(Suppliers!E60="Monthly",IF(AND(ISNUMBER(Suppliers!G60),(YEAR(EDATE(DATE(YEAR(TODAY()),MONTH(TODAY()),1),12))*12+MONTH(EDATE(DATE(YEAR(TODAY()),MONTH(TODAY()),1),12)))&gt;(YEAR(Suppliers!G60)*12+MONTH(Suppliers!G60))),"",1),IF(Suppliers!E60="Quarterly",IF(MOD((YEAR(EDATE(DATE(YEAR(TODAY()),MONTH(TODAY()),1),12))-YEAR(IF(ISNUMBER(Suppliers!F60),Suppliers!F60,DATE(YEAR(TODAY()),MONTH(TODAY()),1))))*12+MONTH(EDATE(DATE(YEAR(TODAY()),MONTH(TODAY()),1),12))-MONTH(IF(ISNUMBER(Suppliers!F60),Suppliers!F60,DATE(YEAR(TODAY()),MONTH(TODAY()),1))),3)=0,1,0),IF(Suppliers!E60="Semi-annual",IF(MOD((YEAR(EDATE(DATE(YEAR(TODAY()),MONTH(TODAY()),1),12))-YEAR(IF(ISNUMBER(Suppliers!F60),Suppliers!F60,DATE(YEAR(TODAY()),MONTH(TODAY()),1))))*12+MONTH(EDATE(DATE(YEAR(TODAY()),MONTH(TODAY()),1),12))-MONTH(IF(ISNUMBER(Suppliers!F60),Suppliers!F60,DATE(YEAR(TODAY()),MONTH(TODAY()),1))),6)=0,1,0),IF(Suppliers!E60="Annual",IF(MOD((YEAR(EDATE(DATE(YEAR(TODAY()),MONTH(TODAY()),1),12))-YEAR(IF(ISNUMBER(Suppliers!F60),Suppliers!F60,DATE(YEAR(TODAY()),MONTH(TODAY()),1))))*12+MONTH(EDATE(DATE(YEAR(TODAY()),MONTH(TODAY()),1),12))-MONTH(IF(ISNUMBER(Suppliers!F60),Suppliers!F60,DATE(YEAR(TODAY()),MONTH(TODAY()),1))),12)=0,1,0),IF(Suppliers!E60="One-time",IF(12=0,1,0),1)))))),"")</f>
        <v/>
      </c>
      <c r="S62" s="10" t="str">
        <f ca="1">IFERROR(IF(OR(13&gt;=$B$1,Suppliers!A60="",NOT(ISNUMBER(Suppliers!D60)),Suppliers!L60="Expired",Suppliers!L60="Terminate"),"",Suppliers!D60*-1*IF(Suppliers!E60="Monthly",IF(AND(ISNUMBER(Suppliers!G60),(YEAR(EDATE(DATE(YEAR(TODAY()),MONTH(TODAY()),1),13))*12+MONTH(EDATE(DATE(YEAR(TODAY()),MONTH(TODAY()),1),13)))&gt;(YEAR(Suppliers!G60)*12+MONTH(Suppliers!G60))),"",1),IF(Suppliers!E60="Quarterly",IF(MOD((YEAR(EDATE(DATE(YEAR(TODAY()),MONTH(TODAY()),1),13))-YEAR(IF(ISNUMBER(Suppliers!F60),Suppliers!F60,DATE(YEAR(TODAY()),MONTH(TODAY()),1))))*12+MONTH(EDATE(DATE(YEAR(TODAY()),MONTH(TODAY()),1),13))-MONTH(IF(ISNUMBER(Suppliers!F60),Suppliers!F60,DATE(YEAR(TODAY()),MONTH(TODAY()),1))),3)=0,1,0),IF(Suppliers!E60="Semi-annual",IF(MOD((YEAR(EDATE(DATE(YEAR(TODAY()),MONTH(TODAY()),1),13))-YEAR(IF(ISNUMBER(Suppliers!F60),Suppliers!F60,DATE(YEAR(TODAY()),MONTH(TODAY()),1))))*12+MONTH(EDATE(DATE(YEAR(TODAY()),MONTH(TODAY()),1),13))-MONTH(IF(ISNUMBER(Suppliers!F60),Suppliers!F60,DATE(YEAR(TODAY()),MONTH(TODAY()),1))),6)=0,1,0),IF(Suppliers!E60="Annual",IF(MOD((YEAR(EDATE(DATE(YEAR(TODAY()),MONTH(TODAY()),1),13))-YEAR(IF(ISNUMBER(Suppliers!F60),Suppliers!F60,DATE(YEAR(TODAY()),MONTH(TODAY()),1))))*12+MONTH(EDATE(DATE(YEAR(TODAY()),MONTH(TODAY()),1),13))-MONTH(IF(ISNUMBER(Suppliers!F60),Suppliers!F60,DATE(YEAR(TODAY()),MONTH(TODAY()),1))),12)=0,1,0),IF(Suppliers!E60="One-time",IF(13=0,1,0),1)))))),"")</f>
        <v/>
      </c>
      <c r="T62" s="10" t="str">
        <f ca="1">IFERROR(IF(OR(14&gt;=$B$1,Suppliers!A60="",NOT(ISNUMBER(Suppliers!D60)),Suppliers!L60="Expired",Suppliers!L60="Terminate"),"",Suppliers!D60*-1*IF(Suppliers!E60="Monthly",IF(AND(ISNUMBER(Suppliers!G60),(YEAR(EDATE(DATE(YEAR(TODAY()),MONTH(TODAY()),1),14))*12+MONTH(EDATE(DATE(YEAR(TODAY()),MONTH(TODAY()),1),14)))&gt;(YEAR(Suppliers!G60)*12+MONTH(Suppliers!G60))),"",1),IF(Suppliers!E60="Quarterly",IF(MOD((YEAR(EDATE(DATE(YEAR(TODAY()),MONTH(TODAY()),1),14))-YEAR(IF(ISNUMBER(Suppliers!F60),Suppliers!F60,DATE(YEAR(TODAY()),MONTH(TODAY()),1))))*12+MONTH(EDATE(DATE(YEAR(TODAY()),MONTH(TODAY()),1),14))-MONTH(IF(ISNUMBER(Suppliers!F60),Suppliers!F60,DATE(YEAR(TODAY()),MONTH(TODAY()),1))),3)=0,1,0),IF(Suppliers!E60="Semi-annual",IF(MOD((YEAR(EDATE(DATE(YEAR(TODAY()),MONTH(TODAY()),1),14))-YEAR(IF(ISNUMBER(Suppliers!F60),Suppliers!F60,DATE(YEAR(TODAY()),MONTH(TODAY()),1))))*12+MONTH(EDATE(DATE(YEAR(TODAY()),MONTH(TODAY()),1),14))-MONTH(IF(ISNUMBER(Suppliers!F60),Suppliers!F60,DATE(YEAR(TODAY()),MONTH(TODAY()),1))),6)=0,1,0),IF(Suppliers!E60="Annual",IF(MOD((YEAR(EDATE(DATE(YEAR(TODAY()),MONTH(TODAY()),1),14))-YEAR(IF(ISNUMBER(Suppliers!F60),Suppliers!F60,DATE(YEAR(TODAY()),MONTH(TODAY()),1))))*12+MONTH(EDATE(DATE(YEAR(TODAY()),MONTH(TODAY()),1),14))-MONTH(IF(ISNUMBER(Suppliers!F60),Suppliers!F60,DATE(YEAR(TODAY()),MONTH(TODAY()),1))),12)=0,1,0),IF(Suppliers!E60="One-time",IF(14=0,1,0),1)))))),"")</f>
        <v/>
      </c>
      <c r="U62" s="10" t="str">
        <f ca="1">IFERROR(IF(OR(15&gt;=$B$1,Suppliers!A60="",NOT(ISNUMBER(Suppliers!D60)),Suppliers!L60="Expired",Suppliers!L60="Terminate"),"",Suppliers!D60*-1*IF(Suppliers!E60="Monthly",IF(AND(ISNUMBER(Suppliers!G60),(YEAR(EDATE(DATE(YEAR(TODAY()),MONTH(TODAY()),1),15))*12+MONTH(EDATE(DATE(YEAR(TODAY()),MONTH(TODAY()),1),15)))&gt;(YEAR(Suppliers!G60)*12+MONTH(Suppliers!G60))),"",1),IF(Suppliers!E60="Quarterly",IF(MOD((YEAR(EDATE(DATE(YEAR(TODAY()),MONTH(TODAY()),1),15))-YEAR(IF(ISNUMBER(Suppliers!F60),Suppliers!F60,DATE(YEAR(TODAY()),MONTH(TODAY()),1))))*12+MONTH(EDATE(DATE(YEAR(TODAY()),MONTH(TODAY()),1),15))-MONTH(IF(ISNUMBER(Suppliers!F60),Suppliers!F60,DATE(YEAR(TODAY()),MONTH(TODAY()),1))),3)=0,1,0),IF(Suppliers!E60="Semi-annual",IF(MOD((YEAR(EDATE(DATE(YEAR(TODAY()),MONTH(TODAY()),1),15))-YEAR(IF(ISNUMBER(Suppliers!F60),Suppliers!F60,DATE(YEAR(TODAY()),MONTH(TODAY()),1))))*12+MONTH(EDATE(DATE(YEAR(TODAY()),MONTH(TODAY()),1),15))-MONTH(IF(ISNUMBER(Suppliers!F60),Suppliers!F60,DATE(YEAR(TODAY()),MONTH(TODAY()),1))),6)=0,1,0),IF(Suppliers!E60="Annual",IF(MOD((YEAR(EDATE(DATE(YEAR(TODAY()),MONTH(TODAY()),1),15))-YEAR(IF(ISNUMBER(Suppliers!F60),Suppliers!F60,DATE(YEAR(TODAY()),MONTH(TODAY()),1))))*12+MONTH(EDATE(DATE(YEAR(TODAY()),MONTH(TODAY()),1),15))-MONTH(IF(ISNUMBER(Suppliers!F60),Suppliers!F60,DATE(YEAR(TODAY()),MONTH(TODAY()),1))),12)=0,1,0),IF(Suppliers!E60="One-time",IF(15=0,1,0),1)))))),"")</f>
        <v/>
      </c>
      <c r="V62" s="10" t="str">
        <f ca="1">IFERROR(IF(OR(16&gt;=$B$1,Suppliers!A60="",NOT(ISNUMBER(Suppliers!D60)),Suppliers!L60="Expired",Suppliers!L60="Terminate"),"",Suppliers!D60*-1*IF(Suppliers!E60="Monthly",IF(AND(ISNUMBER(Suppliers!G60),(YEAR(EDATE(DATE(YEAR(TODAY()),MONTH(TODAY()),1),16))*12+MONTH(EDATE(DATE(YEAR(TODAY()),MONTH(TODAY()),1),16)))&gt;(YEAR(Suppliers!G60)*12+MONTH(Suppliers!G60))),"",1),IF(Suppliers!E60="Quarterly",IF(MOD((YEAR(EDATE(DATE(YEAR(TODAY()),MONTH(TODAY()),1),16))-YEAR(IF(ISNUMBER(Suppliers!F60),Suppliers!F60,DATE(YEAR(TODAY()),MONTH(TODAY()),1))))*12+MONTH(EDATE(DATE(YEAR(TODAY()),MONTH(TODAY()),1),16))-MONTH(IF(ISNUMBER(Suppliers!F60),Suppliers!F60,DATE(YEAR(TODAY()),MONTH(TODAY()),1))),3)=0,1,0),IF(Suppliers!E60="Semi-annual",IF(MOD((YEAR(EDATE(DATE(YEAR(TODAY()),MONTH(TODAY()),1),16))-YEAR(IF(ISNUMBER(Suppliers!F60),Suppliers!F60,DATE(YEAR(TODAY()),MONTH(TODAY()),1))))*12+MONTH(EDATE(DATE(YEAR(TODAY()),MONTH(TODAY()),1),16))-MONTH(IF(ISNUMBER(Suppliers!F60),Suppliers!F60,DATE(YEAR(TODAY()),MONTH(TODAY()),1))),6)=0,1,0),IF(Suppliers!E60="Annual",IF(MOD((YEAR(EDATE(DATE(YEAR(TODAY()),MONTH(TODAY()),1),16))-YEAR(IF(ISNUMBER(Suppliers!F60),Suppliers!F60,DATE(YEAR(TODAY()),MONTH(TODAY()),1))))*12+MONTH(EDATE(DATE(YEAR(TODAY()),MONTH(TODAY()),1),16))-MONTH(IF(ISNUMBER(Suppliers!F60),Suppliers!F60,DATE(YEAR(TODAY()),MONTH(TODAY()),1))),12)=0,1,0),IF(Suppliers!E60="One-time",IF(16=0,1,0),1)))))),"")</f>
        <v/>
      </c>
      <c r="W62" s="10" t="str">
        <f ca="1">IFERROR(IF(OR(17&gt;=$B$1,Suppliers!A60="",NOT(ISNUMBER(Suppliers!D60)),Suppliers!L60="Expired",Suppliers!L60="Terminate"),"",Suppliers!D60*-1*IF(Suppliers!E60="Monthly",IF(AND(ISNUMBER(Suppliers!G60),(YEAR(EDATE(DATE(YEAR(TODAY()),MONTH(TODAY()),1),17))*12+MONTH(EDATE(DATE(YEAR(TODAY()),MONTH(TODAY()),1),17)))&gt;(YEAR(Suppliers!G60)*12+MONTH(Suppliers!G60))),"",1),IF(Suppliers!E60="Quarterly",IF(MOD((YEAR(EDATE(DATE(YEAR(TODAY()),MONTH(TODAY()),1),17))-YEAR(IF(ISNUMBER(Suppliers!F60),Suppliers!F60,DATE(YEAR(TODAY()),MONTH(TODAY()),1))))*12+MONTH(EDATE(DATE(YEAR(TODAY()),MONTH(TODAY()),1),17))-MONTH(IF(ISNUMBER(Suppliers!F60),Suppliers!F60,DATE(YEAR(TODAY()),MONTH(TODAY()),1))),3)=0,1,0),IF(Suppliers!E60="Semi-annual",IF(MOD((YEAR(EDATE(DATE(YEAR(TODAY()),MONTH(TODAY()),1),17))-YEAR(IF(ISNUMBER(Suppliers!F60),Suppliers!F60,DATE(YEAR(TODAY()),MONTH(TODAY()),1))))*12+MONTH(EDATE(DATE(YEAR(TODAY()),MONTH(TODAY()),1),17))-MONTH(IF(ISNUMBER(Suppliers!F60),Suppliers!F60,DATE(YEAR(TODAY()),MONTH(TODAY()),1))),6)=0,1,0),IF(Suppliers!E60="Annual",IF(MOD((YEAR(EDATE(DATE(YEAR(TODAY()),MONTH(TODAY()),1),17))-YEAR(IF(ISNUMBER(Suppliers!F60),Suppliers!F60,DATE(YEAR(TODAY()),MONTH(TODAY()),1))))*12+MONTH(EDATE(DATE(YEAR(TODAY()),MONTH(TODAY()),1),17))-MONTH(IF(ISNUMBER(Suppliers!F60),Suppliers!F60,DATE(YEAR(TODAY()),MONTH(TODAY()),1))),12)=0,1,0),IF(Suppliers!E60="One-time",IF(17=0,1,0),1)))))),"")</f>
        <v/>
      </c>
      <c r="X62" s="10" t="str">
        <f ca="1">IFERROR(IF(OR(18&gt;=$B$1,Suppliers!A60="",NOT(ISNUMBER(Suppliers!D60)),Suppliers!L60="Expired",Suppliers!L60="Terminate"),"",Suppliers!D60*-1*IF(Suppliers!E60="Monthly",IF(AND(ISNUMBER(Suppliers!G60),(YEAR(EDATE(DATE(YEAR(TODAY()),MONTH(TODAY()),1),18))*12+MONTH(EDATE(DATE(YEAR(TODAY()),MONTH(TODAY()),1),18)))&gt;(YEAR(Suppliers!G60)*12+MONTH(Suppliers!G60))),"",1),IF(Suppliers!E60="Quarterly",IF(MOD((YEAR(EDATE(DATE(YEAR(TODAY()),MONTH(TODAY()),1),18))-YEAR(IF(ISNUMBER(Suppliers!F60),Suppliers!F60,DATE(YEAR(TODAY()),MONTH(TODAY()),1))))*12+MONTH(EDATE(DATE(YEAR(TODAY()),MONTH(TODAY()),1),18))-MONTH(IF(ISNUMBER(Suppliers!F60),Suppliers!F60,DATE(YEAR(TODAY()),MONTH(TODAY()),1))),3)=0,1,0),IF(Suppliers!E60="Semi-annual",IF(MOD((YEAR(EDATE(DATE(YEAR(TODAY()),MONTH(TODAY()),1),18))-YEAR(IF(ISNUMBER(Suppliers!F60),Suppliers!F60,DATE(YEAR(TODAY()),MONTH(TODAY()),1))))*12+MONTH(EDATE(DATE(YEAR(TODAY()),MONTH(TODAY()),1),18))-MONTH(IF(ISNUMBER(Suppliers!F60),Suppliers!F60,DATE(YEAR(TODAY()),MONTH(TODAY()),1))),6)=0,1,0),IF(Suppliers!E60="Annual",IF(MOD((YEAR(EDATE(DATE(YEAR(TODAY()),MONTH(TODAY()),1),18))-YEAR(IF(ISNUMBER(Suppliers!F60),Suppliers!F60,DATE(YEAR(TODAY()),MONTH(TODAY()),1))))*12+MONTH(EDATE(DATE(YEAR(TODAY()),MONTH(TODAY()),1),18))-MONTH(IF(ISNUMBER(Suppliers!F60),Suppliers!F60,DATE(YEAR(TODAY()),MONTH(TODAY()),1))),12)=0,1,0),IF(Suppliers!E60="One-time",IF(18=0,1,0),1)))))),"")</f>
        <v/>
      </c>
      <c r="Y62" s="10" t="str">
        <f ca="1">IFERROR(IF(OR(19&gt;=$B$1,Suppliers!A60="",NOT(ISNUMBER(Suppliers!D60)),Suppliers!L60="Expired",Suppliers!L60="Terminate"),"",Suppliers!D60*-1*IF(Suppliers!E60="Monthly",IF(AND(ISNUMBER(Suppliers!G60),(YEAR(EDATE(DATE(YEAR(TODAY()),MONTH(TODAY()),1),19))*12+MONTH(EDATE(DATE(YEAR(TODAY()),MONTH(TODAY()),1),19)))&gt;(YEAR(Suppliers!G60)*12+MONTH(Suppliers!G60))),"",1),IF(Suppliers!E60="Quarterly",IF(MOD((YEAR(EDATE(DATE(YEAR(TODAY()),MONTH(TODAY()),1),19))-YEAR(IF(ISNUMBER(Suppliers!F60),Suppliers!F60,DATE(YEAR(TODAY()),MONTH(TODAY()),1))))*12+MONTH(EDATE(DATE(YEAR(TODAY()),MONTH(TODAY()),1),19))-MONTH(IF(ISNUMBER(Suppliers!F60),Suppliers!F60,DATE(YEAR(TODAY()),MONTH(TODAY()),1))),3)=0,1,0),IF(Suppliers!E60="Semi-annual",IF(MOD((YEAR(EDATE(DATE(YEAR(TODAY()),MONTH(TODAY()),1),19))-YEAR(IF(ISNUMBER(Suppliers!F60),Suppliers!F60,DATE(YEAR(TODAY()),MONTH(TODAY()),1))))*12+MONTH(EDATE(DATE(YEAR(TODAY()),MONTH(TODAY()),1),19))-MONTH(IF(ISNUMBER(Suppliers!F60),Suppliers!F60,DATE(YEAR(TODAY()),MONTH(TODAY()),1))),6)=0,1,0),IF(Suppliers!E60="Annual",IF(MOD((YEAR(EDATE(DATE(YEAR(TODAY()),MONTH(TODAY()),1),19))-YEAR(IF(ISNUMBER(Suppliers!F60),Suppliers!F60,DATE(YEAR(TODAY()),MONTH(TODAY()),1))))*12+MONTH(EDATE(DATE(YEAR(TODAY()),MONTH(TODAY()),1),19))-MONTH(IF(ISNUMBER(Suppliers!F60),Suppliers!F60,DATE(YEAR(TODAY()),MONTH(TODAY()),1))),12)=0,1,0),IF(Suppliers!E60="One-time",IF(19=0,1,0),1)))))),"")</f>
        <v/>
      </c>
      <c r="Z62" s="10" t="str">
        <f ca="1">IFERROR(IF(OR(20&gt;=$B$1,Suppliers!A60="",NOT(ISNUMBER(Suppliers!D60)),Suppliers!L60="Expired",Suppliers!L60="Terminate"),"",Suppliers!D60*-1*IF(Suppliers!E60="Monthly",IF(AND(ISNUMBER(Suppliers!G60),(YEAR(EDATE(DATE(YEAR(TODAY()),MONTH(TODAY()),1),20))*12+MONTH(EDATE(DATE(YEAR(TODAY()),MONTH(TODAY()),1),20)))&gt;(YEAR(Suppliers!G60)*12+MONTH(Suppliers!G60))),"",1),IF(Suppliers!E60="Quarterly",IF(MOD((YEAR(EDATE(DATE(YEAR(TODAY()),MONTH(TODAY()),1),20))-YEAR(IF(ISNUMBER(Suppliers!F60),Suppliers!F60,DATE(YEAR(TODAY()),MONTH(TODAY()),1))))*12+MONTH(EDATE(DATE(YEAR(TODAY()),MONTH(TODAY()),1),20))-MONTH(IF(ISNUMBER(Suppliers!F60),Suppliers!F60,DATE(YEAR(TODAY()),MONTH(TODAY()),1))),3)=0,1,0),IF(Suppliers!E60="Semi-annual",IF(MOD((YEAR(EDATE(DATE(YEAR(TODAY()),MONTH(TODAY()),1),20))-YEAR(IF(ISNUMBER(Suppliers!F60),Suppliers!F60,DATE(YEAR(TODAY()),MONTH(TODAY()),1))))*12+MONTH(EDATE(DATE(YEAR(TODAY()),MONTH(TODAY()),1),20))-MONTH(IF(ISNUMBER(Suppliers!F60),Suppliers!F60,DATE(YEAR(TODAY()),MONTH(TODAY()),1))),6)=0,1,0),IF(Suppliers!E60="Annual",IF(MOD((YEAR(EDATE(DATE(YEAR(TODAY()),MONTH(TODAY()),1),20))-YEAR(IF(ISNUMBER(Suppliers!F60),Suppliers!F60,DATE(YEAR(TODAY()),MONTH(TODAY()),1))))*12+MONTH(EDATE(DATE(YEAR(TODAY()),MONTH(TODAY()),1),20))-MONTH(IF(ISNUMBER(Suppliers!F60),Suppliers!F60,DATE(YEAR(TODAY()),MONTH(TODAY()),1))),12)=0,1,0),IF(Suppliers!E60="One-time",IF(20=0,1,0),1)))))),"")</f>
        <v/>
      </c>
      <c r="AA62" s="10" t="str">
        <f ca="1">IFERROR(IF(OR(21&gt;=$B$1,Suppliers!A60="",NOT(ISNUMBER(Suppliers!D60)),Suppliers!L60="Expired",Suppliers!L60="Terminate"),"",Suppliers!D60*-1*IF(Suppliers!E60="Monthly",IF(AND(ISNUMBER(Suppliers!G60),(YEAR(EDATE(DATE(YEAR(TODAY()),MONTH(TODAY()),1),21))*12+MONTH(EDATE(DATE(YEAR(TODAY()),MONTH(TODAY()),1),21)))&gt;(YEAR(Suppliers!G60)*12+MONTH(Suppliers!G60))),"",1),IF(Suppliers!E60="Quarterly",IF(MOD((YEAR(EDATE(DATE(YEAR(TODAY()),MONTH(TODAY()),1),21))-YEAR(IF(ISNUMBER(Suppliers!F60),Suppliers!F60,DATE(YEAR(TODAY()),MONTH(TODAY()),1))))*12+MONTH(EDATE(DATE(YEAR(TODAY()),MONTH(TODAY()),1),21))-MONTH(IF(ISNUMBER(Suppliers!F60),Suppliers!F60,DATE(YEAR(TODAY()),MONTH(TODAY()),1))),3)=0,1,0),IF(Suppliers!E60="Semi-annual",IF(MOD((YEAR(EDATE(DATE(YEAR(TODAY()),MONTH(TODAY()),1),21))-YEAR(IF(ISNUMBER(Suppliers!F60),Suppliers!F60,DATE(YEAR(TODAY()),MONTH(TODAY()),1))))*12+MONTH(EDATE(DATE(YEAR(TODAY()),MONTH(TODAY()),1),21))-MONTH(IF(ISNUMBER(Suppliers!F60),Suppliers!F60,DATE(YEAR(TODAY()),MONTH(TODAY()),1))),6)=0,1,0),IF(Suppliers!E60="Annual",IF(MOD((YEAR(EDATE(DATE(YEAR(TODAY()),MONTH(TODAY()),1),21))-YEAR(IF(ISNUMBER(Suppliers!F60),Suppliers!F60,DATE(YEAR(TODAY()),MONTH(TODAY()),1))))*12+MONTH(EDATE(DATE(YEAR(TODAY()),MONTH(TODAY()),1),21))-MONTH(IF(ISNUMBER(Suppliers!F60),Suppliers!F60,DATE(YEAR(TODAY()),MONTH(TODAY()),1))),12)=0,1,0),IF(Suppliers!E60="One-time",IF(21=0,1,0),1)))))),"")</f>
        <v/>
      </c>
      <c r="AB62" s="10" t="str">
        <f ca="1">IFERROR(IF(OR(22&gt;=$B$1,Suppliers!A60="",NOT(ISNUMBER(Suppliers!D60)),Suppliers!L60="Expired",Suppliers!L60="Terminate"),"",Suppliers!D60*-1*IF(Suppliers!E60="Monthly",IF(AND(ISNUMBER(Suppliers!G60),(YEAR(EDATE(DATE(YEAR(TODAY()),MONTH(TODAY()),1),22))*12+MONTH(EDATE(DATE(YEAR(TODAY()),MONTH(TODAY()),1),22)))&gt;(YEAR(Suppliers!G60)*12+MONTH(Suppliers!G60))),"",1),IF(Suppliers!E60="Quarterly",IF(MOD((YEAR(EDATE(DATE(YEAR(TODAY()),MONTH(TODAY()),1),22))-YEAR(IF(ISNUMBER(Suppliers!F60),Suppliers!F60,DATE(YEAR(TODAY()),MONTH(TODAY()),1))))*12+MONTH(EDATE(DATE(YEAR(TODAY()),MONTH(TODAY()),1),22))-MONTH(IF(ISNUMBER(Suppliers!F60),Suppliers!F60,DATE(YEAR(TODAY()),MONTH(TODAY()),1))),3)=0,1,0),IF(Suppliers!E60="Semi-annual",IF(MOD((YEAR(EDATE(DATE(YEAR(TODAY()),MONTH(TODAY()),1),22))-YEAR(IF(ISNUMBER(Suppliers!F60),Suppliers!F60,DATE(YEAR(TODAY()),MONTH(TODAY()),1))))*12+MONTH(EDATE(DATE(YEAR(TODAY()),MONTH(TODAY()),1),22))-MONTH(IF(ISNUMBER(Suppliers!F60),Suppliers!F60,DATE(YEAR(TODAY()),MONTH(TODAY()),1))),6)=0,1,0),IF(Suppliers!E60="Annual",IF(MOD((YEAR(EDATE(DATE(YEAR(TODAY()),MONTH(TODAY()),1),22))-YEAR(IF(ISNUMBER(Suppliers!F60),Suppliers!F60,DATE(YEAR(TODAY()),MONTH(TODAY()),1))))*12+MONTH(EDATE(DATE(YEAR(TODAY()),MONTH(TODAY()),1),22))-MONTH(IF(ISNUMBER(Suppliers!F60),Suppliers!F60,DATE(YEAR(TODAY()),MONTH(TODAY()),1))),12)=0,1,0),IF(Suppliers!E60="One-time",IF(22=0,1,0),1)))))),"")</f>
        <v/>
      </c>
      <c r="AC62" s="10" t="str">
        <f ca="1">IFERROR(IF(OR(23&gt;=$B$1,Suppliers!A60="",NOT(ISNUMBER(Suppliers!D60)),Suppliers!L60="Expired",Suppliers!L60="Terminate"),"",Suppliers!D60*-1*IF(Suppliers!E60="Monthly",IF(AND(ISNUMBER(Suppliers!G60),(YEAR(EDATE(DATE(YEAR(TODAY()),MONTH(TODAY()),1),23))*12+MONTH(EDATE(DATE(YEAR(TODAY()),MONTH(TODAY()),1),23)))&gt;(YEAR(Suppliers!G60)*12+MONTH(Suppliers!G60))),"",1),IF(Suppliers!E60="Quarterly",IF(MOD((YEAR(EDATE(DATE(YEAR(TODAY()),MONTH(TODAY()),1),23))-YEAR(IF(ISNUMBER(Suppliers!F60),Suppliers!F60,DATE(YEAR(TODAY()),MONTH(TODAY()),1))))*12+MONTH(EDATE(DATE(YEAR(TODAY()),MONTH(TODAY()),1),23))-MONTH(IF(ISNUMBER(Suppliers!F60),Suppliers!F60,DATE(YEAR(TODAY()),MONTH(TODAY()),1))),3)=0,1,0),IF(Suppliers!E60="Semi-annual",IF(MOD((YEAR(EDATE(DATE(YEAR(TODAY()),MONTH(TODAY()),1),23))-YEAR(IF(ISNUMBER(Suppliers!F60),Suppliers!F60,DATE(YEAR(TODAY()),MONTH(TODAY()),1))))*12+MONTH(EDATE(DATE(YEAR(TODAY()),MONTH(TODAY()),1),23))-MONTH(IF(ISNUMBER(Suppliers!F60),Suppliers!F60,DATE(YEAR(TODAY()),MONTH(TODAY()),1))),6)=0,1,0),IF(Suppliers!E60="Annual",IF(MOD((YEAR(EDATE(DATE(YEAR(TODAY()),MONTH(TODAY()),1),23))-YEAR(IF(ISNUMBER(Suppliers!F60),Suppliers!F60,DATE(YEAR(TODAY()),MONTH(TODAY()),1))))*12+MONTH(EDATE(DATE(YEAR(TODAY()),MONTH(TODAY()),1),23))-MONTH(IF(ISNUMBER(Suppliers!F60),Suppliers!F60,DATE(YEAR(TODAY()),MONTH(TODAY()),1))),12)=0,1,0),IF(Suppliers!E60="One-time",IF(23=0,1,0),1)))))),"")</f>
        <v/>
      </c>
    </row>
    <row r="63" spans="1:30" ht="15" customHeight="1" x14ac:dyDescent="0.35">
      <c r="A63" s="4" t="s">
        <v>80</v>
      </c>
      <c r="B63" s="4" t="str">
        <f>IF(Suppliers!A61="","",Suppliers!A61)</f>
        <v/>
      </c>
      <c r="C63" s="10" t="str">
        <f>IF(Suppliers!C61="","",Suppliers!C61)</f>
        <v/>
      </c>
      <c r="D63" s="10" t="str">
        <f>IF(Suppliers!D61="","",Suppliers!D61)</f>
        <v/>
      </c>
      <c r="E63" s="4" t="str">
        <f>IF(Suppliers!E61="","",Suppliers!E61)</f>
        <v/>
      </c>
      <c r="F63" s="10" t="str">
        <f ca="1">IFERROR(IF(OR(0&gt;=$B$1,Suppliers!A61="",NOT(ISNUMBER(Suppliers!D61)),Suppliers!L61="Expired",Suppliers!L61="Terminate"),"",Suppliers!D61*-1*IF(Suppliers!E61="Monthly",IF(AND(ISNUMBER(Suppliers!G61),(YEAR(EDATE(DATE(YEAR(TODAY()),MONTH(TODAY()),1),0))*12+MONTH(EDATE(DATE(YEAR(TODAY()),MONTH(TODAY()),1),0)))&gt;(YEAR(Suppliers!G61)*12+MONTH(Suppliers!G61))),"",1),IF(Suppliers!E61="Quarterly",IF(MOD((YEAR(EDATE(DATE(YEAR(TODAY()),MONTH(TODAY()),1),0))-YEAR(IF(ISNUMBER(Suppliers!F61),Suppliers!F61,DATE(YEAR(TODAY()),MONTH(TODAY()),1))))*12+MONTH(EDATE(DATE(YEAR(TODAY()),MONTH(TODAY()),1),0))-MONTH(IF(ISNUMBER(Suppliers!F61),Suppliers!F61,DATE(YEAR(TODAY()),MONTH(TODAY()),1))),3)=0,1,0),IF(Suppliers!E61="Semi-annual",IF(MOD((YEAR(EDATE(DATE(YEAR(TODAY()),MONTH(TODAY()),1),0))-YEAR(IF(ISNUMBER(Suppliers!F61),Suppliers!F61,DATE(YEAR(TODAY()),MONTH(TODAY()),1))))*12+MONTH(EDATE(DATE(YEAR(TODAY()),MONTH(TODAY()),1),0))-MONTH(IF(ISNUMBER(Suppliers!F61),Suppliers!F61,DATE(YEAR(TODAY()),MONTH(TODAY()),1))),6)=0,1,0),IF(Suppliers!E61="Annual",IF(MOD((YEAR(EDATE(DATE(YEAR(TODAY()),MONTH(TODAY()),1),0))-YEAR(IF(ISNUMBER(Suppliers!F61),Suppliers!F61,DATE(YEAR(TODAY()),MONTH(TODAY()),1))))*12+MONTH(EDATE(DATE(YEAR(TODAY()),MONTH(TODAY()),1),0))-MONTH(IF(ISNUMBER(Suppliers!F61),Suppliers!F61,DATE(YEAR(TODAY()),MONTH(TODAY()),1))),12)=0,1,0),IF(Suppliers!E61="One-time",IF(0=0,1,0),1)))))),"")</f>
        <v/>
      </c>
      <c r="G63" s="10" t="str">
        <f ca="1">IFERROR(IF(OR(1&gt;=$B$1,Suppliers!A61="",NOT(ISNUMBER(Suppliers!D61)),Suppliers!L61="Expired",Suppliers!L61="Terminate"),"",Suppliers!D61*-1*IF(Suppliers!E61="Monthly",IF(AND(ISNUMBER(Suppliers!G61),(YEAR(EDATE(DATE(YEAR(TODAY()),MONTH(TODAY()),1),1))*12+MONTH(EDATE(DATE(YEAR(TODAY()),MONTH(TODAY()),1),1)))&gt;(YEAR(Suppliers!G61)*12+MONTH(Suppliers!G61))),"",1),IF(Suppliers!E61="Quarterly",IF(MOD((YEAR(EDATE(DATE(YEAR(TODAY()),MONTH(TODAY()),1),1))-YEAR(IF(ISNUMBER(Suppliers!F61),Suppliers!F61,DATE(YEAR(TODAY()),MONTH(TODAY()),1))))*12+MONTH(EDATE(DATE(YEAR(TODAY()),MONTH(TODAY()),1),1))-MONTH(IF(ISNUMBER(Suppliers!F61),Suppliers!F61,DATE(YEAR(TODAY()),MONTH(TODAY()),1))),3)=0,1,0),IF(Suppliers!E61="Semi-annual",IF(MOD((YEAR(EDATE(DATE(YEAR(TODAY()),MONTH(TODAY()),1),1))-YEAR(IF(ISNUMBER(Suppliers!F61),Suppliers!F61,DATE(YEAR(TODAY()),MONTH(TODAY()),1))))*12+MONTH(EDATE(DATE(YEAR(TODAY()),MONTH(TODAY()),1),1))-MONTH(IF(ISNUMBER(Suppliers!F61),Suppliers!F61,DATE(YEAR(TODAY()),MONTH(TODAY()),1))),6)=0,1,0),IF(Suppliers!E61="Annual",IF(MOD((YEAR(EDATE(DATE(YEAR(TODAY()),MONTH(TODAY()),1),1))-YEAR(IF(ISNUMBER(Suppliers!F61),Suppliers!F61,DATE(YEAR(TODAY()),MONTH(TODAY()),1))))*12+MONTH(EDATE(DATE(YEAR(TODAY()),MONTH(TODAY()),1),1))-MONTH(IF(ISNUMBER(Suppliers!F61),Suppliers!F61,DATE(YEAR(TODAY()),MONTH(TODAY()),1))),12)=0,1,0),IF(Suppliers!E61="One-time",IF(1=0,1,0),1)))))),"")</f>
        <v/>
      </c>
      <c r="H63" s="10" t="str">
        <f ca="1">IFERROR(IF(OR(2&gt;=$B$1,Suppliers!A61="",NOT(ISNUMBER(Suppliers!D61)),Suppliers!L61="Expired",Suppliers!L61="Terminate"),"",Suppliers!D61*-1*IF(Suppliers!E61="Monthly",IF(AND(ISNUMBER(Suppliers!G61),(YEAR(EDATE(DATE(YEAR(TODAY()),MONTH(TODAY()),1),2))*12+MONTH(EDATE(DATE(YEAR(TODAY()),MONTH(TODAY()),1),2)))&gt;(YEAR(Suppliers!G61)*12+MONTH(Suppliers!G61))),"",1),IF(Suppliers!E61="Quarterly",IF(MOD((YEAR(EDATE(DATE(YEAR(TODAY()),MONTH(TODAY()),1),2))-YEAR(IF(ISNUMBER(Suppliers!F61),Suppliers!F61,DATE(YEAR(TODAY()),MONTH(TODAY()),1))))*12+MONTH(EDATE(DATE(YEAR(TODAY()),MONTH(TODAY()),1),2))-MONTH(IF(ISNUMBER(Suppliers!F61),Suppliers!F61,DATE(YEAR(TODAY()),MONTH(TODAY()),1))),3)=0,1,0),IF(Suppliers!E61="Semi-annual",IF(MOD((YEAR(EDATE(DATE(YEAR(TODAY()),MONTH(TODAY()),1),2))-YEAR(IF(ISNUMBER(Suppliers!F61),Suppliers!F61,DATE(YEAR(TODAY()),MONTH(TODAY()),1))))*12+MONTH(EDATE(DATE(YEAR(TODAY()),MONTH(TODAY()),1),2))-MONTH(IF(ISNUMBER(Suppliers!F61),Suppliers!F61,DATE(YEAR(TODAY()),MONTH(TODAY()),1))),6)=0,1,0),IF(Suppliers!E61="Annual",IF(MOD((YEAR(EDATE(DATE(YEAR(TODAY()),MONTH(TODAY()),1),2))-YEAR(IF(ISNUMBER(Suppliers!F61),Suppliers!F61,DATE(YEAR(TODAY()),MONTH(TODAY()),1))))*12+MONTH(EDATE(DATE(YEAR(TODAY()),MONTH(TODAY()),1),2))-MONTH(IF(ISNUMBER(Suppliers!F61),Suppliers!F61,DATE(YEAR(TODAY()),MONTH(TODAY()),1))),12)=0,1,0),IF(Suppliers!E61="One-time",IF(2=0,1,0),1)))))),"")</f>
        <v/>
      </c>
      <c r="I63" s="10" t="str">
        <f ca="1">IFERROR(IF(OR(3&gt;=$B$1,Suppliers!A61="",NOT(ISNUMBER(Suppliers!D61)),Suppliers!L61="Expired",Suppliers!L61="Terminate"),"",Suppliers!D61*-1*IF(Suppliers!E61="Monthly",IF(AND(ISNUMBER(Suppliers!G61),(YEAR(EDATE(DATE(YEAR(TODAY()),MONTH(TODAY()),1),3))*12+MONTH(EDATE(DATE(YEAR(TODAY()),MONTH(TODAY()),1),3)))&gt;(YEAR(Suppliers!G61)*12+MONTH(Suppliers!G61))),"",1),IF(Suppliers!E61="Quarterly",IF(MOD((YEAR(EDATE(DATE(YEAR(TODAY()),MONTH(TODAY()),1),3))-YEAR(IF(ISNUMBER(Suppliers!F61),Suppliers!F61,DATE(YEAR(TODAY()),MONTH(TODAY()),1))))*12+MONTH(EDATE(DATE(YEAR(TODAY()),MONTH(TODAY()),1),3))-MONTH(IF(ISNUMBER(Suppliers!F61),Suppliers!F61,DATE(YEAR(TODAY()),MONTH(TODAY()),1))),3)=0,1,0),IF(Suppliers!E61="Semi-annual",IF(MOD((YEAR(EDATE(DATE(YEAR(TODAY()),MONTH(TODAY()),1),3))-YEAR(IF(ISNUMBER(Suppliers!F61),Suppliers!F61,DATE(YEAR(TODAY()),MONTH(TODAY()),1))))*12+MONTH(EDATE(DATE(YEAR(TODAY()),MONTH(TODAY()),1),3))-MONTH(IF(ISNUMBER(Suppliers!F61),Suppliers!F61,DATE(YEAR(TODAY()),MONTH(TODAY()),1))),6)=0,1,0),IF(Suppliers!E61="Annual",IF(MOD((YEAR(EDATE(DATE(YEAR(TODAY()),MONTH(TODAY()),1),3))-YEAR(IF(ISNUMBER(Suppliers!F61),Suppliers!F61,DATE(YEAR(TODAY()),MONTH(TODAY()),1))))*12+MONTH(EDATE(DATE(YEAR(TODAY()),MONTH(TODAY()),1),3))-MONTH(IF(ISNUMBER(Suppliers!F61),Suppliers!F61,DATE(YEAR(TODAY()),MONTH(TODAY()),1))),12)=0,1,0),IF(Suppliers!E61="One-time",IF(3=0,1,0),1)))))),"")</f>
        <v/>
      </c>
      <c r="J63" s="10" t="str">
        <f ca="1">IFERROR(IF(OR(4&gt;=$B$1,Suppliers!A61="",NOT(ISNUMBER(Suppliers!D61)),Suppliers!L61="Expired",Suppliers!L61="Terminate"),"",Suppliers!D61*-1*IF(Suppliers!E61="Monthly",IF(AND(ISNUMBER(Suppliers!G61),(YEAR(EDATE(DATE(YEAR(TODAY()),MONTH(TODAY()),1),4))*12+MONTH(EDATE(DATE(YEAR(TODAY()),MONTH(TODAY()),1),4)))&gt;(YEAR(Suppliers!G61)*12+MONTH(Suppliers!G61))),"",1),IF(Suppliers!E61="Quarterly",IF(MOD((YEAR(EDATE(DATE(YEAR(TODAY()),MONTH(TODAY()),1),4))-YEAR(IF(ISNUMBER(Suppliers!F61),Suppliers!F61,DATE(YEAR(TODAY()),MONTH(TODAY()),1))))*12+MONTH(EDATE(DATE(YEAR(TODAY()),MONTH(TODAY()),1),4))-MONTH(IF(ISNUMBER(Suppliers!F61),Suppliers!F61,DATE(YEAR(TODAY()),MONTH(TODAY()),1))),3)=0,1,0),IF(Suppliers!E61="Semi-annual",IF(MOD((YEAR(EDATE(DATE(YEAR(TODAY()),MONTH(TODAY()),1),4))-YEAR(IF(ISNUMBER(Suppliers!F61),Suppliers!F61,DATE(YEAR(TODAY()),MONTH(TODAY()),1))))*12+MONTH(EDATE(DATE(YEAR(TODAY()),MONTH(TODAY()),1),4))-MONTH(IF(ISNUMBER(Suppliers!F61),Suppliers!F61,DATE(YEAR(TODAY()),MONTH(TODAY()),1))),6)=0,1,0),IF(Suppliers!E61="Annual",IF(MOD((YEAR(EDATE(DATE(YEAR(TODAY()),MONTH(TODAY()),1),4))-YEAR(IF(ISNUMBER(Suppliers!F61),Suppliers!F61,DATE(YEAR(TODAY()),MONTH(TODAY()),1))))*12+MONTH(EDATE(DATE(YEAR(TODAY()),MONTH(TODAY()),1),4))-MONTH(IF(ISNUMBER(Suppliers!F61),Suppliers!F61,DATE(YEAR(TODAY()),MONTH(TODAY()),1))),12)=0,1,0),IF(Suppliers!E61="One-time",IF(4=0,1,0),1)))))),"")</f>
        <v/>
      </c>
      <c r="K63" s="10" t="str">
        <f ca="1">IFERROR(IF(OR(5&gt;=$B$1,Suppliers!A61="",NOT(ISNUMBER(Suppliers!D61)),Suppliers!L61="Expired",Suppliers!L61="Terminate"),"",Suppliers!D61*-1*IF(Suppliers!E61="Monthly",IF(AND(ISNUMBER(Suppliers!G61),(YEAR(EDATE(DATE(YEAR(TODAY()),MONTH(TODAY()),1),5))*12+MONTH(EDATE(DATE(YEAR(TODAY()),MONTH(TODAY()),1),5)))&gt;(YEAR(Suppliers!G61)*12+MONTH(Suppliers!G61))),"",1),IF(Suppliers!E61="Quarterly",IF(MOD((YEAR(EDATE(DATE(YEAR(TODAY()),MONTH(TODAY()),1),5))-YEAR(IF(ISNUMBER(Suppliers!F61),Suppliers!F61,DATE(YEAR(TODAY()),MONTH(TODAY()),1))))*12+MONTH(EDATE(DATE(YEAR(TODAY()),MONTH(TODAY()),1),5))-MONTH(IF(ISNUMBER(Suppliers!F61),Suppliers!F61,DATE(YEAR(TODAY()),MONTH(TODAY()),1))),3)=0,1,0),IF(Suppliers!E61="Semi-annual",IF(MOD((YEAR(EDATE(DATE(YEAR(TODAY()),MONTH(TODAY()),1),5))-YEAR(IF(ISNUMBER(Suppliers!F61),Suppliers!F61,DATE(YEAR(TODAY()),MONTH(TODAY()),1))))*12+MONTH(EDATE(DATE(YEAR(TODAY()),MONTH(TODAY()),1),5))-MONTH(IF(ISNUMBER(Suppliers!F61),Suppliers!F61,DATE(YEAR(TODAY()),MONTH(TODAY()),1))),6)=0,1,0),IF(Suppliers!E61="Annual",IF(MOD((YEAR(EDATE(DATE(YEAR(TODAY()),MONTH(TODAY()),1),5))-YEAR(IF(ISNUMBER(Suppliers!F61),Suppliers!F61,DATE(YEAR(TODAY()),MONTH(TODAY()),1))))*12+MONTH(EDATE(DATE(YEAR(TODAY()),MONTH(TODAY()),1),5))-MONTH(IF(ISNUMBER(Suppliers!F61),Suppliers!F61,DATE(YEAR(TODAY()),MONTH(TODAY()),1))),12)=0,1,0),IF(Suppliers!E61="One-time",IF(5=0,1,0),1)))))),"")</f>
        <v/>
      </c>
      <c r="L63" s="10" t="str">
        <f ca="1">IFERROR(IF(OR(6&gt;=$B$1,Suppliers!A61="",NOT(ISNUMBER(Suppliers!D61)),Suppliers!L61="Expired",Suppliers!L61="Terminate"),"",Suppliers!D61*-1*IF(Suppliers!E61="Monthly",IF(AND(ISNUMBER(Suppliers!G61),(YEAR(EDATE(DATE(YEAR(TODAY()),MONTH(TODAY()),1),6))*12+MONTH(EDATE(DATE(YEAR(TODAY()),MONTH(TODAY()),1),6)))&gt;(YEAR(Suppliers!G61)*12+MONTH(Suppliers!G61))),"",1),IF(Suppliers!E61="Quarterly",IF(MOD((YEAR(EDATE(DATE(YEAR(TODAY()),MONTH(TODAY()),1),6))-YEAR(IF(ISNUMBER(Suppliers!F61),Suppliers!F61,DATE(YEAR(TODAY()),MONTH(TODAY()),1))))*12+MONTH(EDATE(DATE(YEAR(TODAY()),MONTH(TODAY()),1),6))-MONTH(IF(ISNUMBER(Suppliers!F61),Suppliers!F61,DATE(YEAR(TODAY()),MONTH(TODAY()),1))),3)=0,1,0),IF(Suppliers!E61="Semi-annual",IF(MOD((YEAR(EDATE(DATE(YEAR(TODAY()),MONTH(TODAY()),1),6))-YEAR(IF(ISNUMBER(Suppliers!F61),Suppliers!F61,DATE(YEAR(TODAY()),MONTH(TODAY()),1))))*12+MONTH(EDATE(DATE(YEAR(TODAY()),MONTH(TODAY()),1),6))-MONTH(IF(ISNUMBER(Suppliers!F61),Suppliers!F61,DATE(YEAR(TODAY()),MONTH(TODAY()),1))),6)=0,1,0),IF(Suppliers!E61="Annual",IF(MOD((YEAR(EDATE(DATE(YEAR(TODAY()),MONTH(TODAY()),1),6))-YEAR(IF(ISNUMBER(Suppliers!F61),Suppliers!F61,DATE(YEAR(TODAY()),MONTH(TODAY()),1))))*12+MONTH(EDATE(DATE(YEAR(TODAY()),MONTH(TODAY()),1),6))-MONTH(IF(ISNUMBER(Suppliers!F61),Suppliers!F61,DATE(YEAR(TODAY()),MONTH(TODAY()),1))),12)=0,1,0),IF(Suppliers!E61="One-time",IF(6=0,1,0),1)))))),"")</f>
        <v/>
      </c>
      <c r="M63" s="10" t="str">
        <f ca="1">IFERROR(IF(OR(7&gt;=$B$1,Suppliers!A61="",NOT(ISNUMBER(Suppliers!D61)),Suppliers!L61="Expired",Suppliers!L61="Terminate"),"",Suppliers!D61*-1*IF(Suppliers!E61="Monthly",IF(AND(ISNUMBER(Suppliers!G61),(YEAR(EDATE(DATE(YEAR(TODAY()),MONTH(TODAY()),1),7))*12+MONTH(EDATE(DATE(YEAR(TODAY()),MONTH(TODAY()),1),7)))&gt;(YEAR(Suppliers!G61)*12+MONTH(Suppliers!G61))),"",1),IF(Suppliers!E61="Quarterly",IF(MOD((YEAR(EDATE(DATE(YEAR(TODAY()),MONTH(TODAY()),1),7))-YEAR(IF(ISNUMBER(Suppliers!F61),Suppliers!F61,DATE(YEAR(TODAY()),MONTH(TODAY()),1))))*12+MONTH(EDATE(DATE(YEAR(TODAY()),MONTH(TODAY()),1),7))-MONTH(IF(ISNUMBER(Suppliers!F61),Suppliers!F61,DATE(YEAR(TODAY()),MONTH(TODAY()),1))),3)=0,1,0),IF(Suppliers!E61="Semi-annual",IF(MOD((YEAR(EDATE(DATE(YEAR(TODAY()),MONTH(TODAY()),1),7))-YEAR(IF(ISNUMBER(Suppliers!F61),Suppliers!F61,DATE(YEAR(TODAY()),MONTH(TODAY()),1))))*12+MONTH(EDATE(DATE(YEAR(TODAY()),MONTH(TODAY()),1),7))-MONTH(IF(ISNUMBER(Suppliers!F61),Suppliers!F61,DATE(YEAR(TODAY()),MONTH(TODAY()),1))),6)=0,1,0),IF(Suppliers!E61="Annual",IF(MOD((YEAR(EDATE(DATE(YEAR(TODAY()),MONTH(TODAY()),1),7))-YEAR(IF(ISNUMBER(Suppliers!F61),Suppliers!F61,DATE(YEAR(TODAY()),MONTH(TODAY()),1))))*12+MONTH(EDATE(DATE(YEAR(TODAY()),MONTH(TODAY()),1),7))-MONTH(IF(ISNUMBER(Suppliers!F61),Suppliers!F61,DATE(YEAR(TODAY()),MONTH(TODAY()),1))),12)=0,1,0),IF(Suppliers!E61="One-time",IF(7=0,1,0),1)))))),"")</f>
        <v/>
      </c>
      <c r="N63" s="10" t="str">
        <f ca="1">IFERROR(IF(OR(8&gt;=$B$1,Suppliers!A61="",NOT(ISNUMBER(Suppliers!D61)),Suppliers!L61="Expired",Suppliers!L61="Terminate"),"",Suppliers!D61*-1*IF(Suppliers!E61="Monthly",IF(AND(ISNUMBER(Suppliers!G61),(YEAR(EDATE(DATE(YEAR(TODAY()),MONTH(TODAY()),1),8))*12+MONTH(EDATE(DATE(YEAR(TODAY()),MONTH(TODAY()),1),8)))&gt;(YEAR(Suppliers!G61)*12+MONTH(Suppliers!G61))),"",1),IF(Suppliers!E61="Quarterly",IF(MOD((YEAR(EDATE(DATE(YEAR(TODAY()),MONTH(TODAY()),1),8))-YEAR(IF(ISNUMBER(Suppliers!F61),Suppliers!F61,DATE(YEAR(TODAY()),MONTH(TODAY()),1))))*12+MONTH(EDATE(DATE(YEAR(TODAY()),MONTH(TODAY()),1),8))-MONTH(IF(ISNUMBER(Suppliers!F61),Suppliers!F61,DATE(YEAR(TODAY()),MONTH(TODAY()),1))),3)=0,1,0),IF(Suppliers!E61="Semi-annual",IF(MOD((YEAR(EDATE(DATE(YEAR(TODAY()),MONTH(TODAY()),1),8))-YEAR(IF(ISNUMBER(Suppliers!F61),Suppliers!F61,DATE(YEAR(TODAY()),MONTH(TODAY()),1))))*12+MONTH(EDATE(DATE(YEAR(TODAY()),MONTH(TODAY()),1),8))-MONTH(IF(ISNUMBER(Suppliers!F61),Suppliers!F61,DATE(YEAR(TODAY()),MONTH(TODAY()),1))),6)=0,1,0),IF(Suppliers!E61="Annual",IF(MOD((YEAR(EDATE(DATE(YEAR(TODAY()),MONTH(TODAY()),1),8))-YEAR(IF(ISNUMBER(Suppliers!F61),Suppliers!F61,DATE(YEAR(TODAY()),MONTH(TODAY()),1))))*12+MONTH(EDATE(DATE(YEAR(TODAY()),MONTH(TODAY()),1),8))-MONTH(IF(ISNUMBER(Suppliers!F61),Suppliers!F61,DATE(YEAR(TODAY()),MONTH(TODAY()),1))),12)=0,1,0),IF(Suppliers!E61="One-time",IF(8=0,1,0),1)))))),"")</f>
        <v/>
      </c>
      <c r="O63" s="10" t="str">
        <f ca="1">IFERROR(IF(OR(9&gt;=$B$1,Suppliers!A61="",NOT(ISNUMBER(Suppliers!D61)),Suppliers!L61="Expired",Suppliers!L61="Terminate"),"",Suppliers!D61*-1*IF(Suppliers!E61="Monthly",IF(AND(ISNUMBER(Suppliers!G61),(YEAR(EDATE(DATE(YEAR(TODAY()),MONTH(TODAY()),1),9))*12+MONTH(EDATE(DATE(YEAR(TODAY()),MONTH(TODAY()),1),9)))&gt;(YEAR(Suppliers!G61)*12+MONTH(Suppliers!G61))),"",1),IF(Suppliers!E61="Quarterly",IF(MOD((YEAR(EDATE(DATE(YEAR(TODAY()),MONTH(TODAY()),1),9))-YEAR(IF(ISNUMBER(Suppliers!F61),Suppliers!F61,DATE(YEAR(TODAY()),MONTH(TODAY()),1))))*12+MONTH(EDATE(DATE(YEAR(TODAY()),MONTH(TODAY()),1),9))-MONTH(IF(ISNUMBER(Suppliers!F61),Suppliers!F61,DATE(YEAR(TODAY()),MONTH(TODAY()),1))),3)=0,1,0),IF(Suppliers!E61="Semi-annual",IF(MOD((YEAR(EDATE(DATE(YEAR(TODAY()),MONTH(TODAY()),1),9))-YEAR(IF(ISNUMBER(Suppliers!F61),Suppliers!F61,DATE(YEAR(TODAY()),MONTH(TODAY()),1))))*12+MONTH(EDATE(DATE(YEAR(TODAY()),MONTH(TODAY()),1),9))-MONTH(IF(ISNUMBER(Suppliers!F61),Suppliers!F61,DATE(YEAR(TODAY()),MONTH(TODAY()),1))),6)=0,1,0),IF(Suppliers!E61="Annual",IF(MOD((YEAR(EDATE(DATE(YEAR(TODAY()),MONTH(TODAY()),1),9))-YEAR(IF(ISNUMBER(Suppliers!F61),Suppliers!F61,DATE(YEAR(TODAY()),MONTH(TODAY()),1))))*12+MONTH(EDATE(DATE(YEAR(TODAY()),MONTH(TODAY()),1),9))-MONTH(IF(ISNUMBER(Suppliers!F61),Suppliers!F61,DATE(YEAR(TODAY()),MONTH(TODAY()),1))),12)=0,1,0),IF(Suppliers!E61="One-time",IF(9=0,1,0),1)))))),"")</f>
        <v/>
      </c>
      <c r="P63" s="10" t="str">
        <f ca="1">IFERROR(IF(OR(10&gt;=$B$1,Suppliers!A61="",NOT(ISNUMBER(Suppliers!D61)),Suppliers!L61="Expired",Suppliers!L61="Terminate"),"",Suppliers!D61*-1*IF(Suppliers!E61="Monthly",IF(AND(ISNUMBER(Suppliers!G61),(YEAR(EDATE(DATE(YEAR(TODAY()),MONTH(TODAY()),1),10))*12+MONTH(EDATE(DATE(YEAR(TODAY()),MONTH(TODAY()),1),10)))&gt;(YEAR(Suppliers!G61)*12+MONTH(Suppliers!G61))),"",1),IF(Suppliers!E61="Quarterly",IF(MOD((YEAR(EDATE(DATE(YEAR(TODAY()),MONTH(TODAY()),1),10))-YEAR(IF(ISNUMBER(Suppliers!F61),Suppliers!F61,DATE(YEAR(TODAY()),MONTH(TODAY()),1))))*12+MONTH(EDATE(DATE(YEAR(TODAY()),MONTH(TODAY()),1),10))-MONTH(IF(ISNUMBER(Suppliers!F61),Suppliers!F61,DATE(YEAR(TODAY()),MONTH(TODAY()),1))),3)=0,1,0),IF(Suppliers!E61="Semi-annual",IF(MOD((YEAR(EDATE(DATE(YEAR(TODAY()),MONTH(TODAY()),1),10))-YEAR(IF(ISNUMBER(Suppliers!F61),Suppliers!F61,DATE(YEAR(TODAY()),MONTH(TODAY()),1))))*12+MONTH(EDATE(DATE(YEAR(TODAY()),MONTH(TODAY()),1),10))-MONTH(IF(ISNUMBER(Suppliers!F61),Suppliers!F61,DATE(YEAR(TODAY()),MONTH(TODAY()),1))),6)=0,1,0),IF(Suppliers!E61="Annual",IF(MOD((YEAR(EDATE(DATE(YEAR(TODAY()),MONTH(TODAY()),1),10))-YEAR(IF(ISNUMBER(Suppliers!F61),Suppliers!F61,DATE(YEAR(TODAY()),MONTH(TODAY()),1))))*12+MONTH(EDATE(DATE(YEAR(TODAY()),MONTH(TODAY()),1),10))-MONTH(IF(ISNUMBER(Suppliers!F61),Suppliers!F61,DATE(YEAR(TODAY()),MONTH(TODAY()),1))),12)=0,1,0),IF(Suppliers!E61="One-time",IF(10=0,1,0),1)))))),"")</f>
        <v/>
      </c>
      <c r="Q63" s="10" t="str">
        <f ca="1">IFERROR(IF(OR(11&gt;=$B$1,Suppliers!A61="",NOT(ISNUMBER(Suppliers!D61)),Suppliers!L61="Expired",Suppliers!L61="Terminate"),"",Suppliers!D61*-1*IF(Suppliers!E61="Monthly",IF(AND(ISNUMBER(Suppliers!G61),(YEAR(EDATE(DATE(YEAR(TODAY()),MONTH(TODAY()),1),11))*12+MONTH(EDATE(DATE(YEAR(TODAY()),MONTH(TODAY()),1),11)))&gt;(YEAR(Suppliers!G61)*12+MONTH(Suppliers!G61))),"",1),IF(Suppliers!E61="Quarterly",IF(MOD((YEAR(EDATE(DATE(YEAR(TODAY()),MONTH(TODAY()),1),11))-YEAR(IF(ISNUMBER(Suppliers!F61),Suppliers!F61,DATE(YEAR(TODAY()),MONTH(TODAY()),1))))*12+MONTH(EDATE(DATE(YEAR(TODAY()),MONTH(TODAY()),1),11))-MONTH(IF(ISNUMBER(Suppliers!F61),Suppliers!F61,DATE(YEAR(TODAY()),MONTH(TODAY()),1))),3)=0,1,0),IF(Suppliers!E61="Semi-annual",IF(MOD((YEAR(EDATE(DATE(YEAR(TODAY()),MONTH(TODAY()),1),11))-YEAR(IF(ISNUMBER(Suppliers!F61),Suppliers!F61,DATE(YEAR(TODAY()),MONTH(TODAY()),1))))*12+MONTH(EDATE(DATE(YEAR(TODAY()),MONTH(TODAY()),1),11))-MONTH(IF(ISNUMBER(Suppliers!F61),Suppliers!F61,DATE(YEAR(TODAY()),MONTH(TODAY()),1))),6)=0,1,0),IF(Suppliers!E61="Annual",IF(MOD((YEAR(EDATE(DATE(YEAR(TODAY()),MONTH(TODAY()),1),11))-YEAR(IF(ISNUMBER(Suppliers!F61),Suppliers!F61,DATE(YEAR(TODAY()),MONTH(TODAY()),1))))*12+MONTH(EDATE(DATE(YEAR(TODAY()),MONTH(TODAY()),1),11))-MONTH(IF(ISNUMBER(Suppliers!F61),Suppliers!F61,DATE(YEAR(TODAY()),MONTH(TODAY()),1))),12)=0,1,0),IF(Suppliers!E61="One-time",IF(11=0,1,0),1)))))),"")</f>
        <v/>
      </c>
      <c r="R63" s="10" t="str">
        <f ca="1">IFERROR(IF(OR(12&gt;=$B$1,Suppliers!A61="",NOT(ISNUMBER(Suppliers!D61)),Suppliers!L61="Expired",Suppliers!L61="Terminate"),"",Suppliers!D61*-1*IF(Suppliers!E61="Monthly",IF(AND(ISNUMBER(Suppliers!G61),(YEAR(EDATE(DATE(YEAR(TODAY()),MONTH(TODAY()),1),12))*12+MONTH(EDATE(DATE(YEAR(TODAY()),MONTH(TODAY()),1),12)))&gt;(YEAR(Suppliers!G61)*12+MONTH(Suppliers!G61))),"",1),IF(Suppliers!E61="Quarterly",IF(MOD((YEAR(EDATE(DATE(YEAR(TODAY()),MONTH(TODAY()),1),12))-YEAR(IF(ISNUMBER(Suppliers!F61),Suppliers!F61,DATE(YEAR(TODAY()),MONTH(TODAY()),1))))*12+MONTH(EDATE(DATE(YEAR(TODAY()),MONTH(TODAY()),1),12))-MONTH(IF(ISNUMBER(Suppliers!F61),Suppliers!F61,DATE(YEAR(TODAY()),MONTH(TODAY()),1))),3)=0,1,0),IF(Suppliers!E61="Semi-annual",IF(MOD((YEAR(EDATE(DATE(YEAR(TODAY()),MONTH(TODAY()),1),12))-YEAR(IF(ISNUMBER(Suppliers!F61),Suppliers!F61,DATE(YEAR(TODAY()),MONTH(TODAY()),1))))*12+MONTH(EDATE(DATE(YEAR(TODAY()),MONTH(TODAY()),1),12))-MONTH(IF(ISNUMBER(Suppliers!F61),Suppliers!F61,DATE(YEAR(TODAY()),MONTH(TODAY()),1))),6)=0,1,0),IF(Suppliers!E61="Annual",IF(MOD((YEAR(EDATE(DATE(YEAR(TODAY()),MONTH(TODAY()),1),12))-YEAR(IF(ISNUMBER(Suppliers!F61),Suppliers!F61,DATE(YEAR(TODAY()),MONTH(TODAY()),1))))*12+MONTH(EDATE(DATE(YEAR(TODAY()),MONTH(TODAY()),1),12))-MONTH(IF(ISNUMBER(Suppliers!F61),Suppliers!F61,DATE(YEAR(TODAY()),MONTH(TODAY()),1))),12)=0,1,0),IF(Suppliers!E61="One-time",IF(12=0,1,0),1)))))),"")</f>
        <v/>
      </c>
      <c r="S63" s="10" t="str">
        <f ca="1">IFERROR(IF(OR(13&gt;=$B$1,Suppliers!A61="",NOT(ISNUMBER(Suppliers!D61)),Suppliers!L61="Expired",Suppliers!L61="Terminate"),"",Suppliers!D61*-1*IF(Suppliers!E61="Monthly",IF(AND(ISNUMBER(Suppliers!G61),(YEAR(EDATE(DATE(YEAR(TODAY()),MONTH(TODAY()),1),13))*12+MONTH(EDATE(DATE(YEAR(TODAY()),MONTH(TODAY()),1),13)))&gt;(YEAR(Suppliers!G61)*12+MONTH(Suppliers!G61))),"",1),IF(Suppliers!E61="Quarterly",IF(MOD((YEAR(EDATE(DATE(YEAR(TODAY()),MONTH(TODAY()),1),13))-YEAR(IF(ISNUMBER(Suppliers!F61),Suppliers!F61,DATE(YEAR(TODAY()),MONTH(TODAY()),1))))*12+MONTH(EDATE(DATE(YEAR(TODAY()),MONTH(TODAY()),1),13))-MONTH(IF(ISNUMBER(Suppliers!F61),Suppliers!F61,DATE(YEAR(TODAY()),MONTH(TODAY()),1))),3)=0,1,0),IF(Suppliers!E61="Semi-annual",IF(MOD((YEAR(EDATE(DATE(YEAR(TODAY()),MONTH(TODAY()),1),13))-YEAR(IF(ISNUMBER(Suppliers!F61),Suppliers!F61,DATE(YEAR(TODAY()),MONTH(TODAY()),1))))*12+MONTH(EDATE(DATE(YEAR(TODAY()),MONTH(TODAY()),1),13))-MONTH(IF(ISNUMBER(Suppliers!F61),Suppliers!F61,DATE(YEAR(TODAY()),MONTH(TODAY()),1))),6)=0,1,0),IF(Suppliers!E61="Annual",IF(MOD((YEAR(EDATE(DATE(YEAR(TODAY()),MONTH(TODAY()),1),13))-YEAR(IF(ISNUMBER(Suppliers!F61),Suppliers!F61,DATE(YEAR(TODAY()),MONTH(TODAY()),1))))*12+MONTH(EDATE(DATE(YEAR(TODAY()),MONTH(TODAY()),1),13))-MONTH(IF(ISNUMBER(Suppliers!F61),Suppliers!F61,DATE(YEAR(TODAY()),MONTH(TODAY()),1))),12)=0,1,0),IF(Suppliers!E61="One-time",IF(13=0,1,0),1)))))),"")</f>
        <v/>
      </c>
      <c r="T63" s="10" t="str">
        <f ca="1">IFERROR(IF(OR(14&gt;=$B$1,Suppliers!A61="",NOT(ISNUMBER(Suppliers!D61)),Suppliers!L61="Expired",Suppliers!L61="Terminate"),"",Suppliers!D61*-1*IF(Suppliers!E61="Monthly",IF(AND(ISNUMBER(Suppliers!G61),(YEAR(EDATE(DATE(YEAR(TODAY()),MONTH(TODAY()),1),14))*12+MONTH(EDATE(DATE(YEAR(TODAY()),MONTH(TODAY()),1),14)))&gt;(YEAR(Suppliers!G61)*12+MONTH(Suppliers!G61))),"",1),IF(Suppliers!E61="Quarterly",IF(MOD((YEAR(EDATE(DATE(YEAR(TODAY()),MONTH(TODAY()),1),14))-YEAR(IF(ISNUMBER(Suppliers!F61),Suppliers!F61,DATE(YEAR(TODAY()),MONTH(TODAY()),1))))*12+MONTH(EDATE(DATE(YEAR(TODAY()),MONTH(TODAY()),1),14))-MONTH(IF(ISNUMBER(Suppliers!F61),Suppliers!F61,DATE(YEAR(TODAY()),MONTH(TODAY()),1))),3)=0,1,0),IF(Suppliers!E61="Semi-annual",IF(MOD((YEAR(EDATE(DATE(YEAR(TODAY()),MONTH(TODAY()),1),14))-YEAR(IF(ISNUMBER(Suppliers!F61),Suppliers!F61,DATE(YEAR(TODAY()),MONTH(TODAY()),1))))*12+MONTH(EDATE(DATE(YEAR(TODAY()),MONTH(TODAY()),1),14))-MONTH(IF(ISNUMBER(Suppliers!F61),Suppliers!F61,DATE(YEAR(TODAY()),MONTH(TODAY()),1))),6)=0,1,0),IF(Suppliers!E61="Annual",IF(MOD((YEAR(EDATE(DATE(YEAR(TODAY()),MONTH(TODAY()),1),14))-YEAR(IF(ISNUMBER(Suppliers!F61),Suppliers!F61,DATE(YEAR(TODAY()),MONTH(TODAY()),1))))*12+MONTH(EDATE(DATE(YEAR(TODAY()),MONTH(TODAY()),1),14))-MONTH(IF(ISNUMBER(Suppliers!F61),Suppliers!F61,DATE(YEAR(TODAY()),MONTH(TODAY()),1))),12)=0,1,0),IF(Suppliers!E61="One-time",IF(14=0,1,0),1)))))),"")</f>
        <v/>
      </c>
      <c r="U63" s="10" t="str">
        <f ca="1">IFERROR(IF(OR(15&gt;=$B$1,Suppliers!A61="",NOT(ISNUMBER(Suppliers!D61)),Suppliers!L61="Expired",Suppliers!L61="Terminate"),"",Suppliers!D61*-1*IF(Suppliers!E61="Monthly",IF(AND(ISNUMBER(Suppliers!G61),(YEAR(EDATE(DATE(YEAR(TODAY()),MONTH(TODAY()),1),15))*12+MONTH(EDATE(DATE(YEAR(TODAY()),MONTH(TODAY()),1),15)))&gt;(YEAR(Suppliers!G61)*12+MONTH(Suppliers!G61))),"",1),IF(Suppliers!E61="Quarterly",IF(MOD((YEAR(EDATE(DATE(YEAR(TODAY()),MONTH(TODAY()),1),15))-YEAR(IF(ISNUMBER(Suppliers!F61),Suppliers!F61,DATE(YEAR(TODAY()),MONTH(TODAY()),1))))*12+MONTH(EDATE(DATE(YEAR(TODAY()),MONTH(TODAY()),1),15))-MONTH(IF(ISNUMBER(Suppliers!F61),Suppliers!F61,DATE(YEAR(TODAY()),MONTH(TODAY()),1))),3)=0,1,0),IF(Suppliers!E61="Semi-annual",IF(MOD((YEAR(EDATE(DATE(YEAR(TODAY()),MONTH(TODAY()),1),15))-YEAR(IF(ISNUMBER(Suppliers!F61),Suppliers!F61,DATE(YEAR(TODAY()),MONTH(TODAY()),1))))*12+MONTH(EDATE(DATE(YEAR(TODAY()),MONTH(TODAY()),1),15))-MONTH(IF(ISNUMBER(Suppliers!F61),Suppliers!F61,DATE(YEAR(TODAY()),MONTH(TODAY()),1))),6)=0,1,0),IF(Suppliers!E61="Annual",IF(MOD((YEAR(EDATE(DATE(YEAR(TODAY()),MONTH(TODAY()),1),15))-YEAR(IF(ISNUMBER(Suppliers!F61),Suppliers!F61,DATE(YEAR(TODAY()),MONTH(TODAY()),1))))*12+MONTH(EDATE(DATE(YEAR(TODAY()),MONTH(TODAY()),1),15))-MONTH(IF(ISNUMBER(Suppliers!F61),Suppliers!F61,DATE(YEAR(TODAY()),MONTH(TODAY()),1))),12)=0,1,0),IF(Suppliers!E61="One-time",IF(15=0,1,0),1)))))),"")</f>
        <v/>
      </c>
      <c r="V63" s="10" t="str">
        <f ca="1">IFERROR(IF(OR(16&gt;=$B$1,Suppliers!A61="",NOT(ISNUMBER(Suppliers!D61)),Suppliers!L61="Expired",Suppliers!L61="Terminate"),"",Suppliers!D61*-1*IF(Suppliers!E61="Monthly",IF(AND(ISNUMBER(Suppliers!G61),(YEAR(EDATE(DATE(YEAR(TODAY()),MONTH(TODAY()),1),16))*12+MONTH(EDATE(DATE(YEAR(TODAY()),MONTH(TODAY()),1),16)))&gt;(YEAR(Suppliers!G61)*12+MONTH(Suppliers!G61))),"",1),IF(Suppliers!E61="Quarterly",IF(MOD((YEAR(EDATE(DATE(YEAR(TODAY()),MONTH(TODAY()),1),16))-YEAR(IF(ISNUMBER(Suppliers!F61),Suppliers!F61,DATE(YEAR(TODAY()),MONTH(TODAY()),1))))*12+MONTH(EDATE(DATE(YEAR(TODAY()),MONTH(TODAY()),1),16))-MONTH(IF(ISNUMBER(Suppliers!F61),Suppliers!F61,DATE(YEAR(TODAY()),MONTH(TODAY()),1))),3)=0,1,0),IF(Suppliers!E61="Semi-annual",IF(MOD((YEAR(EDATE(DATE(YEAR(TODAY()),MONTH(TODAY()),1),16))-YEAR(IF(ISNUMBER(Suppliers!F61),Suppliers!F61,DATE(YEAR(TODAY()),MONTH(TODAY()),1))))*12+MONTH(EDATE(DATE(YEAR(TODAY()),MONTH(TODAY()),1),16))-MONTH(IF(ISNUMBER(Suppliers!F61),Suppliers!F61,DATE(YEAR(TODAY()),MONTH(TODAY()),1))),6)=0,1,0),IF(Suppliers!E61="Annual",IF(MOD((YEAR(EDATE(DATE(YEAR(TODAY()),MONTH(TODAY()),1),16))-YEAR(IF(ISNUMBER(Suppliers!F61),Suppliers!F61,DATE(YEAR(TODAY()),MONTH(TODAY()),1))))*12+MONTH(EDATE(DATE(YEAR(TODAY()),MONTH(TODAY()),1),16))-MONTH(IF(ISNUMBER(Suppliers!F61),Suppliers!F61,DATE(YEAR(TODAY()),MONTH(TODAY()),1))),12)=0,1,0),IF(Suppliers!E61="One-time",IF(16=0,1,0),1)))))),"")</f>
        <v/>
      </c>
      <c r="W63" s="10" t="str">
        <f ca="1">IFERROR(IF(OR(17&gt;=$B$1,Suppliers!A61="",NOT(ISNUMBER(Suppliers!D61)),Suppliers!L61="Expired",Suppliers!L61="Terminate"),"",Suppliers!D61*-1*IF(Suppliers!E61="Monthly",IF(AND(ISNUMBER(Suppliers!G61),(YEAR(EDATE(DATE(YEAR(TODAY()),MONTH(TODAY()),1),17))*12+MONTH(EDATE(DATE(YEAR(TODAY()),MONTH(TODAY()),1),17)))&gt;(YEAR(Suppliers!G61)*12+MONTH(Suppliers!G61))),"",1),IF(Suppliers!E61="Quarterly",IF(MOD((YEAR(EDATE(DATE(YEAR(TODAY()),MONTH(TODAY()),1),17))-YEAR(IF(ISNUMBER(Suppliers!F61),Suppliers!F61,DATE(YEAR(TODAY()),MONTH(TODAY()),1))))*12+MONTH(EDATE(DATE(YEAR(TODAY()),MONTH(TODAY()),1),17))-MONTH(IF(ISNUMBER(Suppliers!F61),Suppliers!F61,DATE(YEAR(TODAY()),MONTH(TODAY()),1))),3)=0,1,0),IF(Suppliers!E61="Semi-annual",IF(MOD((YEAR(EDATE(DATE(YEAR(TODAY()),MONTH(TODAY()),1),17))-YEAR(IF(ISNUMBER(Suppliers!F61),Suppliers!F61,DATE(YEAR(TODAY()),MONTH(TODAY()),1))))*12+MONTH(EDATE(DATE(YEAR(TODAY()),MONTH(TODAY()),1),17))-MONTH(IF(ISNUMBER(Suppliers!F61),Suppliers!F61,DATE(YEAR(TODAY()),MONTH(TODAY()),1))),6)=0,1,0),IF(Suppliers!E61="Annual",IF(MOD((YEAR(EDATE(DATE(YEAR(TODAY()),MONTH(TODAY()),1),17))-YEAR(IF(ISNUMBER(Suppliers!F61),Suppliers!F61,DATE(YEAR(TODAY()),MONTH(TODAY()),1))))*12+MONTH(EDATE(DATE(YEAR(TODAY()),MONTH(TODAY()),1),17))-MONTH(IF(ISNUMBER(Suppliers!F61),Suppliers!F61,DATE(YEAR(TODAY()),MONTH(TODAY()),1))),12)=0,1,0),IF(Suppliers!E61="One-time",IF(17=0,1,0),1)))))),"")</f>
        <v/>
      </c>
      <c r="X63" s="10" t="str">
        <f ca="1">IFERROR(IF(OR(18&gt;=$B$1,Suppliers!A61="",NOT(ISNUMBER(Suppliers!D61)),Suppliers!L61="Expired",Suppliers!L61="Terminate"),"",Suppliers!D61*-1*IF(Suppliers!E61="Monthly",IF(AND(ISNUMBER(Suppliers!G61),(YEAR(EDATE(DATE(YEAR(TODAY()),MONTH(TODAY()),1),18))*12+MONTH(EDATE(DATE(YEAR(TODAY()),MONTH(TODAY()),1),18)))&gt;(YEAR(Suppliers!G61)*12+MONTH(Suppliers!G61))),"",1),IF(Suppliers!E61="Quarterly",IF(MOD((YEAR(EDATE(DATE(YEAR(TODAY()),MONTH(TODAY()),1),18))-YEAR(IF(ISNUMBER(Suppliers!F61),Suppliers!F61,DATE(YEAR(TODAY()),MONTH(TODAY()),1))))*12+MONTH(EDATE(DATE(YEAR(TODAY()),MONTH(TODAY()),1),18))-MONTH(IF(ISNUMBER(Suppliers!F61),Suppliers!F61,DATE(YEAR(TODAY()),MONTH(TODAY()),1))),3)=0,1,0),IF(Suppliers!E61="Semi-annual",IF(MOD((YEAR(EDATE(DATE(YEAR(TODAY()),MONTH(TODAY()),1),18))-YEAR(IF(ISNUMBER(Suppliers!F61),Suppliers!F61,DATE(YEAR(TODAY()),MONTH(TODAY()),1))))*12+MONTH(EDATE(DATE(YEAR(TODAY()),MONTH(TODAY()),1),18))-MONTH(IF(ISNUMBER(Suppliers!F61),Suppliers!F61,DATE(YEAR(TODAY()),MONTH(TODAY()),1))),6)=0,1,0),IF(Suppliers!E61="Annual",IF(MOD((YEAR(EDATE(DATE(YEAR(TODAY()),MONTH(TODAY()),1),18))-YEAR(IF(ISNUMBER(Suppliers!F61),Suppliers!F61,DATE(YEAR(TODAY()),MONTH(TODAY()),1))))*12+MONTH(EDATE(DATE(YEAR(TODAY()),MONTH(TODAY()),1),18))-MONTH(IF(ISNUMBER(Suppliers!F61),Suppliers!F61,DATE(YEAR(TODAY()),MONTH(TODAY()),1))),12)=0,1,0),IF(Suppliers!E61="One-time",IF(18=0,1,0),1)))))),"")</f>
        <v/>
      </c>
      <c r="Y63" s="10" t="str">
        <f ca="1">IFERROR(IF(OR(19&gt;=$B$1,Suppliers!A61="",NOT(ISNUMBER(Suppliers!D61)),Suppliers!L61="Expired",Suppliers!L61="Terminate"),"",Suppliers!D61*-1*IF(Suppliers!E61="Monthly",IF(AND(ISNUMBER(Suppliers!G61),(YEAR(EDATE(DATE(YEAR(TODAY()),MONTH(TODAY()),1),19))*12+MONTH(EDATE(DATE(YEAR(TODAY()),MONTH(TODAY()),1),19)))&gt;(YEAR(Suppliers!G61)*12+MONTH(Suppliers!G61))),"",1),IF(Suppliers!E61="Quarterly",IF(MOD((YEAR(EDATE(DATE(YEAR(TODAY()),MONTH(TODAY()),1),19))-YEAR(IF(ISNUMBER(Suppliers!F61),Suppliers!F61,DATE(YEAR(TODAY()),MONTH(TODAY()),1))))*12+MONTH(EDATE(DATE(YEAR(TODAY()),MONTH(TODAY()),1),19))-MONTH(IF(ISNUMBER(Suppliers!F61),Suppliers!F61,DATE(YEAR(TODAY()),MONTH(TODAY()),1))),3)=0,1,0),IF(Suppliers!E61="Semi-annual",IF(MOD((YEAR(EDATE(DATE(YEAR(TODAY()),MONTH(TODAY()),1),19))-YEAR(IF(ISNUMBER(Suppliers!F61),Suppliers!F61,DATE(YEAR(TODAY()),MONTH(TODAY()),1))))*12+MONTH(EDATE(DATE(YEAR(TODAY()),MONTH(TODAY()),1),19))-MONTH(IF(ISNUMBER(Suppliers!F61),Suppliers!F61,DATE(YEAR(TODAY()),MONTH(TODAY()),1))),6)=0,1,0),IF(Suppliers!E61="Annual",IF(MOD((YEAR(EDATE(DATE(YEAR(TODAY()),MONTH(TODAY()),1),19))-YEAR(IF(ISNUMBER(Suppliers!F61),Suppliers!F61,DATE(YEAR(TODAY()),MONTH(TODAY()),1))))*12+MONTH(EDATE(DATE(YEAR(TODAY()),MONTH(TODAY()),1),19))-MONTH(IF(ISNUMBER(Suppliers!F61),Suppliers!F61,DATE(YEAR(TODAY()),MONTH(TODAY()),1))),12)=0,1,0),IF(Suppliers!E61="One-time",IF(19=0,1,0),1)))))),"")</f>
        <v/>
      </c>
      <c r="Z63" s="10" t="str">
        <f ca="1">IFERROR(IF(OR(20&gt;=$B$1,Suppliers!A61="",NOT(ISNUMBER(Suppliers!D61)),Suppliers!L61="Expired",Suppliers!L61="Terminate"),"",Suppliers!D61*-1*IF(Suppliers!E61="Monthly",IF(AND(ISNUMBER(Suppliers!G61),(YEAR(EDATE(DATE(YEAR(TODAY()),MONTH(TODAY()),1),20))*12+MONTH(EDATE(DATE(YEAR(TODAY()),MONTH(TODAY()),1),20)))&gt;(YEAR(Suppliers!G61)*12+MONTH(Suppliers!G61))),"",1),IF(Suppliers!E61="Quarterly",IF(MOD((YEAR(EDATE(DATE(YEAR(TODAY()),MONTH(TODAY()),1),20))-YEAR(IF(ISNUMBER(Suppliers!F61),Suppliers!F61,DATE(YEAR(TODAY()),MONTH(TODAY()),1))))*12+MONTH(EDATE(DATE(YEAR(TODAY()),MONTH(TODAY()),1),20))-MONTH(IF(ISNUMBER(Suppliers!F61),Suppliers!F61,DATE(YEAR(TODAY()),MONTH(TODAY()),1))),3)=0,1,0),IF(Suppliers!E61="Semi-annual",IF(MOD((YEAR(EDATE(DATE(YEAR(TODAY()),MONTH(TODAY()),1),20))-YEAR(IF(ISNUMBER(Suppliers!F61),Suppliers!F61,DATE(YEAR(TODAY()),MONTH(TODAY()),1))))*12+MONTH(EDATE(DATE(YEAR(TODAY()),MONTH(TODAY()),1),20))-MONTH(IF(ISNUMBER(Suppliers!F61),Suppliers!F61,DATE(YEAR(TODAY()),MONTH(TODAY()),1))),6)=0,1,0),IF(Suppliers!E61="Annual",IF(MOD((YEAR(EDATE(DATE(YEAR(TODAY()),MONTH(TODAY()),1),20))-YEAR(IF(ISNUMBER(Suppliers!F61),Suppliers!F61,DATE(YEAR(TODAY()),MONTH(TODAY()),1))))*12+MONTH(EDATE(DATE(YEAR(TODAY()),MONTH(TODAY()),1),20))-MONTH(IF(ISNUMBER(Suppliers!F61),Suppliers!F61,DATE(YEAR(TODAY()),MONTH(TODAY()),1))),12)=0,1,0),IF(Suppliers!E61="One-time",IF(20=0,1,0),1)))))),"")</f>
        <v/>
      </c>
      <c r="AA63" s="10" t="str">
        <f ca="1">IFERROR(IF(OR(21&gt;=$B$1,Suppliers!A61="",NOT(ISNUMBER(Suppliers!D61)),Suppliers!L61="Expired",Suppliers!L61="Terminate"),"",Suppliers!D61*-1*IF(Suppliers!E61="Monthly",IF(AND(ISNUMBER(Suppliers!G61),(YEAR(EDATE(DATE(YEAR(TODAY()),MONTH(TODAY()),1),21))*12+MONTH(EDATE(DATE(YEAR(TODAY()),MONTH(TODAY()),1),21)))&gt;(YEAR(Suppliers!G61)*12+MONTH(Suppliers!G61))),"",1),IF(Suppliers!E61="Quarterly",IF(MOD((YEAR(EDATE(DATE(YEAR(TODAY()),MONTH(TODAY()),1),21))-YEAR(IF(ISNUMBER(Suppliers!F61),Suppliers!F61,DATE(YEAR(TODAY()),MONTH(TODAY()),1))))*12+MONTH(EDATE(DATE(YEAR(TODAY()),MONTH(TODAY()),1),21))-MONTH(IF(ISNUMBER(Suppliers!F61),Suppliers!F61,DATE(YEAR(TODAY()),MONTH(TODAY()),1))),3)=0,1,0),IF(Suppliers!E61="Semi-annual",IF(MOD((YEAR(EDATE(DATE(YEAR(TODAY()),MONTH(TODAY()),1),21))-YEAR(IF(ISNUMBER(Suppliers!F61),Suppliers!F61,DATE(YEAR(TODAY()),MONTH(TODAY()),1))))*12+MONTH(EDATE(DATE(YEAR(TODAY()),MONTH(TODAY()),1),21))-MONTH(IF(ISNUMBER(Suppliers!F61),Suppliers!F61,DATE(YEAR(TODAY()),MONTH(TODAY()),1))),6)=0,1,0),IF(Suppliers!E61="Annual",IF(MOD((YEAR(EDATE(DATE(YEAR(TODAY()),MONTH(TODAY()),1),21))-YEAR(IF(ISNUMBER(Suppliers!F61),Suppliers!F61,DATE(YEAR(TODAY()),MONTH(TODAY()),1))))*12+MONTH(EDATE(DATE(YEAR(TODAY()),MONTH(TODAY()),1),21))-MONTH(IF(ISNUMBER(Suppliers!F61),Suppliers!F61,DATE(YEAR(TODAY()),MONTH(TODAY()),1))),12)=0,1,0),IF(Suppliers!E61="One-time",IF(21=0,1,0),1)))))),"")</f>
        <v/>
      </c>
      <c r="AB63" s="10" t="str">
        <f ca="1">IFERROR(IF(OR(22&gt;=$B$1,Suppliers!A61="",NOT(ISNUMBER(Suppliers!D61)),Suppliers!L61="Expired",Suppliers!L61="Terminate"),"",Suppliers!D61*-1*IF(Suppliers!E61="Monthly",IF(AND(ISNUMBER(Suppliers!G61),(YEAR(EDATE(DATE(YEAR(TODAY()),MONTH(TODAY()),1),22))*12+MONTH(EDATE(DATE(YEAR(TODAY()),MONTH(TODAY()),1),22)))&gt;(YEAR(Suppliers!G61)*12+MONTH(Suppliers!G61))),"",1),IF(Suppliers!E61="Quarterly",IF(MOD((YEAR(EDATE(DATE(YEAR(TODAY()),MONTH(TODAY()),1),22))-YEAR(IF(ISNUMBER(Suppliers!F61),Suppliers!F61,DATE(YEAR(TODAY()),MONTH(TODAY()),1))))*12+MONTH(EDATE(DATE(YEAR(TODAY()),MONTH(TODAY()),1),22))-MONTH(IF(ISNUMBER(Suppliers!F61),Suppliers!F61,DATE(YEAR(TODAY()),MONTH(TODAY()),1))),3)=0,1,0),IF(Suppliers!E61="Semi-annual",IF(MOD((YEAR(EDATE(DATE(YEAR(TODAY()),MONTH(TODAY()),1),22))-YEAR(IF(ISNUMBER(Suppliers!F61),Suppliers!F61,DATE(YEAR(TODAY()),MONTH(TODAY()),1))))*12+MONTH(EDATE(DATE(YEAR(TODAY()),MONTH(TODAY()),1),22))-MONTH(IF(ISNUMBER(Suppliers!F61),Suppliers!F61,DATE(YEAR(TODAY()),MONTH(TODAY()),1))),6)=0,1,0),IF(Suppliers!E61="Annual",IF(MOD((YEAR(EDATE(DATE(YEAR(TODAY()),MONTH(TODAY()),1),22))-YEAR(IF(ISNUMBER(Suppliers!F61),Suppliers!F61,DATE(YEAR(TODAY()),MONTH(TODAY()),1))))*12+MONTH(EDATE(DATE(YEAR(TODAY()),MONTH(TODAY()),1),22))-MONTH(IF(ISNUMBER(Suppliers!F61),Suppliers!F61,DATE(YEAR(TODAY()),MONTH(TODAY()),1))),12)=0,1,0),IF(Suppliers!E61="One-time",IF(22=0,1,0),1)))))),"")</f>
        <v/>
      </c>
      <c r="AC63" s="10" t="str">
        <f ca="1">IFERROR(IF(OR(23&gt;=$B$1,Suppliers!A61="",NOT(ISNUMBER(Suppliers!D61)),Suppliers!L61="Expired",Suppliers!L61="Terminate"),"",Suppliers!D61*-1*IF(Suppliers!E61="Monthly",IF(AND(ISNUMBER(Suppliers!G61),(YEAR(EDATE(DATE(YEAR(TODAY()),MONTH(TODAY()),1),23))*12+MONTH(EDATE(DATE(YEAR(TODAY()),MONTH(TODAY()),1),23)))&gt;(YEAR(Suppliers!G61)*12+MONTH(Suppliers!G61))),"",1),IF(Suppliers!E61="Quarterly",IF(MOD((YEAR(EDATE(DATE(YEAR(TODAY()),MONTH(TODAY()),1),23))-YEAR(IF(ISNUMBER(Suppliers!F61),Suppliers!F61,DATE(YEAR(TODAY()),MONTH(TODAY()),1))))*12+MONTH(EDATE(DATE(YEAR(TODAY()),MONTH(TODAY()),1),23))-MONTH(IF(ISNUMBER(Suppliers!F61),Suppliers!F61,DATE(YEAR(TODAY()),MONTH(TODAY()),1))),3)=0,1,0),IF(Suppliers!E61="Semi-annual",IF(MOD((YEAR(EDATE(DATE(YEAR(TODAY()),MONTH(TODAY()),1),23))-YEAR(IF(ISNUMBER(Suppliers!F61),Suppliers!F61,DATE(YEAR(TODAY()),MONTH(TODAY()),1))))*12+MONTH(EDATE(DATE(YEAR(TODAY()),MONTH(TODAY()),1),23))-MONTH(IF(ISNUMBER(Suppliers!F61),Suppliers!F61,DATE(YEAR(TODAY()),MONTH(TODAY()),1))),6)=0,1,0),IF(Suppliers!E61="Annual",IF(MOD((YEAR(EDATE(DATE(YEAR(TODAY()),MONTH(TODAY()),1),23))-YEAR(IF(ISNUMBER(Suppliers!F61),Suppliers!F61,DATE(YEAR(TODAY()),MONTH(TODAY()),1))))*12+MONTH(EDATE(DATE(YEAR(TODAY()),MONTH(TODAY()),1),23))-MONTH(IF(ISNUMBER(Suppliers!F61),Suppliers!F61,DATE(YEAR(TODAY()),MONTH(TODAY()),1))),12)=0,1,0),IF(Suppliers!E61="One-time",IF(23=0,1,0),1)))))),"")</f>
        <v/>
      </c>
    </row>
    <row r="64" spans="1:30" ht="15" customHeight="1" x14ac:dyDescent="0.35">
      <c r="A64" s="4" t="s">
        <v>80</v>
      </c>
      <c r="B64" s="4" t="str">
        <f>IF(Suppliers!A62="","",Suppliers!A62)</f>
        <v/>
      </c>
      <c r="C64" s="10" t="str">
        <f>IF(Suppliers!C62="","",Suppliers!C62)</f>
        <v/>
      </c>
      <c r="D64" s="10" t="str">
        <f>IF(Suppliers!D62="","",Suppliers!D62)</f>
        <v/>
      </c>
      <c r="E64" s="4" t="str">
        <f>IF(Suppliers!E62="","",Suppliers!E62)</f>
        <v/>
      </c>
      <c r="F64" s="10" t="str">
        <f ca="1">IFERROR(IF(OR(0&gt;=$B$1,Suppliers!A62="",NOT(ISNUMBER(Suppliers!D62)),Suppliers!L62="Expired",Suppliers!L62="Terminate"),"",Suppliers!D62*-1*IF(Suppliers!E62="Monthly",IF(AND(ISNUMBER(Suppliers!G62),(YEAR(EDATE(DATE(YEAR(TODAY()),MONTH(TODAY()),1),0))*12+MONTH(EDATE(DATE(YEAR(TODAY()),MONTH(TODAY()),1),0)))&gt;(YEAR(Suppliers!G62)*12+MONTH(Suppliers!G62))),"",1),IF(Suppliers!E62="Quarterly",IF(MOD((YEAR(EDATE(DATE(YEAR(TODAY()),MONTH(TODAY()),1),0))-YEAR(IF(ISNUMBER(Suppliers!F62),Suppliers!F62,DATE(YEAR(TODAY()),MONTH(TODAY()),1))))*12+MONTH(EDATE(DATE(YEAR(TODAY()),MONTH(TODAY()),1),0))-MONTH(IF(ISNUMBER(Suppliers!F62),Suppliers!F62,DATE(YEAR(TODAY()),MONTH(TODAY()),1))),3)=0,1,0),IF(Suppliers!E62="Semi-annual",IF(MOD((YEAR(EDATE(DATE(YEAR(TODAY()),MONTH(TODAY()),1),0))-YEAR(IF(ISNUMBER(Suppliers!F62),Suppliers!F62,DATE(YEAR(TODAY()),MONTH(TODAY()),1))))*12+MONTH(EDATE(DATE(YEAR(TODAY()),MONTH(TODAY()),1),0))-MONTH(IF(ISNUMBER(Suppliers!F62),Suppliers!F62,DATE(YEAR(TODAY()),MONTH(TODAY()),1))),6)=0,1,0),IF(Suppliers!E62="Annual",IF(MOD((YEAR(EDATE(DATE(YEAR(TODAY()),MONTH(TODAY()),1),0))-YEAR(IF(ISNUMBER(Suppliers!F62),Suppliers!F62,DATE(YEAR(TODAY()),MONTH(TODAY()),1))))*12+MONTH(EDATE(DATE(YEAR(TODAY()),MONTH(TODAY()),1),0))-MONTH(IF(ISNUMBER(Suppliers!F62),Suppliers!F62,DATE(YEAR(TODAY()),MONTH(TODAY()),1))),12)=0,1,0),IF(Suppliers!E62="One-time",IF(0=0,1,0),1)))))),"")</f>
        <v/>
      </c>
      <c r="G64" s="10" t="str">
        <f ca="1">IFERROR(IF(OR(1&gt;=$B$1,Suppliers!A62="",NOT(ISNUMBER(Suppliers!D62)),Suppliers!L62="Expired",Suppliers!L62="Terminate"),"",Suppliers!D62*-1*IF(Suppliers!E62="Monthly",IF(AND(ISNUMBER(Suppliers!G62),(YEAR(EDATE(DATE(YEAR(TODAY()),MONTH(TODAY()),1),1))*12+MONTH(EDATE(DATE(YEAR(TODAY()),MONTH(TODAY()),1),1)))&gt;(YEAR(Suppliers!G62)*12+MONTH(Suppliers!G62))),"",1),IF(Suppliers!E62="Quarterly",IF(MOD((YEAR(EDATE(DATE(YEAR(TODAY()),MONTH(TODAY()),1),1))-YEAR(IF(ISNUMBER(Suppliers!F62),Suppliers!F62,DATE(YEAR(TODAY()),MONTH(TODAY()),1))))*12+MONTH(EDATE(DATE(YEAR(TODAY()),MONTH(TODAY()),1),1))-MONTH(IF(ISNUMBER(Suppliers!F62),Suppliers!F62,DATE(YEAR(TODAY()),MONTH(TODAY()),1))),3)=0,1,0),IF(Suppliers!E62="Semi-annual",IF(MOD((YEAR(EDATE(DATE(YEAR(TODAY()),MONTH(TODAY()),1),1))-YEAR(IF(ISNUMBER(Suppliers!F62),Suppliers!F62,DATE(YEAR(TODAY()),MONTH(TODAY()),1))))*12+MONTH(EDATE(DATE(YEAR(TODAY()),MONTH(TODAY()),1),1))-MONTH(IF(ISNUMBER(Suppliers!F62),Suppliers!F62,DATE(YEAR(TODAY()),MONTH(TODAY()),1))),6)=0,1,0),IF(Suppliers!E62="Annual",IF(MOD((YEAR(EDATE(DATE(YEAR(TODAY()),MONTH(TODAY()),1),1))-YEAR(IF(ISNUMBER(Suppliers!F62),Suppliers!F62,DATE(YEAR(TODAY()),MONTH(TODAY()),1))))*12+MONTH(EDATE(DATE(YEAR(TODAY()),MONTH(TODAY()),1),1))-MONTH(IF(ISNUMBER(Suppliers!F62),Suppliers!F62,DATE(YEAR(TODAY()),MONTH(TODAY()),1))),12)=0,1,0),IF(Suppliers!E62="One-time",IF(1=0,1,0),1)))))),"")</f>
        <v/>
      </c>
      <c r="H64" s="10" t="str">
        <f ca="1">IFERROR(IF(OR(2&gt;=$B$1,Suppliers!A62="",NOT(ISNUMBER(Suppliers!D62)),Suppliers!L62="Expired",Suppliers!L62="Terminate"),"",Suppliers!D62*-1*IF(Suppliers!E62="Monthly",IF(AND(ISNUMBER(Suppliers!G62),(YEAR(EDATE(DATE(YEAR(TODAY()),MONTH(TODAY()),1),2))*12+MONTH(EDATE(DATE(YEAR(TODAY()),MONTH(TODAY()),1),2)))&gt;(YEAR(Suppliers!G62)*12+MONTH(Suppliers!G62))),"",1),IF(Suppliers!E62="Quarterly",IF(MOD((YEAR(EDATE(DATE(YEAR(TODAY()),MONTH(TODAY()),1),2))-YEAR(IF(ISNUMBER(Suppliers!F62),Suppliers!F62,DATE(YEAR(TODAY()),MONTH(TODAY()),1))))*12+MONTH(EDATE(DATE(YEAR(TODAY()),MONTH(TODAY()),1),2))-MONTH(IF(ISNUMBER(Suppliers!F62),Suppliers!F62,DATE(YEAR(TODAY()),MONTH(TODAY()),1))),3)=0,1,0),IF(Suppliers!E62="Semi-annual",IF(MOD((YEAR(EDATE(DATE(YEAR(TODAY()),MONTH(TODAY()),1),2))-YEAR(IF(ISNUMBER(Suppliers!F62),Suppliers!F62,DATE(YEAR(TODAY()),MONTH(TODAY()),1))))*12+MONTH(EDATE(DATE(YEAR(TODAY()),MONTH(TODAY()),1),2))-MONTH(IF(ISNUMBER(Suppliers!F62),Suppliers!F62,DATE(YEAR(TODAY()),MONTH(TODAY()),1))),6)=0,1,0),IF(Suppliers!E62="Annual",IF(MOD((YEAR(EDATE(DATE(YEAR(TODAY()),MONTH(TODAY()),1),2))-YEAR(IF(ISNUMBER(Suppliers!F62),Suppliers!F62,DATE(YEAR(TODAY()),MONTH(TODAY()),1))))*12+MONTH(EDATE(DATE(YEAR(TODAY()),MONTH(TODAY()),1),2))-MONTH(IF(ISNUMBER(Suppliers!F62),Suppliers!F62,DATE(YEAR(TODAY()),MONTH(TODAY()),1))),12)=0,1,0),IF(Suppliers!E62="One-time",IF(2=0,1,0),1)))))),"")</f>
        <v/>
      </c>
      <c r="I64" s="10" t="str">
        <f ca="1">IFERROR(IF(OR(3&gt;=$B$1,Suppliers!A62="",NOT(ISNUMBER(Suppliers!D62)),Suppliers!L62="Expired",Suppliers!L62="Terminate"),"",Suppliers!D62*-1*IF(Suppliers!E62="Monthly",IF(AND(ISNUMBER(Suppliers!G62),(YEAR(EDATE(DATE(YEAR(TODAY()),MONTH(TODAY()),1),3))*12+MONTH(EDATE(DATE(YEAR(TODAY()),MONTH(TODAY()),1),3)))&gt;(YEAR(Suppliers!G62)*12+MONTH(Suppliers!G62))),"",1),IF(Suppliers!E62="Quarterly",IF(MOD((YEAR(EDATE(DATE(YEAR(TODAY()),MONTH(TODAY()),1),3))-YEAR(IF(ISNUMBER(Suppliers!F62),Suppliers!F62,DATE(YEAR(TODAY()),MONTH(TODAY()),1))))*12+MONTH(EDATE(DATE(YEAR(TODAY()),MONTH(TODAY()),1),3))-MONTH(IF(ISNUMBER(Suppliers!F62),Suppliers!F62,DATE(YEAR(TODAY()),MONTH(TODAY()),1))),3)=0,1,0),IF(Suppliers!E62="Semi-annual",IF(MOD((YEAR(EDATE(DATE(YEAR(TODAY()),MONTH(TODAY()),1),3))-YEAR(IF(ISNUMBER(Suppliers!F62),Suppliers!F62,DATE(YEAR(TODAY()),MONTH(TODAY()),1))))*12+MONTH(EDATE(DATE(YEAR(TODAY()),MONTH(TODAY()),1),3))-MONTH(IF(ISNUMBER(Suppliers!F62),Suppliers!F62,DATE(YEAR(TODAY()),MONTH(TODAY()),1))),6)=0,1,0),IF(Suppliers!E62="Annual",IF(MOD((YEAR(EDATE(DATE(YEAR(TODAY()),MONTH(TODAY()),1),3))-YEAR(IF(ISNUMBER(Suppliers!F62),Suppliers!F62,DATE(YEAR(TODAY()),MONTH(TODAY()),1))))*12+MONTH(EDATE(DATE(YEAR(TODAY()),MONTH(TODAY()),1),3))-MONTH(IF(ISNUMBER(Suppliers!F62),Suppliers!F62,DATE(YEAR(TODAY()),MONTH(TODAY()),1))),12)=0,1,0),IF(Suppliers!E62="One-time",IF(3=0,1,0),1)))))),"")</f>
        <v/>
      </c>
      <c r="J64" s="10" t="str">
        <f ca="1">IFERROR(IF(OR(4&gt;=$B$1,Suppliers!A62="",NOT(ISNUMBER(Suppliers!D62)),Suppliers!L62="Expired",Suppliers!L62="Terminate"),"",Suppliers!D62*-1*IF(Suppliers!E62="Monthly",IF(AND(ISNUMBER(Suppliers!G62),(YEAR(EDATE(DATE(YEAR(TODAY()),MONTH(TODAY()),1),4))*12+MONTH(EDATE(DATE(YEAR(TODAY()),MONTH(TODAY()),1),4)))&gt;(YEAR(Suppliers!G62)*12+MONTH(Suppliers!G62))),"",1),IF(Suppliers!E62="Quarterly",IF(MOD((YEAR(EDATE(DATE(YEAR(TODAY()),MONTH(TODAY()),1),4))-YEAR(IF(ISNUMBER(Suppliers!F62),Suppliers!F62,DATE(YEAR(TODAY()),MONTH(TODAY()),1))))*12+MONTH(EDATE(DATE(YEAR(TODAY()),MONTH(TODAY()),1),4))-MONTH(IF(ISNUMBER(Suppliers!F62),Suppliers!F62,DATE(YEAR(TODAY()),MONTH(TODAY()),1))),3)=0,1,0),IF(Suppliers!E62="Semi-annual",IF(MOD((YEAR(EDATE(DATE(YEAR(TODAY()),MONTH(TODAY()),1),4))-YEAR(IF(ISNUMBER(Suppliers!F62),Suppliers!F62,DATE(YEAR(TODAY()),MONTH(TODAY()),1))))*12+MONTH(EDATE(DATE(YEAR(TODAY()),MONTH(TODAY()),1),4))-MONTH(IF(ISNUMBER(Suppliers!F62),Suppliers!F62,DATE(YEAR(TODAY()),MONTH(TODAY()),1))),6)=0,1,0),IF(Suppliers!E62="Annual",IF(MOD((YEAR(EDATE(DATE(YEAR(TODAY()),MONTH(TODAY()),1),4))-YEAR(IF(ISNUMBER(Suppliers!F62),Suppliers!F62,DATE(YEAR(TODAY()),MONTH(TODAY()),1))))*12+MONTH(EDATE(DATE(YEAR(TODAY()),MONTH(TODAY()),1),4))-MONTH(IF(ISNUMBER(Suppliers!F62),Suppliers!F62,DATE(YEAR(TODAY()),MONTH(TODAY()),1))),12)=0,1,0),IF(Suppliers!E62="One-time",IF(4=0,1,0),1)))))),"")</f>
        <v/>
      </c>
      <c r="K64" s="10" t="str">
        <f ca="1">IFERROR(IF(OR(5&gt;=$B$1,Suppliers!A62="",NOT(ISNUMBER(Suppliers!D62)),Suppliers!L62="Expired",Suppliers!L62="Terminate"),"",Suppliers!D62*-1*IF(Suppliers!E62="Monthly",IF(AND(ISNUMBER(Suppliers!G62),(YEAR(EDATE(DATE(YEAR(TODAY()),MONTH(TODAY()),1),5))*12+MONTH(EDATE(DATE(YEAR(TODAY()),MONTH(TODAY()),1),5)))&gt;(YEAR(Suppliers!G62)*12+MONTH(Suppliers!G62))),"",1),IF(Suppliers!E62="Quarterly",IF(MOD((YEAR(EDATE(DATE(YEAR(TODAY()),MONTH(TODAY()),1),5))-YEAR(IF(ISNUMBER(Suppliers!F62),Suppliers!F62,DATE(YEAR(TODAY()),MONTH(TODAY()),1))))*12+MONTH(EDATE(DATE(YEAR(TODAY()),MONTH(TODAY()),1),5))-MONTH(IF(ISNUMBER(Suppliers!F62),Suppliers!F62,DATE(YEAR(TODAY()),MONTH(TODAY()),1))),3)=0,1,0),IF(Suppliers!E62="Semi-annual",IF(MOD((YEAR(EDATE(DATE(YEAR(TODAY()),MONTH(TODAY()),1),5))-YEAR(IF(ISNUMBER(Suppliers!F62),Suppliers!F62,DATE(YEAR(TODAY()),MONTH(TODAY()),1))))*12+MONTH(EDATE(DATE(YEAR(TODAY()),MONTH(TODAY()),1),5))-MONTH(IF(ISNUMBER(Suppliers!F62),Suppliers!F62,DATE(YEAR(TODAY()),MONTH(TODAY()),1))),6)=0,1,0),IF(Suppliers!E62="Annual",IF(MOD((YEAR(EDATE(DATE(YEAR(TODAY()),MONTH(TODAY()),1),5))-YEAR(IF(ISNUMBER(Suppliers!F62),Suppliers!F62,DATE(YEAR(TODAY()),MONTH(TODAY()),1))))*12+MONTH(EDATE(DATE(YEAR(TODAY()),MONTH(TODAY()),1),5))-MONTH(IF(ISNUMBER(Suppliers!F62),Suppliers!F62,DATE(YEAR(TODAY()),MONTH(TODAY()),1))),12)=0,1,0),IF(Suppliers!E62="One-time",IF(5=0,1,0),1)))))),"")</f>
        <v/>
      </c>
      <c r="L64" s="10" t="str">
        <f ca="1">IFERROR(IF(OR(6&gt;=$B$1,Suppliers!A62="",NOT(ISNUMBER(Suppliers!D62)),Suppliers!L62="Expired",Suppliers!L62="Terminate"),"",Suppliers!D62*-1*IF(Suppliers!E62="Monthly",IF(AND(ISNUMBER(Suppliers!G62),(YEAR(EDATE(DATE(YEAR(TODAY()),MONTH(TODAY()),1),6))*12+MONTH(EDATE(DATE(YEAR(TODAY()),MONTH(TODAY()),1),6)))&gt;(YEAR(Suppliers!G62)*12+MONTH(Suppliers!G62))),"",1),IF(Suppliers!E62="Quarterly",IF(MOD((YEAR(EDATE(DATE(YEAR(TODAY()),MONTH(TODAY()),1),6))-YEAR(IF(ISNUMBER(Suppliers!F62),Suppliers!F62,DATE(YEAR(TODAY()),MONTH(TODAY()),1))))*12+MONTH(EDATE(DATE(YEAR(TODAY()),MONTH(TODAY()),1),6))-MONTH(IF(ISNUMBER(Suppliers!F62),Suppliers!F62,DATE(YEAR(TODAY()),MONTH(TODAY()),1))),3)=0,1,0),IF(Suppliers!E62="Semi-annual",IF(MOD((YEAR(EDATE(DATE(YEAR(TODAY()),MONTH(TODAY()),1),6))-YEAR(IF(ISNUMBER(Suppliers!F62),Suppliers!F62,DATE(YEAR(TODAY()),MONTH(TODAY()),1))))*12+MONTH(EDATE(DATE(YEAR(TODAY()),MONTH(TODAY()),1),6))-MONTH(IF(ISNUMBER(Suppliers!F62),Suppliers!F62,DATE(YEAR(TODAY()),MONTH(TODAY()),1))),6)=0,1,0),IF(Suppliers!E62="Annual",IF(MOD((YEAR(EDATE(DATE(YEAR(TODAY()),MONTH(TODAY()),1),6))-YEAR(IF(ISNUMBER(Suppliers!F62),Suppliers!F62,DATE(YEAR(TODAY()),MONTH(TODAY()),1))))*12+MONTH(EDATE(DATE(YEAR(TODAY()),MONTH(TODAY()),1),6))-MONTH(IF(ISNUMBER(Suppliers!F62),Suppliers!F62,DATE(YEAR(TODAY()),MONTH(TODAY()),1))),12)=0,1,0),IF(Suppliers!E62="One-time",IF(6=0,1,0),1)))))),"")</f>
        <v/>
      </c>
      <c r="M64" s="10" t="str">
        <f ca="1">IFERROR(IF(OR(7&gt;=$B$1,Suppliers!A62="",NOT(ISNUMBER(Suppliers!D62)),Suppliers!L62="Expired",Suppliers!L62="Terminate"),"",Suppliers!D62*-1*IF(Suppliers!E62="Monthly",IF(AND(ISNUMBER(Suppliers!G62),(YEAR(EDATE(DATE(YEAR(TODAY()),MONTH(TODAY()),1),7))*12+MONTH(EDATE(DATE(YEAR(TODAY()),MONTH(TODAY()),1),7)))&gt;(YEAR(Suppliers!G62)*12+MONTH(Suppliers!G62))),"",1),IF(Suppliers!E62="Quarterly",IF(MOD((YEAR(EDATE(DATE(YEAR(TODAY()),MONTH(TODAY()),1),7))-YEAR(IF(ISNUMBER(Suppliers!F62),Suppliers!F62,DATE(YEAR(TODAY()),MONTH(TODAY()),1))))*12+MONTH(EDATE(DATE(YEAR(TODAY()),MONTH(TODAY()),1),7))-MONTH(IF(ISNUMBER(Suppliers!F62),Suppliers!F62,DATE(YEAR(TODAY()),MONTH(TODAY()),1))),3)=0,1,0),IF(Suppliers!E62="Semi-annual",IF(MOD((YEAR(EDATE(DATE(YEAR(TODAY()),MONTH(TODAY()),1),7))-YEAR(IF(ISNUMBER(Suppliers!F62),Suppliers!F62,DATE(YEAR(TODAY()),MONTH(TODAY()),1))))*12+MONTH(EDATE(DATE(YEAR(TODAY()),MONTH(TODAY()),1),7))-MONTH(IF(ISNUMBER(Suppliers!F62),Suppliers!F62,DATE(YEAR(TODAY()),MONTH(TODAY()),1))),6)=0,1,0),IF(Suppliers!E62="Annual",IF(MOD((YEAR(EDATE(DATE(YEAR(TODAY()),MONTH(TODAY()),1),7))-YEAR(IF(ISNUMBER(Suppliers!F62),Suppliers!F62,DATE(YEAR(TODAY()),MONTH(TODAY()),1))))*12+MONTH(EDATE(DATE(YEAR(TODAY()),MONTH(TODAY()),1),7))-MONTH(IF(ISNUMBER(Suppliers!F62),Suppliers!F62,DATE(YEAR(TODAY()),MONTH(TODAY()),1))),12)=0,1,0),IF(Suppliers!E62="One-time",IF(7=0,1,0),1)))))),"")</f>
        <v/>
      </c>
      <c r="N64" s="10" t="str">
        <f ca="1">IFERROR(IF(OR(8&gt;=$B$1,Suppliers!A62="",NOT(ISNUMBER(Suppliers!D62)),Suppliers!L62="Expired",Suppliers!L62="Terminate"),"",Suppliers!D62*-1*IF(Suppliers!E62="Monthly",IF(AND(ISNUMBER(Suppliers!G62),(YEAR(EDATE(DATE(YEAR(TODAY()),MONTH(TODAY()),1),8))*12+MONTH(EDATE(DATE(YEAR(TODAY()),MONTH(TODAY()),1),8)))&gt;(YEAR(Suppliers!G62)*12+MONTH(Suppliers!G62))),"",1),IF(Suppliers!E62="Quarterly",IF(MOD((YEAR(EDATE(DATE(YEAR(TODAY()),MONTH(TODAY()),1),8))-YEAR(IF(ISNUMBER(Suppliers!F62),Suppliers!F62,DATE(YEAR(TODAY()),MONTH(TODAY()),1))))*12+MONTH(EDATE(DATE(YEAR(TODAY()),MONTH(TODAY()),1),8))-MONTH(IF(ISNUMBER(Suppliers!F62),Suppliers!F62,DATE(YEAR(TODAY()),MONTH(TODAY()),1))),3)=0,1,0),IF(Suppliers!E62="Semi-annual",IF(MOD((YEAR(EDATE(DATE(YEAR(TODAY()),MONTH(TODAY()),1),8))-YEAR(IF(ISNUMBER(Suppliers!F62),Suppliers!F62,DATE(YEAR(TODAY()),MONTH(TODAY()),1))))*12+MONTH(EDATE(DATE(YEAR(TODAY()),MONTH(TODAY()),1),8))-MONTH(IF(ISNUMBER(Suppliers!F62),Suppliers!F62,DATE(YEAR(TODAY()),MONTH(TODAY()),1))),6)=0,1,0),IF(Suppliers!E62="Annual",IF(MOD((YEAR(EDATE(DATE(YEAR(TODAY()),MONTH(TODAY()),1),8))-YEAR(IF(ISNUMBER(Suppliers!F62),Suppliers!F62,DATE(YEAR(TODAY()),MONTH(TODAY()),1))))*12+MONTH(EDATE(DATE(YEAR(TODAY()),MONTH(TODAY()),1),8))-MONTH(IF(ISNUMBER(Suppliers!F62),Suppliers!F62,DATE(YEAR(TODAY()),MONTH(TODAY()),1))),12)=0,1,0),IF(Suppliers!E62="One-time",IF(8=0,1,0),1)))))),"")</f>
        <v/>
      </c>
      <c r="O64" s="10" t="str">
        <f ca="1">IFERROR(IF(OR(9&gt;=$B$1,Suppliers!A62="",NOT(ISNUMBER(Suppliers!D62)),Suppliers!L62="Expired",Suppliers!L62="Terminate"),"",Suppliers!D62*-1*IF(Suppliers!E62="Monthly",IF(AND(ISNUMBER(Suppliers!G62),(YEAR(EDATE(DATE(YEAR(TODAY()),MONTH(TODAY()),1),9))*12+MONTH(EDATE(DATE(YEAR(TODAY()),MONTH(TODAY()),1),9)))&gt;(YEAR(Suppliers!G62)*12+MONTH(Suppliers!G62))),"",1),IF(Suppliers!E62="Quarterly",IF(MOD((YEAR(EDATE(DATE(YEAR(TODAY()),MONTH(TODAY()),1),9))-YEAR(IF(ISNUMBER(Suppliers!F62),Suppliers!F62,DATE(YEAR(TODAY()),MONTH(TODAY()),1))))*12+MONTH(EDATE(DATE(YEAR(TODAY()),MONTH(TODAY()),1),9))-MONTH(IF(ISNUMBER(Suppliers!F62),Suppliers!F62,DATE(YEAR(TODAY()),MONTH(TODAY()),1))),3)=0,1,0),IF(Suppliers!E62="Semi-annual",IF(MOD((YEAR(EDATE(DATE(YEAR(TODAY()),MONTH(TODAY()),1),9))-YEAR(IF(ISNUMBER(Suppliers!F62),Suppliers!F62,DATE(YEAR(TODAY()),MONTH(TODAY()),1))))*12+MONTH(EDATE(DATE(YEAR(TODAY()),MONTH(TODAY()),1),9))-MONTH(IF(ISNUMBER(Suppliers!F62),Suppliers!F62,DATE(YEAR(TODAY()),MONTH(TODAY()),1))),6)=0,1,0),IF(Suppliers!E62="Annual",IF(MOD((YEAR(EDATE(DATE(YEAR(TODAY()),MONTH(TODAY()),1),9))-YEAR(IF(ISNUMBER(Suppliers!F62),Suppliers!F62,DATE(YEAR(TODAY()),MONTH(TODAY()),1))))*12+MONTH(EDATE(DATE(YEAR(TODAY()),MONTH(TODAY()),1),9))-MONTH(IF(ISNUMBER(Suppliers!F62),Suppliers!F62,DATE(YEAR(TODAY()),MONTH(TODAY()),1))),12)=0,1,0),IF(Suppliers!E62="One-time",IF(9=0,1,0),1)))))),"")</f>
        <v/>
      </c>
      <c r="P64" s="10" t="str">
        <f ca="1">IFERROR(IF(OR(10&gt;=$B$1,Suppliers!A62="",NOT(ISNUMBER(Suppliers!D62)),Suppliers!L62="Expired",Suppliers!L62="Terminate"),"",Suppliers!D62*-1*IF(Suppliers!E62="Monthly",IF(AND(ISNUMBER(Suppliers!G62),(YEAR(EDATE(DATE(YEAR(TODAY()),MONTH(TODAY()),1),10))*12+MONTH(EDATE(DATE(YEAR(TODAY()),MONTH(TODAY()),1),10)))&gt;(YEAR(Suppliers!G62)*12+MONTH(Suppliers!G62))),"",1),IF(Suppliers!E62="Quarterly",IF(MOD((YEAR(EDATE(DATE(YEAR(TODAY()),MONTH(TODAY()),1),10))-YEAR(IF(ISNUMBER(Suppliers!F62),Suppliers!F62,DATE(YEAR(TODAY()),MONTH(TODAY()),1))))*12+MONTH(EDATE(DATE(YEAR(TODAY()),MONTH(TODAY()),1),10))-MONTH(IF(ISNUMBER(Suppliers!F62),Suppliers!F62,DATE(YEAR(TODAY()),MONTH(TODAY()),1))),3)=0,1,0),IF(Suppliers!E62="Semi-annual",IF(MOD((YEAR(EDATE(DATE(YEAR(TODAY()),MONTH(TODAY()),1),10))-YEAR(IF(ISNUMBER(Suppliers!F62),Suppliers!F62,DATE(YEAR(TODAY()),MONTH(TODAY()),1))))*12+MONTH(EDATE(DATE(YEAR(TODAY()),MONTH(TODAY()),1),10))-MONTH(IF(ISNUMBER(Suppliers!F62),Suppliers!F62,DATE(YEAR(TODAY()),MONTH(TODAY()),1))),6)=0,1,0),IF(Suppliers!E62="Annual",IF(MOD((YEAR(EDATE(DATE(YEAR(TODAY()),MONTH(TODAY()),1),10))-YEAR(IF(ISNUMBER(Suppliers!F62),Suppliers!F62,DATE(YEAR(TODAY()),MONTH(TODAY()),1))))*12+MONTH(EDATE(DATE(YEAR(TODAY()),MONTH(TODAY()),1),10))-MONTH(IF(ISNUMBER(Suppliers!F62),Suppliers!F62,DATE(YEAR(TODAY()),MONTH(TODAY()),1))),12)=0,1,0),IF(Suppliers!E62="One-time",IF(10=0,1,0),1)))))),"")</f>
        <v/>
      </c>
      <c r="Q64" s="10" t="str">
        <f ca="1">IFERROR(IF(OR(11&gt;=$B$1,Suppliers!A62="",NOT(ISNUMBER(Suppliers!D62)),Suppliers!L62="Expired",Suppliers!L62="Terminate"),"",Suppliers!D62*-1*IF(Suppliers!E62="Monthly",IF(AND(ISNUMBER(Suppliers!G62),(YEAR(EDATE(DATE(YEAR(TODAY()),MONTH(TODAY()),1),11))*12+MONTH(EDATE(DATE(YEAR(TODAY()),MONTH(TODAY()),1),11)))&gt;(YEAR(Suppliers!G62)*12+MONTH(Suppliers!G62))),"",1),IF(Suppliers!E62="Quarterly",IF(MOD((YEAR(EDATE(DATE(YEAR(TODAY()),MONTH(TODAY()),1),11))-YEAR(IF(ISNUMBER(Suppliers!F62),Suppliers!F62,DATE(YEAR(TODAY()),MONTH(TODAY()),1))))*12+MONTH(EDATE(DATE(YEAR(TODAY()),MONTH(TODAY()),1),11))-MONTH(IF(ISNUMBER(Suppliers!F62),Suppliers!F62,DATE(YEAR(TODAY()),MONTH(TODAY()),1))),3)=0,1,0),IF(Suppliers!E62="Semi-annual",IF(MOD((YEAR(EDATE(DATE(YEAR(TODAY()),MONTH(TODAY()),1),11))-YEAR(IF(ISNUMBER(Suppliers!F62),Suppliers!F62,DATE(YEAR(TODAY()),MONTH(TODAY()),1))))*12+MONTH(EDATE(DATE(YEAR(TODAY()),MONTH(TODAY()),1),11))-MONTH(IF(ISNUMBER(Suppliers!F62),Suppliers!F62,DATE(YEAR(TODAY()),MONTH(TODAY()),1))),6)=0,1,0),IF(Suppliers!E62="Annual",IF(MOD((YEAR(EDATE(DATE(YEAR(TODAY()),MONTH(TODAY()),1),11))-YEAR(IF(ISNUMBER(Suppliers!F62),Suppliers!F62,DATE(YEAR(TODAY()),MONTH(TODAY()),1))))*12+MONTH(EDATE(DATE(YEAR(TODAY()),MONTH(TODAY()),1),11))-MONTH(IF(ISNUMBER(Suppliers!F62),Suppliers!F62,DATE(YEAR(TODAY()),MONTH(TODAY()),1))),12)=0,1,0),IF(Suppliers!E62="One-time",IF(11=0,1,0),1)))))),"")</f>
        <v/>
      </c>
      <c r="R64" s="10" t="str">
        <f ca="1">IFERROR(IF(OR(12&gt;=$B$1,Suppliers!A62="",NOT(ISNUMBER(Suppliers!D62)),Suppliers!L62="Expired",Suppliers!L62="Terminate"),"",Suppliers!D62*-1*IF(Suppliers!E62="Monthly",IF(AND(ISNUMBER(Suppliers!G62),(YEAR(EDATE(DATE(YEAR(TODAY()),MONTH(TODAY()),1),12))*12+MONTH(EDATE(DATE(YEAR(TODAY()),MONTH(TODAY()),1),12)))&gt;(YEAR(Suppliers!G62)*12+MONTH(Suppliers!G62))),"",1),IF(Suppliers!E62="Quarterly",IF(MOD((YEAR(EDATE(DATE(YEAR(TODAY()),MONTH(TODAY()),1),12))-YEAR(IF(ISNUMBER(Suppliers!F62),Suppliers!F62,DATE(YEAR(TODAY()),MONTH(TODAY()),1))))*12+MONTH(EDATE(DATE(YEAR(TODAY()),MONTH(TODAY()),1),12))-MONTH(IF(ISNUMBER(Suppliers!F62),Suppliers!F62,DATE(YEAR(TODAY()),MONTH(TODAY()),1))),3)=0,1,0),IF(Suppliers!E62="Semi-annual",IF(MOD((YEAR(EDATE(DATE(YEAR(TODAY()),MONTH(TODAY()),1),12))-YEAR(IF(ISNUMBER(Suppliers!F62),Suppliers!F62,DATE(YEAR(TODAY()),MONTH(TODAY()),1))))*12+MONTH(EDATE(DATE(YEAR(TODAY()),MONTH(TODAY()),1),12))-MONTH(IF(ISNUMBER(Suppliers!F62),Suppliers!F62,DATE(YEAR(TODAY()),MONTH(TODAY()),1))),6)=0,1,0),IF(Suppliers!E62="Annual",IF(MOD((YEAR(EDATE(DATE(YEAR(TODAY()),MONTH(TODAY()),1),12))-YEAR(IF(ISNUMBER(Suppliers!F62),Suppliers!F62,DATE(YEAR(TODAY()),MONTH(TODAY()),1))))*12+MONTH(EDATE(DATE(YEAR(TODAY()),MONTH(TODAY()),1),12))-MONTH(IF(ISNUMBER(Suppliers!F62),Suppliers!F62,DATE(YEAR(TODAY()),MONTH(TODAY()),1))),12)=0,1,0),IF(Suppliers!E62="One-time",IF(12=0,1,0),1)))))),"")</f>
        <v/>
      </c>
      <c r="S64" s="10" t="str">
        <f ca="1">IFERROR(IF(OR(13&gt;=$B$1,Suppliers!A62="",NOT(ISNUMBER(Suppliers!D62)),Suppliers!L62="Expired",Suppliers!L62="Terminate"),"",Suppliers!D62*-1*IF(Suppliers!E62="Monthly",IF(AND(ISNUMBER(Suppliers!G62),(YEAR(EDATE(DATE(YEAR(TODAY()),MONTH(TODAY()),1),13))*12+MONTH(EDATE(DATE(YEAR(TODAY()),MONTH(TODAY()),1),13)))&gt;(YEAR(Suppliers!G62)*12+MONTH(Suppliers!G62))),"",1),IF(Suppliers!E62="Quarterly",IF(MOD((YEAR(EDATE(DATE(YEAR(TODAY()),MONTH(TODAY()),1),13))-YEAR(IF(ISNUMBER(Suppliers!F62),Suppliers!F62,DATE(YEAR(TODAY()),MONTH(TODAY()),1))))*12+MONTH(EDATE(DATE(YEAR(TODAY()),MONTH(TODAY()),1),13))-MONTH(IF(ISNUMBER(Suppliers!F62),Suppliers!F62,DATE(YEAR(TODAY()),MONTH(TODAY()),1))),3)=0,1,0),IF(Suppliers!E62="Semi-annual",IF(MOD((YEAR(EDATE(DATE(YEAR(TODAY()),MONTH(TODAY()),1),13))-YEAR(IF(ISNUMBER(Suppliers!F62),Suppliers!F62,DATE(YEAR(TODAY()),MONTH(TODAY()),1))))*12+MONTH(EDATE(DATE(YEAR(TODAY()),MONTH(TODAY()),1),13))-MONTH(IF(ISNUMBER(Suppliers!F62),Suppliers!F62,DATE(YEAR(TODAY()),MONTH(TODAY()),1))),6)=0,1,0),IF(Suppliers!E62="Annual",IF(MOD((YEAR(EDATE(DATE(YEAR(TODAY()),MONTH(TODAY()),1),13))-YEAR(IF(ISNUMBER(Suppliers!F62),Suppliers!F62,DATE(YEAR(TODAY()),MONTH(TODAY()),1))))*12+MONTH(EDATE(DATE(YEAR(TODAY()),MONTH(TODAY()),1),13))-MONTH(IF(ISNUMBER(Suppliers!F62),Suppliers!F62,DATE(YEAR(TODAY()),MONTH(TODAY()),1))),12)=0,1,0),IF(Suppliers!E62="One-time",IF(13=0,1,0),1)))))),"")</f>
        <v/>
      </c>
      <c r="T64" s="10" t="str">
        <f ca="1">IFERROR(IF(OR(14&gt;=$B$1,Suppliers!A62="",NOT(ISNUMBER(Suppliers!D62)),Suppliers!L62="Expired",Suppliers!L62="Terminate"),"",Suppliers!D62*-1*IF(Suppliers!E62="Monthly",IF(AND(ISNUMBER(Suppliers!G62),(YEAR(EDATE(DATE(YEAR(TODAY()),MONTH(TODAY()),1),14))*12+MONTH(EDATE(DATE(YEAR(TODAY()),MONTH(TODAY()),1),14)))&gt;(YEAR(Suppliers!G62)*12+MONTH(Suppliers!G62))),"",1),IF(Suppliers!E62="Quarterly",IF(MOD((YEAR(EDATE(DATE(YEAR(TODAY()),MONTH(TODAY()),1),14))-YEAR(IF(ISNUMBER(Suppliers!F62),Suppliers!F62,DATE(YEAR(TODAY()),MONTH(TODAY()),1))))*12+MONTH(EDATE(DATE(YEAR(TODAY()),MONTH(TODAY()),1),14))-MONTH(IF(ISNUMBER(Suppliers!F62),Suppliers!F62,DATE(YEAR(TODAY()),MONTH(TODAY()),1))),3)=0,1,0),IF(Suppliers!E62="Semi-annual",IF(MOD((YEAR(EDATE(DATE(YEAR(TODAY()),MONTH(TODAY()),1),14))-YEAR(IF(ISNUMBER(Suppliers!F62),Suppliers!F62,DATE(YEAR(TODAY()),MONTH(TODAY()),1))))*12+MONTH(EDATE(DATE(YEAR(TODAY()),MONTH(TODAY()),1),14))-MONTH(IF(ISNUMBER(Suppliers!F62),Suppliers!F62,DATE(YEAR(TODAY()),MONTH(TODAY()),1))),6)=0,1,0),IF(Suppliers!E62="Annual",IF(MOD((YEAR(EDATE(DATE(YEAR(TODAY()),MONTH(TODAY()),1),14))-YEAR(IF(ISNUMBER(Suppliers!F62),Suppliers!F62,DATE(YEAR(TODAY()),MONTH(TODAY()),1))))*12+MONTH(EDATE(DATE(YEAR(TODAY()),MONTH(TODAY()),1),14))-MONTH(IF(ISNUMBER(Suppliers!F62),Suppliers!F62,DATE(YEAR(TODAY()),MONTH(TODAY()),1))),12)=0,1,0),IF(Suppliers!E62="One-time",IF(14=0,1,0),1)))))),"")</f>
        <v/>
      </c>
      <c r="U64" s="10" t="str">
        <f ca="1">IFERROR(IF(OR(15&gt;=$B$1,Suppliers!A62="",NOT(ISNUMBER(Suppliers!D62)),Suppliers!L62="Expired",Suppliers!L62="Terminate"),"",Suppliers!D62*-1*IF(Suppliers!E62="Monthly",IF(AND(ISNUMBER(Suppliers!G62),(YEAR(EDATE(DATE(YEAR(TODAY()),MONTH(TODAY()),1),15))*12+MONTH(EDATE(DATE(YEAR(TODAY()),MONTH(TODAY()),1),15)))&gt;(YEAR(Suppliers!G62)*12+MONTH(Suppliers!G62))),"",1),IF(Suppliers!E62="Quarterly",IF(MOD((YEAR(EDATE(DATE(YEAR(TODAY()),MONTH(TODAY()),1),15))-YEAR(IF(ISNUMBER(Suppliers!F62),Suppliers!F62,DATE(YEAR(TODAY()),MONTH(TODAY()),1))))*12+MONTH(EDATE(DATE(YEAR(TODAY()),MONTH(TODAY()),1),15))-MONTH(IF(ISNUMBER(Suppliers!F62),Suppliers!F62,DATE(YEAR(TODAY()),MONTH(TODAY()),1))),3)=0,1,0),IF(Suppliers!E62="Semi-annual",IF(MOD((YEAR(EDATE(DATE(YEAR(TODAY()),MONTH(TODAY()),1),15))-YEAR(IF(ISNUMBER(Suppliers!F62),Suppliers!F62,DATE(YEAR(TODAY()),MONTH(TODAY()),1))))*12+MONTH(EDATE(DATE(YEAR(TODAY()),MONTH(TODAY()),1),15))-MONTH(IF(ISNUMBER(Suppliers!F62),Suppliers!F62,DATE(YEAR(TODAY()),MONTH(TODAY()),1))),6)=0,1,0),IF(Suppliers!E62="Annual",IF(MOD((YEAR(EDATE(DATE(YEAR(TODAY()),MONTH(TODAY()),1),15))-YEAR(IF(ISNUMBER(Suppliers!F62),Suppliers!F62,DATE(YEAR(TODAY()),MONTH(TODAY()),1))))*12+MONTH(EDATE(DATE(YEAR(TODAY()),MONTH(TODAY()),1),15))-MONTH(IF(ISNUMBER(Suppliers!F62),Suppliers!F62,DATE(YEAR(TODAY()),MONTH(TODAY()),1))),12)=0,1,0),IF(Suppliers!E62="One-time",IF(15=0,1,0),1)))))),"")</f>
        <v/>
      </c>
      <c r="V64" s="10" t="str">
        <f ca="1">IFERROR(IF(OR(16&gt;=$B$1,Suppliers!A62="",NOT(ISNUMBER(Suppliers!D62)),Suppliers!L62="Expired",Suppliers!L62="Terminate"),"",Suppliers!D62*-1*IF(Suppliers!E62="Monthly",IF(AND(ISNUMBER(Suppliers!G62),(YEAR(EDATE(DATE(YEAR(TODAY()),MONTH(TODAY()),1),16))*12+MONTH(EDATE(DATE(YEAR(TODAY()),MONTH(TODAY()),1),16)))&gt;(YEAR(Suppliers!G62)*12+MONTH(Suppliers!G62))),"",1),IF(Suppliers!E62="Quarterly",IF(MOD((YEAR(EDATE(DATE(YEAR(TODAY()),MONTH(TODAY()),1),16))-YEAR(IF(ISNUMBER(Suppliers!F62),Suppliers!F62,DATE(YEAR(TODAY()),MONTH(TODAY()),1))))*12+MONTH(EDATE(DATE(YEAR(TODAY()),MONTH(TODAY()),1),16))-MONTH(IF(ISNUMBER(Suppliers!F62),Suppliers!F62,DATE(YEAR(TODAY()),MONTH(TODAY()),1))),3)=0,1,0),IF(Suppliers!E62="Semi-annual",IF(MOD((YEAR(EDATE(DATE(YEAR(TODAY()),MONTH(TODAY()),1),16))-YEAR(IF(ISNUMBER(Suppliers!F62),Suppliers!F62,DATE(YEAR(TODAY()),MONTH(TODAY()),1))))*12+MONTH(EDATE(DATE(YEAR(TODAY()),MONTH(TODAY()),1),16))-MONTH(IF(ISNUMBER(Suppliers!F62),Suppliers!F62,DATE(YEAR(TODAY()),MONTH(TODAY()),1))),6)=0,1,0),IF(Suppliers!E62="Annual",IF(MOD((YEAR(EDATE(DATE(YEAR(TODAY()),MONTH(TODAY()),1),16))-YEAR(IF(ISNUMBER(Suppliers!F62),Suppliers!F62,DATE(YEAR(TODAY()),MONTH(TODAY()),1))))*12+MONTH(EDATE(DATE(YEAR(TODAY()),MONTH(TODAY()),1),16))-MONTH(IF(ISNUMBER(Suppliers!F62),Suppliers!F62,DATE(YEAR(TODAY()),MONTH(TODAY()),1))),12)=0,1,0),IF(Suppliers!E62="One-time",IF(16=0,1,0),1)))))),"")</f>
        <v/>
      </c>
      <c r="W64" s="10" t="str">
        <f ca="1">IFERROR(IF(OR(17&gt;=$B$1,Suppliers!A62="",NOT(ISNUMBER(Suppliers!D62)),Suppliers!L62="Expired",Suppliers!L62="Terminate"),"",Suppliers!D62*-1*IF(Suppliers!E62="Monthly",IF(AND(ISNUMBER(Suppliers!G62),(YEAR(EDATE(DATE(YEAR(TODAY()),MONTH(TODAY()),1),17))*12+MONTH(EDATE(DATE(YEAR(TODAY()),MONTH(TODAY()),1),17)))&gt;(YEAR(Suppliers!G62)*12+MONTH(Suppliers!G62))),"",1),IF(Suppliers!E62="Quarterly",IF(MOD((YEAR(EDATE(DATE(YEAR(TODAY()),MONTH(TODAY()),1),17))-YEAR(IF(ISNUMBER(Suppliers!F62),Suppliers!F62,DATE(YEAR(TODAY()),MONTH(TODAY()),1))))*12+MONTH(EDATE(DATE(YEAR(TODAY()),MONTH(TODAY()),1),17))-MONTH(IF(ISNUMBER(Suppliers!F62),Suppliers!F62,DATE(YEAR(TODAY()),MONTH(TODAY()),1))),3)=0,1,0),IF(Suppliers!E62="Semi-annual",IF(MOD((YEAR(EDATE(DATE(YEAR(TODAY()),MONTH(TODAY()),1),17))-YEAR(IF(ISNUMBER(Suppliers!F62),Suppliers!F62,DATE(YEAR(TODAY()),MONTH(TODAY()),1))))*12+MONTH(EDATE(DATE(YEAR(TODAY()),MONTH(TODAY()),1),17))-MONTH(IF(ISNUMBER(Suppliers!F62),Suppliers!F62,DATE(YEAR(TODAY()),MONTH(TODAY()),1))),6)=0,1,0),IF(Suppliers!E62="Annual",IF(MOD((YEAR(EDATE(DATE(YEAR(TODAY()),MONTH(TODAY()),1),17))-YEAR(IF(ISNUMBER(Suppliers!F62),Suppliers!F62,DATE(YEAR(TODAY()),MONTH(TODAY()),1))))*12+MONTH(EDATE(DATE(YEAR(TODAY()),MONTH(TODAY()),1),17))-MONTH(IF(ISNUMBER(Suppliers!F62),Suppliers!F62,DATE(YEAR(TODAY()),MONTH(TODAY()),1))),12)=0,1,0),IF(Suppliers!E62="One-time",IF(17=0,1,0),1)))))),"")</f>
        <v/>
      </c>
      <c r="X64" s="10" t="str">
        <f ca="1">IFERROR(IF(OR(18&gt;=$B$1,Suppliers!A62="",NOT(ISNUMBER(Suppliers!D62)),Suppliers!L62="Expired",Suppliers!L62="Terminate"),"",Suppliers!D62*-1*IF(Suppliers!E62="Monthly",IF(AND(ISNUMBER(Suppliers!G62),(YEAR(EDATE(DATE(YEAR(TODAY()),MONTH(TODAY()),1),18))*12+MONTH(EDATE(DATE(YEAR(TODAY()),MONTH(TODAY()),1),18)))&gt;(YEAR(Suppliers!G62)*12+MONTH(Suppliers!G62))),"",1),IF(Suppliers!E62="Quarterly",IF(MOD((YEAR(EDATE(DATE(YEAR(TODAY()),MONTH(TODAY()),1),18))-YEAR(IF(ISNUMBER(Suppliers!F62),Suppliers!F62,DATE(YEAR(TODAY()),MONTH(TODAY()),1))))*12+MONTH(EDATE(DATE(YEAR(TODAY()),MONTH(TODAY()),1),18))-MONTH(IF(ISNUMBER(Suppliers!F62),Suppliers!F62,DATE(YEAR(TODAY()),MONTH(TODAY()),1))),3)=0,1,0),IF(Suppliers!E62="Semi-annual",IF(MOD((YEAR(EDATE(DATE(YEAR(TODAY()),MONTH(TODAY()),1),18))-YEAR(IF(ISNUMBER(Suppliers!F62),Suppliers!F62,DATE(YEAR(TODAY()),MONTH(TODAY()),1))))*12+MONTH(EDATE(DATE(YEAR(TODAY()),MONTH(TODAY()),1),18))-MONTH(IF(ISNUMBER(Suppliers!F62),Suppliers!F62,DATE(YEAR(TODAY()),MONTH(TODAY()),1))),6)=0,1,0),IF(Suppliers!E62="Annual",IF(MOD((YEAR(EDATE(DATE(YEAR(TODAY()),MONTH(TODAY()),1),18))-YEAR(IF(ISNUMBER(Suppliers!F62),Suppliers!F62,DATE(YEAR(TODAY()),MONTH(TODAY()),1))))*12+MONTH(EDATE(DATE(YEAR(TODAY()),MONTH(TODAY()),1),18))-MONTH(IF(ISNUMBER(Suppliers!F62),Suppliers!F62,DATE(YEAR(TODAY()),MONTH(TODAY()),1))),12)=0,1,0),IF(Suppliers!E62="One-time",IF(18=0,1,0),1)))))),"")</f>
        <v/>
      </c>
      <c r="Y64" s="10" t="str">
        <f ca="1">IFERROR(IF(OR(19&gt;=$B$1,Suppliers!A62="",NOT(ISNUMBER(Suppliers!D62)),Suppliers!L62="Expired",Suppliers!L62="Terminate"),"",Suppliers!D62*-1*IF(Suppliers!E62="Monthly",IF(AND(ISNUMBER(Suppliers!G62),(YEAR(EDATE(DATE(YEAR(TODAY()),MONTH(TODAY()),1),19))*12+MONTH(EDATE(DATE(YEAR(TODAY()),MONTH(TODAY()),1),19)))&gt;(YEAR(Suppliers!G62)*12+MONTH(Suppliers!G62))),"",1),IF(Suppliers!E62="Quarterly",IF(MOD((YEAR(EDATE(DATE(YEAR(TODAY()),MONTH(TODAY()),1),19))-YEAR(IF(ISNUMBER(Suppliers!F62),Suppliers!F62,DATE(YEAR(TODAY()),MONTH(TODAY()),1))))*12+MONTH(EDATE(DATE(YEAR(TODAY()),MONTH(TODAY()),1),19))-MONTH(IF(ISNUMBER(Suppliers!F62),Suppliers!F62,DATE(YEAR(TODAY()),MONTH(TODAY()),1))),3)=0,1,0),IF(Suppliers!E62="Semi-annual",IF(MOD((YEAR(EDATE(DATE(YEAR(TODAY()),MONTH(TODAY()),1),19))-YEAR(IF(ISNUMBER(Suppliers!F62),Suppliers!F62,DATE(YEAR(TODAY()),MONTH(TODAY()),1))))*12+MONTH(EDATE(DATE(YEAR(TODAY()),MONTH(TODAY()),1),19))-MONTH(IF(ISNUMBER(Suppliers!F62),Suppliers!F62,DATE(YEAR(TODAY()),MONTH(TODAY()),1))),6)=0,1,0),IF(Suppliers!E62="Annual",IF(MOD((YEAR(EDATE(DATE(YEAR(TODAY()),MONTH(TODAY()),1),19))-YEAR(IF(ISNUMBER(Suppliers!F62),Suppliers!F62,DATE(YEAR(TODAY()),MONTH(TODAY()),1))))*12+MONTH(EDATE(DATE(YEAR(TODAY()),MONTH(TODAY()),1),19))-MONTH(IF(ISNUMBER(Suppliers!F62),Suppliers!F62,DATE(YEAR(TODAY()),MONTH(TODAY()),1))),12)=0,1,0),IF(Suppliers!E62="One-time",IF(19=0,1,0),1)))))),"")</f>
        <v/>
      </c>
      <c r="Z64" s="10" t="str">
        <f ca="1">IFERROR(IF(OR(20&gt;=$B$1,Suppliers!A62="",NOT(ISNUMBER(Suppliers!D62)),Suppliers!L62="Expired",Suppliers!L62="Terminate"),"",Suppliers!D62*-1*IF(Suppliers!E62="Monthly",IF(AND(ISNUMBER(Suppliers!G62),(YEAR(EDATE(DATE(YEAR(TODAY()),MONTH(TODAY()),1),20))*12+MONTH(EDATE(DATE(YEAR(TODAY()),MONTH(TODAY()),1),20)))&gt;(YEAR(Suppliers!G62)*12+MONTH(Suppliers!G62))),"",1),IF(Suppliers!E62="Quarterly",IF(MOD((YEAR(EDATE(DATE(YEAR(TODAY()),MONTH(TODAY()),1),20))-YEAR(IF(ISNUMBER(Suppliers!F62),Suppliers!F62,DATE(YEAR(TODAY()),MONTH(TODAY()),1))))*12+MONTH(EDATE(DATE(YEAR(TODAY()),MONTH(TODAY()),1),20))-MONTH(IF(ISNUMBER(Suppliers!F62),Suppliers!F62,DATE(YEAR(TODAY()),MONTH(TODAY()),1))),3)=0,1,0),IF(Suppliers!E62="Semi-annual",IF(MOD((YEAR(EDATE(DATE(YEAR(TODAY()),MONTH(TODAY()),1),20))-YEAR(IF(ISNUMBER(Suppliers!F62),Suppliers!F62,DATE(YEAR(TODAY()),MONTH(TODAY()),1))))*12+MONTH(EDATE(DATE(YEAR(TODAY()),MONTH(TODAY()),1),20))-MONTH(IF(ISNUMBER(Suppliers!F62),Suppliers!F62,DATE(YEAR(TODAY()),MONTH(TODAY()),1))),6)=0,1,0),IF(Suppliers!E62="Annual",IF(MOD((YEAR(EDATE(DATE(YEAR(TODAY()),MONTH(TODAY()),1),20))-YEAR(IF(ISNUMBER(Suppliers!F62),Suppliers!F62,DATE(YEAR(TODAY()),MONTH(TODAY()),1))))*12+MONTH(EDATE(DATE(YEAR(TODAY()),MONTH(TODAY()),1),20))-MONTH(IF(ISNUMBER(Suppliers!F62),Suppliers!F62,DATE(YEAR(TODAY()),MONTH(TODAY()),1))),12)=0,1,0),IF(Suppliers!E62="One-time",IF(20=0,1,0),1)))))),"")</f>
        <v/>
      </c>
      <c r="AA64" s="10" t="str">
        <f ca="1">IFERROR(IF(OR(21&gt;=$B$1,Suppliers!A62="",NOT(ISNUMBER(Suppliers!D62)),Suppliers!L62="Expired",Suppliers!L62="Terminate"),"",Suppliers!D62*-1*IF(Suppliers!E62="Monthly",IF(AND(ISNUMBER(Suppliers!G62),(YEAR(EDATE(DATE(YEAR(TODAY()),MONTH(TODAY()),1),21))*12+MONTH(EDATE(DATE(YEAR(TODAY()),MONTH(TODAY()),1),21)))&gt;(YEAR(Suppliers!G62)*12+MONTH(Suppliers!G62))),"",1),IF(Suppliers!E62="Quarterly",IF(MOD((YEAR(EDATE(DATE(YEAR(TODAY()),MONTH(TODAY()),1),21))-YEAR(IF(ISNUMBER(Suppliers!F62),Suppliers!F62,DATE(YEAR(TODAY()),MONTH(TODAY()),1))))*12+MONTH(EDATE(DATE(YEAR(TODAY()),MONTH(TODAY()),1),21))-MONTH(IF(ISNUMBER(Suppliers!F62),Suppliers!F62,DATE(YEAR(TODAY()),MONTH(TODAY()),1))),3)=0,1,0),IF(Suppliers!E62="Semi-annual",IF(MOD((YEAR(EDATE(DATE(YEAR(TODAY()),MONTH(TODAY()),1),21))-YEAR(IF(ISNUMBER(Suppliers!F62),Suppliers!F62,DATE(YEAR(TODAY()),MONTH(TODAY()),1))))*12+MONTH(EDATE(DATE(YEAR(TODAY()),MONTH(TODAY()),1),21))-MONTH(IF(ISNUMBER(Suppliers!F62),Suppliers!F62,DATE(YEAR(TODAY()),MONTH(TODAY()),1))),6)=0,1,0),IF(Suppliers!E62="Annual",IF(MOD((YEAR(EDATE(DATE(YEAR(TODAY()),MONTH(TODAY()),1),21))-YEAR(IF(ISNUMBER(Suppliers!F62),Suppliers!F62,DATE(YEAR(TODAY()),MONTH(TODAY()),1))))*12+MONTH(EDATE(DATE(YEAR(TODAY()),MONTH(TODAY()),1),21))-MONTH(IF(ISNUMBER(Suppliers!F62),Suppliers!F62,DATE(YEAR(TODAY()),MONTH(TODAY()),1))),12)=0,1,0),IF(Suppliers!E62="One-time",IF(21=0,1,0),1)))))),"")</f>
        <v/>
      </c>
      <c r="AB64" s="10" t="str">
        <f ca="1">IFERROR(IF(OR(22&gt;=$B$1,Suppliers!A62="",NOT(ISNUMBER(Suppliers!D62)),Suppliers!L62="Expired",Suppliers!L62="Terminate"),"",Suppliers!D62*-1*IF(Suppliers!E62="Monthly",IF(AND(ISNUMBER(Suppliers!G62),(YEAR(EDATE(DATE(YEAR(TODAY()),MONTH(TODAY()),1),22))*12+MONTH(EDATE(DATE(YEAR(TODAY()),MONTH(TODAY()),1),22)))&gt;(YEAR(Suppliers!G62)*12+MONTH(Suppliers!G62))),"",1),IF(Suppliers!E62="Quarterly",IF(MOD((YEAR(EDATE(DATE(YEAR(TODAY()),MONTH(TODAY()),1),22))-YEAR(IF(ISNUMBER(Suppliers!F62),Suppliers!F62,DATE(YEAR(TODAY()),MONTH(TODAY()),1))))*12+MONTH(EDATE(DATE(YEAR(TODAY()),MONTH(TODAY()),1),22))-MONTH(IF(ISNUMBER(Suppliers!F62),Suppliers!F62,DATE(YEAR(TODAY()),MONTH(TODAY()),1))),3)=0,1,0),IF(Suppliers!E62="Semi-annual",IF(MOD((YEAR(EDATE(DATE(YEAR(TODAY()),MONTH(TODAY()),1),22))-YEAR(IF(ISNUMBER(Suppliers!F62),Suppliers!F62,DATE(YEAR(TODAY()),MONTH(TODAY()),1))))*12+MONTH(EDATE(DATE(YEAR(TODAY()),MONTH(TODAY()),1),22))-MONTH(IF(ISNUMBER(Suppliers!F62),Suppliers!F62,DATE(YEAR(TODAY()),MONTH(TODAY()),1))),6)=0,1,0),IF(Suppliers!E62="Annual",IF(MOD((YEAR(EDATE(DATE(YEAR(TODAY()),MONTH(TODAY()),1),22))-YEAR(IF(ISNUMBER(Suppliers!F62),Suppliers!F62,DATE(YEAR(TODAY()),MONTH(TODAY()),1))))*12+MONTH(EDATE(DATE(YEAR(TODAY()),MONTH(TODAY()),1),22))-MONTH(IF(ISNUMBER(Suppliers!F62),Suppliers!F62,DATE(YEAR(TODAY()),MONTH(TODAY()),1))),12)=0,1,0),IF(Suppliers!E62="One-time",IF(22=0,1,0),1)))))),"")</f>
        <v/>
      </c>
      <c r="AC64" s="10" t="str">
        <f ca="1">IFERROR(IF(OR(23&gt;=$B$1,Suppliers!A62="",NOT(ISNUMBER(Suppliers!D62)),Suppliers!L62="Expired",Suppliers!L62="Terminate"),"",Suppliers!D62*-1*IF(Suppliers!E62="Monthly",IF(AND(ISNUMBER(Suppliers!G62),(YEAR(EDATE(DATE(YEAR(TODAY()),MONTH(TODAY()),1),23))*12+MONTH(EDATE(DATE(YEAR(TODAY()),MONTH(TODAY()),1),23)))&gt;(YEAR(Suppliers!G62)*12+MONTH(Suppliers!G62))),"",1),IF(Suppliers!E62="Quarterly",IF(MOD((YEAR(EDATE(DATE(YEAR(TODAY()),MONTH(TODAY()),1),23))-YEAR(IF(ISNUMBER(Suppliers!F62),Suppliers!F62,DATE(YEAR(TODAY()),MONTH(TODAY()),1))))*12+MONTH(EDATE(DATE(YEAR(TODAY()),MONTH(TODAY()),1),23))-MONTH(IF(ISNUMBER(Suppliers!F62),Suppliers!F62,DATE(YEAR(TODAY()),MONTH(TODAY()),1))),3)=0,1,0),IF(Suppliers!E62="Semi-annual",IF(MOD((YEAR(EDATE(DATE(YEAR(TODAY()),MONTH(TODAY()),1),23))-YEAR(IF(ISNUMBER(Suppliers!F62),Suppliers!F62,DATE(YEAR(TODAY()),MONTH(TODAY()),1))))*12+MONTH(EDATE(DATE(YEAR(TODAY()),MONTH(TODAY()),1),23))-MONTH(IF(ISNUMBER(Suppliers!F62),Suppliers!F62,DATE(YEAR(TODAY()),MONTH(TODAY()),1))),6)=0,1,0),IF(Suppliers!E62="Annual",IF(MOD((YEAR(EDATE(DATE(YEAR(TODAY()),MONTH(TODAY()),1),23))-YEAR(IF(ISNUMBER(Suppliers!F62),Suppliers!F62,DATE(YEAR(TODAY()),MONTH(TODAY()),1))))*12+MONTH(EDATE(DATE(YEAR(TODAY()),MONTH(TODAY()),1),23))-MONTH(IF(ISNUMBER(Suppliers!F62),Suppliers!F62,DATE(YEAR(TODAY()),MONTH(TODAY()),1))),12)=0,1,0),IF(Suppliers!E62="One-time",IF(23=0,1,0),1)))))),"")</f>
        <v/>
      </c>
    </row>
    <row r="65" spans="1:29" ht="15" customHeight="1" x14ac:dyDescent="0.35">
      <c r="A65" s="4" t="s">
        <v>80</v>
      </c>
      <c r="B65" s="4" t="str">
        <f>IF(Suppliers!A63="","",Suppliers!A63)</f>
        <v/>
      </c>
      <c r="C65" s="10" t="str">
        <f>IF(Suppliers!C63="","",Suppliers!C63)</f>
        <v/>
      </c>
      <c r="D65" s="10" t="str">
        <f>IF(Suppliers!D63="","",Suppliers!D63)</f>
        <v/>
      </c>
      <c r="E65" s="4" t="str">
        <f>IF(Suppliers!E63="","",Suppliers!E63)</f>
        <v/>
      </c>
      <c r="F65" s="10" t="str">
        <f ca="1">IFERROR(IF(OR(0&gt;=$B$1,Suppliers!A63="",NOT(ISNUMBER(Suppliers!D63)),Suppliers!L63="Expired",Suppliers!L63="Terminate"),"",Suppliers!D63*-1*IF(Suppliers!E63="Monthly",IF(AND(ISNUMBER(Suppliers!G63),(YEAR(EDATE(DATE(YEAR(TODAY()),MONTH(TODAY()),1),0))*12+MONTH(EDATE(DATE(YEAR(TODAY()),MONTH(TODAY()),1),0)))&gt;(YEAR(Suppliers!G63)*12+MONTH(Suppliers!G63))),"",1),IF(Suppliers!E63="Quarterly",IF(MOD((YEAR(EDATE(DATE(YEAR(TODAY()),MONTH(TODAY()),1),0))-YEAR(IF(ISNUMBER(Suppliers!F63),Suppliers!F63,DATE(YEAR(TODAY()),MONTH(TODAY()),1))))*12+MONTH(EDATE(DATE(YEAR(TODAY()),MONTH(TODAY()),1),0))-MONTH(IF(ISNUMBER(Suppliers!F63),Suppliers!F63,DATE(YEAR(TODAY()),MONTH(TODAY()),1))),3)=0,1,0),IF(Suppliers!E63="Semi-annual",IF(MOD((YEAR(EDATE(DATE(YEAR(TODAY()),MONTH(TODAY()),1),0))-YEAR(IF(ISNUMBER(Suppliers!F63),Suppliers!F63,DATE(YEAR(TODAY()),MONTH(TODAY()),1))))*12+MONTH(EDATE(DATE(YEAR(TODAY()),MONTH(TODAY()),1),0))-MONTH(IF(ISNUMBER(Suppliers!F63),Suppliers!F63,DATE(YEAR(TODAY()),MONTH(TODAY()),1))),6)=0,1,0),IF(Suppliers!E63="Annual",IF(MOD((YEAR(EDATE(DATE(YEAR(TODAY()),MONTH(TODAY()),1),0))-YEAR(IF(ISNUMBER(Suppliers!F63),Suppliers!F63,DATE(YEAR(TODAY()),MONTH(TODAY()),1))))*12+MONTH(EDATE(DATE(YEAR(TODAY()),MONTH(TODAY()),1),0))-MONTH(IF(ISNUMBER(Suppliers!F63),Suppliers!F63,DATE(YEAR(TODAY()),MONTH(TODAY()),1))),12)=0,1,0),IF(Suppliers!E63="One-time",IF(0=0,1,0),1)))))),"")</f>
        <v/>
      </c>
      <c r="G65" s="10" t="str">
        <f ca="1">IFERROR(IF(OR(1&gt;=$B$1,Suppliers!A63="",NOT(ISNUMBER(Suppliers!D63)),Suppliers!L63="Expired",Suppliers!L63="Terminate"),"",Suppliers!D63*-1*IF(Suppliers!E63="Monthly",IF(AND(ISNUMBER(Suppliers!G63),(YEAR(EDATE(DATE(YEAR(TODAY()),MONTH(TODAY()),1),1))*12+MONTH(EDATE(DATE(YEAR(TODAY()),MONTH(TODAY()),1),1)))&gt;(YEAR(Suppliers!G63)*12+MONTH(Suppliers!G63))),"",1),IF(Suppliers!E63="Quarterly",IF(MOD((YEAR(EDATE(DATE(YEAR(TODAY()),MONTH(TODAY()),1),1))-YEAR(IF(ISNUMBER(Suppliers!F63),Suppliers!F63,DATE(YEAR(TODAY()),MONTH(TODAY()),1))))*12+MONTH(EDATE(DATE(YEAR(TODAY()),MONTH(TODAY()),1),1))-MONTH(IF(ISNUMBER(Suppliers!F63),Suppliers!F63,DATE(YEAR(TODAY()),MONTH(TODAY()),1))),3)=0,1,0),IF(Suppliers!E63="Semi-annual",IF(MOD((YEAR(EDATE(DATE(YEAR(TODAY()),MONTH(TODAY()),1),1))-YEAR(IF(ISNUMBER(Suppliers!F63),Suppliers!F63,DATE(YEAR(TODAY()),MONTH(TODAY()),1))))*12+MONTH(EDATE(DATE(YEAR(TODAY()),MONTH(TODAY()),1),1))-MONTH(IF(ISNUMBER(Suppliers!F63),Suppliers!F63,DATE(YEAR(TODAY()),MONTH(TODAY()),1))),6)=0,1,0),IF(Suppliers!E63="Annual",IF(MOD((YEAR(EDATE(DATE(YEAR(TODAY()),MONTH(TODAY()),1),1))-YEAR(IF(ISNUMBER(Suppliers!F63),Suppliers!F63,DATE(YEAR(TODAY()),MONTH(TODAY()),1))))*12+MONTH(EDATE(DATE(YEAR(TODAY()),MONTH(TODAY()),1),1))-MONTH(IF(ISNUMBER(Suppliers!F63),Suppliers!F63,DATE(YEAR(TODAY()),MONTH(TODAY()),1))),12)=0,1,0),IF(Suppliers!E63="One-time",IF(1=0,1,0),1)))))),"")</f>
        <v/>
      </c>
      <c r="H65" s="10" t="str">
        <f ca="1">IFERROR(IF(OR(2&gt;=$B$1,Suppliers!A63="",NOT(ISNUMBER(Suppliers!D63)),Suppliers!L63="Expired",Suppliers!L63="Terminate"),"",Suppliers!D63*-1*IF(Suppliers!E63="Monthly",IF(AND(ISNUMBER(Suppliers!G63),(YEAR(EDATE(DATE(YEAR(TODAY()),MONTH(TODAY()),1),2))*12+MONTH(EDATE(DATE(YEAR(TODAY()),MONTH(TODAY()),1),2)))&gt;(YEAR(Suppliers!G63)*12+MONTH(Suppliers!G63))),"",1),IF(Suppliers!E63="Quarterly",IF(MOD((YEAR(EDATE(DATE(YEAR(TODAY()),MONTH(TODAY()),1),2))-YEAR(IF(ISNUMBER(Suppliers!F63),Suppliers!F63,DATE(YEAR(TODAY()),MONTH(TODAY()),1))))*12+MONTH(EDATE(DATE(YEAR(TODAY()),MONTH(TODAY()),1),2))-MONTH(IF(ISNUMBER(Suppliers!F63),Suppliers!F63,DATE(YEAR(TODAY()),MONTH(TODAY()),1))),3)=0,1,0),IF(Suppliers!E63="Semi-annual",IF(MOD((YEAR(EDATE(DATE(YEAR(TODAY()),MONTH(TODAY()),1),2))-YEAR(IF(ISNUMBER(Suppliers!F63),Suppliers!F63,DATE(YEAR(TODAY()),MONTH(TODAY()),1))))*12+MONTH(EDATE(DATE(YEAR(TODAY()),MONTH(TODAY()),1),2))-MONTH(IF(ISNUMBER(Suppliers!F63),Suppliers!F63,DATE(YEAR(TODAY()),MONTH(TODAY()),1))),6)=0,1,0),IF(Suppliers!E63="Annual",IF(MOD((YEAR(EDATE(DATE(YEAR(TODAY()),MONTH(TODAY()),1),2))-YEAR(IF(ISNUMBER(Suppliers!F63),Suppliers!F63,DATE(YEAR(TODAY()),MONTH(TODAY()),1))))*12+MONTH(EDATE(DATE(YEAR(TODAY()),MONTH(TODAY()),1),2))-MONTH(IF(ISNUMBER(Suppliers!F63),Suppliers!F63,DATE(YEAR(TODAY()),MONTH(TODAY()),1))),12)=0,1,0),IF(Suppliers!E63="One-time",IF(2=0,1,0),1)))))),"")</f>
        <v/>
      </c>
      <c r="I65" s="10" t="str">
        <f ca="1">IFERROR(IF(OR(3&gt;=$B$1,Suppliers!A63="",NOT(ISNUMBER(Suppliers!D63)),Suppliers!L63="Expired",Suppliers!L63="Terminate"),"",Suppliers!D63*-1*IF(Suppliers!E63="Monthly",IF(AND(ISNUMBER(Suppliers!G63),(YEAR(EDATE(DATE(YEAR(TODAY()),MONTH(TODAY()),1),3))*12+MONTH(EDATE(DATE(YEAR(TODAY()),MONTH(TODAY()),1),3)))&gt;(YEAR(Suppliers!G63)*12+MONTH(Suppliers!G63))),"",1),IF(Suppliers!E63="Quarterly",IF(MOD((YEAR(EDATE(DATE(YEAR(TODAY()),MONTH(TODAY()),1),3))-YEAR(IF(ISNUMBER(Suppliers!F63),Suppliers!F63,DATE(YEAR(TODAY()),MONTH(TODAY()),1))))*12+MONTH(EDATE(DATE(YEAR(TODAY()),MONTH(TODAY()),1),3))-MONTH(IF(ISNUMBER(Suppliers!F63),Suppliers!F63,DATE(YEAR(TODAY()),MONTH(TODAY()),1))),3)=0,1,0),IF(Suppliers!E63="Semi-annual",IF(MOD((YEAR(EDATE(DATE(YEAR(TODAY()),MONTH(TODAY()),1),3))-YEAR(IF(ISNUMBER(Suppliers!F63),Suppliers!F63,DATE(YEAR(TODAY()),MONTH(TODAY()),1))))*12+MONTH(EDATE(DATE(YEAR(TODAY()),MONTH(TODAY()),1),3))-MONTH(IF(ISNUMBER(Suppliers!F63),Suppliers!F63,DATE(YEAR(TODAY()),MONTH(TODAY()),1))),6)=0,1,0),IF(Suppliers!E63="Annual",IF(MOD((YEAR(EDATE(DATE(YEAR(TODAY()),MONTH(TODAY()),1),3))-YEAR(IF(ISNUMBER(Suppliers!F63),Suppliers!F63,DATE(YEAR(TODAY()),MONTH(TODAY()),1))))*12+MONTH(EDATE(DATE(YEAR(TODAY()),MONTH(TODAY()),1),3))-MONTH(IF(ISNUMBER(Suppliers!F63),Suppliers!F63,DATE(YEAR(TODAY()),MONTH(TODAY()),1))),12)=0,1,0),IF(Suppliers!E63="One-time",IF(3=0,1,0),1)))))),"")</f>
        <v/>
      </c>
      <c r="J65" s="10" t="str">
        <f ca="1">IFERROR(IF(OR(4&gt;=$B$1,Suppliers!A63="",NOT(ISNUMBER(Suppliers!D63)),Suppliers!L63="Expired",Suppliers!L63="Terminate"),"",Suppliers!D63*-1*IF(Suppliers!E63="Monthly",IF(AND(ISNUMBER(Suppliers!G63),(YEAR(EDATE(DATE(YEAR(TODAY()),MONTH(TODAY()),1),4))*12+MONTH(EDATE(DATE(YEAR(TODAY()),MONTH(TODAY()),1),4)))&gt;(YEAR(Suppliers!G63)*12+MONTH(Suppliers!G63))),"",1),IF(Suppliers!E63="Quarterly",IF(MOD((YEAR(EDATE(DATE(YEAR(TODAY()),MONTH(TODAY()),1),4))-YEAR(IF(ISNUMBER(Suppliers!F63),Suppliers!F63,DATE(YEAR(TODAY()),MONTH(TODAY()),1))))*12+MONTH(EDATE(DATE(YEAR(TODAY()),MONTH(TODAY()),1),4))-MONTH(IF(ISNUMBER(Suppliers!F63),Suppliers!F63,DATE(YEAR(TODAY()),MONTH(TODAY()),1))),3)=0,1,0),IF(Suppliers!E63="Semi-annual",IF(MOD((YEAR(EDATE(DATE(YEAR(TODAY()),MONTH(TODAY()),1),4))-YEAR(IF(ISNUMBER(Suppliers!F63),Suppliers!F63,DATE(YEAR(TODAY()),MONTH(TODAY()),1))))*12+MONTH(EDATE(DATE(YEAR(TODAY()),MONTH(TODAY()),1),4))-MONTH(IF(ISNUMBER(Suppliers!F63),Suppliers!F63,DATE(YEAR(TODAY()),MONTH(TODAY()),1))),6)=0,1,0),IF(Suppliers!E63="Annual",IF(MOD((YEAR(EDATE(DATE(YEAR(TODAY()),MONTH(TODAY()),1),4))-YEAR(IF(ISNUMBER(Suppliers!F63),Suppliers!F63,DATE(YEAR(TODAY()),MONTH(TODAY()),1))))*12+MONTH(EDATE(DATE(YEAR(TODAY()),MONTH(TODAY()),1),4))-MONTH(IF(ISNUMBER(Suppliers!F63),Suppliers!F63,DATE(YEAR(TODAY()),MONTH(TODAY()),1))),12)=0,1,0),IF(Suppliers!E63="One-time",IF(4=0,1,0),1)))))),"")</f>
        <v/>
      </c>
      <c r="K65" s="10" t="str">
        <f ca="1">IFERROR(IF(OR(5&gt;=$B$1,Suppliers!A63="",NOT(ISNUMBER(Suppliers!D63)),Suppliers!L63="Expired",Suppliers!L63="Terminate"),"",Suppliers!D63*-1*IF(Suppliers!E63="Monthly",IF(AND(ISNUMBER(Suppliers!G63),(YEAR(EDATE(DATE(YEAR(TODAY()),MONTH(TODAY()),1),5))*12+MONTH(EDATE(DATE(YEAR(TODAY()),MONTH(TODAY()),1),5)))&gt;(YEAR(Suppliers!G63)*12+MONTH(Suppliers!G63))),"",1),IF(Suppliers!E63="Quarterly",IF(MOD((YEAR(EDATE(DATE(YEAR(TODAY()),MONTH(TODAY()),1),5))-YEAR(IF(ISNUMBER(Suppliers!F63),Suppliers!F63,DATE(YEAR(TODAY()),MONTH(TODAY()),1))))*12+MONTH(EDATE(DATE(YEAR(TODAY()),MONTH(TODAY()),1),5))-MONTH(IF(ISNUMBER(Suppliers!F63),Suppliers!F63,DATE(YEAR(TODAY()),MONTH(TODAY()),1))),3)=0,1,0),IF(Suppliers!E63="Semi-annual",IF(MOD((YEAR(EDATE(DATE(YEAR(TODAY()),MONTH(TODAY()),1),5))-YEAR(IF(ISNUMBER(Suppliers!F63),Suppliers!F63,DATE(YEAR(TODAY()),MONTH(TODAY()),1))))*12+MONTH(EDATE(DATE(YEAR(TODAY()),MONTH(TODAY()),1),5))-MONTH(IF(ISNUMBER(Suppliers!F63),Suppliers!F63,DATE(YEAR(TODAY()),MONTH(TODAY()),1))),6)=0,1,0),IF(Suppliers!E63="Annual",IF(MOD((YEAR(EDATE(DATE(YEAR(TODAY()),MONTH(TODAY()),1),5))-YEAR(IF(ISNUMBER(Suppliers!F63),Suppliers!F63,DATE(YEAR(TODAY()),MONTH(TODAY()),1))))*12+MONTH(EDATE(DATE(YEAR(TODAY()),MONTH(TODAY()),1),5))-MONTH(IF(ISNUMBER(Suppliers!F63),Suppliers!F63,DATE(YEAR(TODAY()),MONTH(TODAY()),1))),12)=0,1,0),IF(Suppliers!E63="One-time",IF(5=0,1,0),1)))))),"")</f>
        <v/>
      </c>
      <c r="L65" s="10" t="str">
        <f ca="1">IFERROR(IF(OR(6&gt;=$B$1,Suppliers!A63="",NOT(ISNUMBER(Suppliers!D63)),Suppliers!L63="Expired",Suppliers!L63="Terminate"),"",Suppliers!D63*-1*IF(Suppliers!E63="Monthly",IF(AND(ISNUMBER(Suppliers!G63),(YEAR(EDATE(DATE(YEAR(TODAY()),MONTH(TODAY()),1),6))*12+MONTH(EDATE(DATE(YEAR(TODAY()),MONTH(TODAY()),1),6)))&gt;(YEAR(Suppliers!G63)*12+MONTH(Suppliers!G63))),"",1),IF(Suppliers!E63="Quarterly",IF(MOD((YEAR(EDATE(DATE(YEAR(TODAY()),MONTH(TODAY()),1),6))-YEAR(IF(ISNUMBER(Suppliers!F63),Suppliers!F63,DATE(YEAR(TODAY()),MONTH(TODAY()),1))))*12+MONTH(EDATE(DATE(YEAR(TODAY()),MONTH(TODAY()),1),6))-MONTH(IF(ISNUMBER(Suppliers!F63),Suppliers!F63,DATE(YEAR(TODAY()),MONTH(TODAY()),1))),3)=0,1,0),IF(Suppliers!E63="Semi-annual",IF(MOD((YEAR(EDATE(DATE(YEAR(TODAY()),MONTH(TODAY()),1),6))-YEAR(IF(ISNUMBER(Suppliers!F63),Suppliers!F63,DATE(YEAR(TODAY()),MONTH(TODAY()),1))))*12+MONTH(EDATE(DATE(YEAR(TODAY()),MONTH(TODAY()),1),6))-MONTH(IF(ISNUMBER(Suppliers!F63),Suppliers!F63,DATE(YEAR(TODAY()),MONTH(TODAY()),1))),6)=0,1,0),IF(Suppliers!E63="Annual",IF(MOD((YEAR(EDATE(DATE(YEAR(TODAY()),MONTH(TODAY()),1),6))-YEAR(IF(ISNUMBER(Suppliers!F63),Suppliers!F63,DATE(YEAR(TODAY()),MONTH(TODAY()),1))))*12+MONTH(EDATE(DATE(YEAR(TODAY()),MONTH(TODAY()),1),6))-MONTH(IF(ISNUMBER(Suppliers!F63),Suppliers!F63,DATE(YEAR(TODAY()),MONTH(TODAY()),1))),12)=0,1,0),IF(Suppliers!E63="One-time",IF(6=0,1,0),1)))))),"")</f>
        <v/>
      </c>
      <c r="M65" s="10" t="str">
        <f ca="1">IFERROR(IF(OR(7&gt;=$B$1,Suppliers!A63="",NOT(ISNUMBER(Suppliers!D63)),Suppliers!L63="Expired",Suppliers!L63="Terminate"),"",Suppliers!D63*-1*IF(Suppliers!E63="Monthly",IF(AND(ISNUMBER(Suppliers!G63),(YEAR(EDATE(DATE(YEAR(TODAY()),MONTH(TODAY()),1),7))*12+MONTH(EDATE(DATE(YEAR(TODAY()),MONTH(TODAY()),1),7)))&gt;(YEAR(Suppliers!G63)*12+MONTH(Suppliers!G63))),"",1),IF(Suppliers!E63="Quarterly",IF(MOD((YEAR(EDATE(DATE(YEAR(TODAY()),MONTH(TODAY()),1),7))-YEAR(IF(ISNUMBER(Suppliers!F63),Suppliers!F63,DATE(YEAR(TODAY()),MONTH(TODAY()),1))))*12+MONTH(EDATE(DATE(YEAR(TODAY()),MONTH(TODAY()),1),7))-MONTH(IF(ISNUMBER(Suppliers!F63),Suppliers!F63,DATE(YEAR(TODAY()),MONTH(TODAY()),1))),3)=0,1,0),IF(Suppliers!E63="Semi-annual",IF(MOD((YEAR(EDATE(DATE(YEAR(TODAY()),MONTH(TODAY()),1),7))-YEAR(IF(ISNUMBER(Suppliers!F63),Suppliers!F63,DATE(YEAR(TODAY()),MONTH(TODAY()),1))))*12+MONTH(EDATE(DATE(YEAR(TODAY()),MONTH(TODAY()),1),7))-MONTH(IF(ISNUMBER(Suppliers!F63),Suppliers!F63,DATE(YEAR(TODAY()),MONTH(TODAY()),1))),6)=0,1,0),IF(Suppliers!E63="Annual",IF(MOD((YEAR(EDATE(DATE(YEAR(TODAY()),MONTH(TODAY()),1),7))-YEAR(IF(ISNUMBER(Suppliers!F63),Suppliers!F63,DATE(YEAR(TODAY()),MONTH(TODAY()),1))))*12+MONTH(EDATE(DATE(YEAR(TODAY()),MONTH(TODAY()),1),7))-MONTH(IF(ISNUMBER(Suppliers!F63),Suppliers!F63,DATE(YEAR(TODAY()),MONTH(TODAY()),1))),12)=0,1,0),IF(Suppliers!E63="One-time",IF(7=0,1,0),1)))))),"")</f>
        <v/>
      </c>
      <c r="N65" s="10" t="str">
        <f ca="1">IFERROR(IF(OR(8&gt;=$B$1,Suppliers!A63="",NOT(ISNUMBER(Suppliers!D63)),Suppliers!L63="Expired",Suppliers!L63="Terminate"),"",Suppliers!D63*-1*IF(Suppliers!E63="Monthly",IF(AND(ISNUMBER(Suppliers!G63),(YEAR(EDATE(DATE(YEAR(TODAY()),MONTH(TODAY()),1),8))*12+MONTH(EDATE(DATE(YEAR(TODAY()),MONTH(TODAY()),1),8)))&gt;(YEAR(Suppliers!G63)*12+MONTH(Suppliers!G63))),"",1),IF(Suppliers!E63="Quarterly",IF(MOD((YEAR(EDATE(DATE(YEAR(TODAY()),MONTH(TODAY()),1),8))-YEAR(IF(ISNUMBER(Suppliers!F63),Suppliers!F63,DATE(YEAR(TODAY()),MONTH(TODAY()),1))))*12+MONTH(EDATE(DATE(YEAR(TODAY()),MONTH(TODAY()),1),8))-MONTH(IF(ISNUMBER(Suppliers!F63),Suppliers!F63,DATE(YEAR(TODAY()),MONTH(TODAY()),1))),3)=0,1,0),IF(Suppliers!E63="Semi-annual",IF(MOD((YEAR(EDATE(DATE(YEAR(TODAY()),MONTH(TODAY()),1),8))-YEAR(IF(ISNUMBER(Suppliers!F63),Suppliers!F63,DATE(YEAR(TODAY()),MONTH(TODAY()),1))))*12+MONTH(EDATE(DATE(YEAR(TODAY()),MONTH(TODAY()),1),8))-MONTH(IF(ISNUMBER(Suppliers!F63),Suppliers!F63,DATE(YEAR(TODAY()),MONTH(TODAY()),1))),6)=0,1,0),IF(Suppliers!E63="Annual",IF(MOD((YEAR(EDATE(DATE(YEAR(TODAY()),MONTH(TODAY()),1),8))-YEAR(IF(ISNUMBER(Suppliers!F63),Suppliers!F63,DATE(YEAR(TODAY()),MONTH(TODAY()),1))))*12+MONTH(EDATE(DATE(YEAR(TODAY()),MONTH(TODAY()),1),8))-MONTH(IF(ISNUMBER(Suppliers!F63),Suppliers!F63,DATE(YEAR(TODAY()),MONTH(TODAY()),1))),12)=0,1,0),IF(Suppliers!E63="One-time",IF(8=0,1,0),1)))))),"")</f>
        <v/>
      </c>
      <c r="O65" s="10" t="str">
        <f ca="1">IFERROR(IF(OR(9&gt;=$B$1,Suppliers!A63="",NOT(ISNUMBER(Suppliers!D63)),Suppliers!L63="Expired",Suppliers!L63="Terminate"),"",Suppliers!D63*-1*IF(Suppliers!E63="Monthly",IF(AND(ISNUMBER(Suppliers!G63),(YEAR(EDATE(DATE(YEAR(TODAY()),MONTH(TODAY()),1),9))*12+MONTH(EDATE(DATE(YEAR(TODAY()),MONTH(TODAY()),1),9)))&gt;(YEAR(Suppliers!G63)*12+MONTH(Suppliers!G63))),"",1),IF(Suppliers!E63="Quarterly",IF(MOD((YEAR(EDATE(DATE(YEAR(TODAY()),MONTH(TODAY()),1),9))-YEAR(IF(ISNUMBER(Suppliers!F63),Suppliers!F63,DATE(YEAR(TODAY()),MONTH(TODAY()),1))))*12+MONTH(EDATE(DATE(YEAR(TODAY()),MONTH(TODAY()),1),9))-MONTH(IF(ISNUMBER(Suppliers!F63),Suppliers!F63,DATE(YEAR(TODAY()),MONTH(TODAY()),1))),3)=0,1,0),IF(Suppliers!E63="Semi-annual",IF(MOD((YEAR(EDATE(DATE(YEAR(TODAY()),MONTH(TODAY()),1),9))-YEAR(IF(ISNUMBER(Suppliers!F63),Suppliers!F63,DATE(YEAR(TODAY()),MONTH(TODAY()),1))))*12+MONTH(EDATE(DATE(YEAR(TODAY()),MONTH(TODAY()),1),9))-MONTH(IF(ISNUMBER(Suppliers!F63),Suppliers!F63,DATE(YEAR(TODAY()),MONTH(TODAY()),1))),6)=0,1,0),IF(Suppliers!E63="Annual",IF(MOD((YEAR(EDATE(DATE(YEAR(TODAY()),MONTH(TODAY()),1),9))-YEAR(IF(ISNUMBER(Suppliers!F63),Suppliers!F63,DATE(YEAR(TODAY()),MONTH(TODAY()),1))))*12+MONTH(EDATE(DATE(YEAR(TODAY()),MONTH(TODAY()),1),9))-MONTH(IF(ISNUMBER(Suppliers!F63),Suppliers!F63,DATE(YEAR(TODAY()),MONTH(TODAY()),1))),12)=0,1,0),IF(Suppliers!E63="One-time",IF(9=0,1,0),1)))))),"")</f>
        <v/>
      </c>
      <c r="P65" s="10" t="str">
        <f ca="1">IFERROR(IF(OR(10&gt;=$B$1,Suppliers!A63="",NOT(ISNUMBER(Suppliers!D63)),Suppliers!L63="Expired",Suppliers!L63="Terminate"),"",Suppliers!D63*-1*IF(Suppliers!E63="Monthly",IF(AND(ISNUMBER(Suppliers!G63),(YEAR(EDATE(DATE(YEAR(TODAY()),MONTH(TODAY()),1),10))*12+MONTH(EDATE(DATE(YEAR(TODAY()),MONTH(TODAY()),1),10)))&gt;(YEAR(Suppliers!G63)*12+MONTH(Suppliers!G63))),"",1),IF(Suppliers!E63="Quarterly",IF(MOD((YEAR(EDATE(DATE(YEAR(TODAY()),MONTH(TODAY()),1),10))-YEAR(IF(ISNUMBER(Suppliers!F63),Suppliers!F63,DATE(YEAR(TODAY()),MONTH(TODAY()),1))))*12+MONTH(EDATE(DATE(YEAR(TODAY()),MONTH(TODAY()),1),10))-MONTH(IF(ISNUMBER(Suppliers!F63),Suppliers!F63,DATE(YEAR(TODAY()),MONTH(TODAY()),1))),3)=0,1,0),IF(Suppliers!E63="Semi-annual",IF(MOD((YEAR(EDATE(DATE(YEAR(TODAY()),MONTH(TODAY()),1),10))-YEAR(IF(ISNUMBER(Suppliers!F63),Suppliers!F63,DATE(YEAR(TODAY()),MONTH(TODAY()),1))))*12+MONTH(EDATE(DATE(YEAR(TODAY()),MONTH(TODAY()),1),10))-MONTH(IF(ISNUMBER(Suppliers!F63),Suppliers!F63,DATE(YEAR(TODAY()),MONTH(TODAY()),1))),6)=0,1,0),IF(Suppliers!E63="Annual",IF(MOD((YEAR(EDATE(DATE(YEAR(TODAY()),MONTH(TODAY()),1),10))-YEAR(IF(ISNUMBER(Suppliers!F63),Suppliers!F63,DATE(YEAR(TODAY()),MONTH(TODAY()),1))))*12+MONTH(EDATE(DATE(YEAR(TODAY()),MONTH(TODAY()),1),10))-MONTH(IF(ISNUMBER(Suppliers!F63),Suppliers!F63,DATE(YEAR(TODAY()),MONTH(TODAY()),1))),12)=0,1,0),IF(Suppliers!E63="One-time",IF(10=0,1,0),1)))))),"")</f>
        <v/>
      </c>
      <c r="Q65" s="10" t="str">
        <f ca="1">IFERROR(IF(OR(11&gt;=$B$1,Suppliers!A63="",NOT(ISNUMBER(Suppliers!D63)),Suppliers!L63="Expired",Suppliers!L63="Terminate"),"",Suppliers!D63*-1*IF(Suppliers!E63="Monthly",IF(AND(ISNUMBER(Suppliers!G63),(YEAR(EDATE(DATE(YEAR(TODAY()),MONTH(TODAY()),1),11))*12+MONTH(EDATE(DATE(YEAR(TODAY()),MONTH(TODAY()),1),11)))&gt;(YEAR(Suppliers!G63)*12+MONTH(Suppliers!G63))),"",1),IF(Suppliers!E63="Quarterly",IF(MOD((YEAR(EDATE(DATE(YEAR(TODAY()),MONTH(TODAY()),1),11))-YEAR(IF(ISNUMBER(Suppliers!F63),Suppliers!F63,DATE(YEAR(TODAY()),MONTH(TODAY()),1))))*12+MONTH(EDATE(DATE(YEAR(TODAY()),MONTH(TODAY()),1),11))-MONTH(IF(ISNUMBER(Suppliers!F63),Suppliers!F63,DATE(YEAR(TODAY()),MONTH(TODAY()),1))),3)=0,1,0),IF(Suppliers!E63="Semi-annual",IF(MOD((YEAR(EDATE(DATE(YEAR(TODAY()),MONTH(TODAY()),1),11))-YEAR(IF(ISNUMBER(Suppliers!F63),Suppliers!F63,DATE(YEAR(TODAY()),MONTH(TODAY()),1))))*12+MONTH(EDATE(DATE(YEAR(TODAY()),MONTH(TODAY()),1),11))-MONTH(IF(ISNUMBER(Suppliers!F63),Suppliers!F63,DATE(YEAR(TODAY()),MONTH(TODAY()),1))),6)=0,1,0),IF(Suppliers!E63="Annual",IF(MOD((YEAR(EDATE(DATE(YEAR(TODAY()),MONTH(TODAY()),1),11))-YEAR(IF(ISNUMBER(Suppliers!F63),Suppliers!F63,DATE(YEAR(TODAY()),MONTH(TODAY()),1))))*12+MONTH(EDATE(DATE(YEAR(TODAY()),MONTH(TODAY()),1),11))-MONTH(IF(ISNUMBER(Suppliers!F63),Suppliers!F63,DATE(YEAR(TODAY()),MONTH(TODAY()),1))),12)=0,1,0),IF(Suppliers!E63="One-time",IF(11=0,1,0),1)))))),"")</f>
        <v/>
      </c>
      <c r="R65" s="10" t="str">
        <f ca="1">IFERROR(IF(OR(12&gt;=$B$1,Suppliers!A63="",NOT(ISNUMBER(Suppliers!D63)),Suppliers!L63="Expired",Suppliers!L63="Terminate"),"",Suppliers!D63*-1*IF(Suppliers!E63="Monthly",IF(AND(ISNUMBER(Suppliers!G63),(YEAR(EDATE(DATE(YEAR(TODAY()),MONTH(TODAY()),1),12))*12+MONTH(EDATE(DATE(YEAR(TODAY()),MONTH(TODAY()),1),12)))&gt;(YEAR(Suppliers!G63)*12+MONTH(Suppliers!G63))),"",1),IF(Suppliers!E63="Quarterly",IF(MOD((YEAR(EDATE(DATE(YEAR(TODAY()),MONTH(TODAY()),1),12))-YEAR(IF(ISNUMBER(Suppliers!F63),Suppliers!F63,DATE(YEAR(TODAY()),MONTH(TODAY()),1))))*12+MONTH(EDATE(DATE(YEAR(TODAY()),MONTH(TODAY()),1),12))-MONTH(IF(ISNUMBER(Suppliers!F63),Suppliers!F63,DATE(YEAR(TODAY()),MONTH(TODAY()),1))),3)=0,1,0),IF(Suppliers!E63="Semi-annual",IF(MOD((YEAR(EDATE(DATE(YEAR(TODAY()),MONTH(TODAY()),1),12))-YEAR(IF(ISNUMBER(Suppliers!F63),Suppliers!F63,DATE(YEAR(TODAY()),MONTH(TODAY()),1))))*12+MONTH(EDATE(DATE(YEAR(TODAY()),MONTH(TODAY()),1),12))-MONTH(IF(ISNUMBER(Suppliers!F63),Suppliers!F63,DATE(YEAR(TODAY()),MONTH(TODAY()),1))),6)=0,1,0),IF(Suppliers!E63="Annual",IF(MOD((YEAR(EDATE(DATE(YEAR(TODAY()),MONTH(TODAY()),1),12))-YEAR(IF(ISNUMBER(Suppliers!F63),Suppliers!F63,DATE(YEAR(TODAY()),MONTH(TODAY()),1))))*12+MONTH(EDATE(DATE(YEAR(TODAY()),MONTH(TODAY()),1),12))-MONTH(IF(ISNUMBER(Suppliers!F63),Suppliers!F63,DATE(YEAR(TODAY()),MONTH(TODAY()),1))),12)=0,1,0),IF(Suppliers!E63="One-time",IF(12=0,1,0),1)))))),"")</f>
        <v/>
      </c>
      <c r="S65" s="10" t="str">
        <f ca="1">IFERROR(IF(OR(13&gt;=$B$1,Suppliers!A63="",NOT(ISNUMBER(Suppliers!D63)),Suppliers!L63="Expired",Suppliers!L63="Terminate"),"",Suppliers!D63*-1*IF(Suppliers!E63="Monthly",IF(AND(ISNUMBER(Suppliers!G63),(YEAR(EDATE(DATE(YEAR(TODAY()),MONTH(TODAY()),1),13))*12+MONTH(EDATE(DATE(YEAR(TODAY()),MONTH(TODAY()),1),13)))&gt;(YEAR(Suppliers!G63)*12+MONTH(Suppliers!G63))),"",1),IF(Suppliers!E63="Quarterly",IF(MOD((YEAR(EDATE(DATE(YEAR(TODAY()),MONTH(TODAY()),1),13))-YEAR(IF(ISNUMBER(Suppliers!F63),Suppliers!F63,DATE(YEAR(TODAY()),MONTH(TODAY()),1))))*12+MONTH(EDATE(DATE(YEAR(TODAY()),MONTH(TODAY()),1),13))-MONTH(IF(ISNUMBER(Suppliers!F63),Suppliers!F63,DATE(YEAR(TODAY()),MONTH(TODAY()),1))),3)=0,1,0),IF(Suppliers!E63="Semi-annual",IF(MOD((YEAR(EDATE(DATE(YEAR(TODAY()),MONTH(TODAY()),1),13))-YEAR(IF(ISNUMBER(Suppliers!F63),Suppliers!F63,DATE(YEAR(TODAY()),MONTH(TODAY()),1))))*12+MONTH(EDATE(DATE(YEAR(TODAY()),MONTH(TODAY()),1),13))-MONTH(IF(ISNUMBER(Suppliers!F63),Suppliers!F63,DATE(YEAR(TODAY()),MONTH(TODAY()),1))),6)=0,1,0),IF(Suppliers!E63="Annual",IF(MOD((YEAR(EDATE(DATE(YEAR(TODAY()),MONTH(TODAY()),1),13))-YEAR(IF(ISNUMBER(Suppliers!F63),Suppliers!F63,DATE(YEAR(TODAY()),MONTH(TODAY()),1))))*12+MONTH(EDATE(DATE(YEAR(TODAY()),MONTH(TODAY()),1),13))-MONTH(IF(ISNUMBER(Suppliers!F63),Suppliers!F63,DATE(YEAR(TODAY()),MONTH(TODAY()),1))),12)=0,1,0),IF(Suppliers!E63="One-time",IF(13=0,1,0),1)))))),"")</f>
        <v/>
      </c>
      <c r="T65" s="10" t="str">
        <f ca="1">IFERROR(IF(OR(14&gt;=$B$1,Suppliers!A63="",NOT(ISNUMBER(Suppliers!D63)),Suppliers!L63="Expired",Suppliers!L63="Terminate"),"",Suppliers!D63*-1*IF(Suppliers!E63="Monthly",IF(AND(ISNUMBER(Suppliers!G63),(YEAR(EDATE(DATE(YEAR(TODAY()),MONTH(TODAY()),1),14))*12+MONTH(EDATE(DATE(YEAR(TODAY()),MONTH(TODAY()),1),14)))&gt;(YEAR(Suppliers!G63)*12+MONTH(Suppliers!G63))),"",1),IF(Suppliers!E63="Quarterly",IF(MOD((YEAR(EDATE(DATE(YEAR(TODAY()),MONTH(TODAY()),1),14))-YEAR(IF(ISNUMBER(Suppliers!F63),Suppliers!F63,DATE(YEAR(TODAY()),MONTH(TODAY()),1))))*12+MONTH(EDATE(DATE(YEAR(TODAY()),MONTH(TODAY()),1),14))-MONTH(IF(ISNUMBER(Suppliers!F63),Suppliers!F63,DATE(YEAR(TODAY()),MONTH(TODAY()),1))),3)=0,1,0),IF(Suppliers!E63="Semi-annual",IF(MOD((YEAR(EDATE(DATE(YEAR(TODAY()),MONTH(TODAY()),1),14))-YEAR(IF(ISNUMBER(Suppliers!F63),Suppliers!F63,DATE(YEAR(TODAY()),MONTH(TODAY()),1))))*12+MONTH(EDATE(DATE(YEAR(TODAY()),MONTH(TODAY()),1),14))-MONTH(IF(ISNUMBER(Suppliers!F63),Suppliers!F63,DATE(YEAR(TODAY()),MONTH(TODAY()),1))),6)=0,1,0),IF(Suppliers!E63="Annual",IF(MOD((YEAR(EDATE(DATE(YEAR(TODAY()),MONTH(TODAY()),1),14))-YEAR(IF(ISNUMBER(Suppliers!F63),Suppliers!F63,DATE(YEAR(TODAY()),MONTH(TODAY()),1))))*12+MONTH(EDATE(DATE(YEAR(TODAY()),MONTH(TODAY()),1),14))-MONTH(IF(ISNUMBER(Suppliers!F63),Suppliers!F63,DATE(YEAR(TODAY()),MONTH(TODAY()),1))),12)=0,1,0),IF(Suppliers!E63="One-time",IF(14=0,1,0),1)))))),"")</f>
        <v/>
      </c>
      <c r="U65" s="10" t="str">
        <f ca="1">IFERROR(IF(OR(15&gt;=$B$1,Suppliers!A63="",NOT(ISNUMBER(Suppliers!D63)),Suppliers!L63="Expired",Suppliers!L63="Terminate"),"",Suppliers!D63*-1*IF(Suppliers!E63="Monthly",IF(AND(ISNUMBER(Suppliers!G63),(YEAR(EDATE(DATE(YEAR(TODAY()),MONTH(TODAY()),1),15))*12+MONTH(EDATE(DATE(YEAR(TODAY()),MONTH(TODAY()),1),15)))&gt;(YEAR(Suppliers!G63)*12+MONTH(Suppliers!G63))),"",1),IF(Suppliers!E63="Quarterly",IF(MOD((YEAR(EDATE(DATE(YEAR(TODAY()),MONTH(TODAY()),1),15))-YEAR(IF(ISNUMBER(Suppliers!F63),Suppliers!F63,DATE(YEAR(TODAY()),MONTH(TODAY()),1))))*12+MONTH(EDATE(DATE(YEAR(TODAY()),MONTH(TODAY()),1),15))-MONTH(IF(ISNUMBER(Suppliers!F63),Suppliers!F63,DATE(YEAR(TODAY()),MONTH(TODAY()),1))),3)=0,1,0),IF(Suppliers!E63="Semi-annual",IF(MOD((YEAR(EDATE(DATE(YEAR(TODAY()),MONTH(TODAY()),1),15))-YEAR(IF(ISNUMBER(Suppliers!F63),Suppliers!F63,DATE(YEAR(TODAY()),MONTH(TODAY()),1))))*12+MONTH(EDATE(DATE(YEAR(TODAY()),MONTH(TODAY()),1),15))-MONTH(IF(ISNUMBER(Suppliers!F63),Suppliers!F63,DATE(YEAR(TODAY()),MONTH(TODAY()),1))),6)=0,1,0),IF(Suppliers!E63="Annual",IF(MOD((YEAR(EDATE(DATE(YEAR(TODAY()),MONTH(TODAY()),1),15))-YEAR(IF(ISNUMBER(Suppliers!F63),Suppliers!F63,DATE(YEAR(TODAY()),MONTH(TODAY()),1))))*12+MONTH(EDATE(DATE(YEAR(TODAY()),MONTH(TODAY()),1),15))-MONTH(IF(ISNUMBER(Suppliers!F63),Suppliers!F63,DATE(YEAR(TODAY()),MONTH(TODAY()),1))),12)=0,1,0),IF(Suppliers!E63="One-time",IF(15=0,1,0),1)))))),"")</f>
        <v/>
      </c>
      <c r="V65" s="10" t="str">
        <f ca="1">IFERROR(IF(OR(16&gt;=$B$1,Suppliers!A63="",NOT(ISNUMBER(Suppliers!D63)),Suppliers!L63="Expired",Suppliers!L63="Terminate"),"",Suppliers!D63*-1*IF(Suppliers!E63="Monthly",IF(AND(ISNUMBER(Suppliers!G63),(YEAR(EDATE(DATE(YEAR(TODAY()),MONTH(TODAY()),1),16))*12+MONTH(EDATE(DATE(YEAR(TODAY()),MONTH(TODAY()),1),16)))&gt;(YEAR(Suppliers!G63)*12+MONTH(Suppliers!G63))),"",1),IF(Suppliers!E63="Quarterly",IF(MOD((YEAR(EDATE(DATE(YEAR(TODAY()),MONTH(TODAY()),1),16))-YEAR(IF(ISNUMBER(Suppliers!F63),Suppliers!F63,DATE(YEAR(TODAY()),MONTH(TODAY()),1))))*12+MONTH(EDATE(DATE(YEAR(TODAY()),MONTH(TODAY()),1),16))-MONTH(IF(ISNUMBER(Suppliers!F63),Suppliers!F63,DATE(YEAR(TODAY()),MONTH(TODAY()),1))),3)=0,1,0),IF(Suppliers!E63="Semi-annual",IF(MOD((YEAR(EDATE(DATE(YEAR(TODAY()),MONTH(TODAY()),1),16))-YEAR(IF(ISNUMBER(Suppliers!F63),Suppliers!F63,DATE(YEAR(TODAY()),MONTH(TODAY()),1))))*12+MONTH(EDATE(DATE(YEAR(TODAY()),MONTH(TODAY()),1),16))-MONTH(IF(ISNUMBER(Suppliers!F63),Suppliers!F63,DATE(YEAR(TODAY()),MONTH(TODAY()),1))),6)=0,1,0),IF(Suppliers!E63="Annual",IF(MOD((YEAR(EDATE(DATE(YEAR(TODAY()),MONTH(TODAY()),1),16))-YEAR(IF(ISNUMBER(Suppliers!F63),Suppliers!F63,DATE(YEAR(TODAY()),MONTH(TODAY()),1))))*12+MONTH(EDATE(DATE(YEAR(TODAY()),MONTH(TODAY()),1),16))-MONTH(IF(ISNUMBER(Suppliers!F63),Suppliers!F63,DATE(YEAR(TODAY()),MONTH(TODAY()),1))),12)=0,1,0),IF(Suppliers!E63="One-time",IF(16=0,1,0),1)))))),"")</f>
        <v/>
      </c>
      <c r="W65" s="10" t="str">
        <f ca="1">IFERROR(IF(OR(17&gt;=$B$1,Suppliers!A63="",NOT(ISNUMBER(Suppliers!D63)),Suppliers!L63="Expired",Suppliers!L63="Terminate"),"",Suppliers!D63*-1*IF(Suppliers!E63="Monthly",IF(AND(ISNUMBER(Suppliers!G63),(YEAR(EDATE(DATE(YEAR(TODAY()),MONTH(TODAY()),1),17))*12+MONTH(EDATE(DATE(YEAR(TODAY()),MONTH(TODAY()),1),17)))&gt;(YEAR(Suppliers!G63)*12+MONTH(Suppliers!G63))),"",1),IF(Suppliers!E63="Quarterly",IF(MOD((YEAR(EDATE(DATE(YEAR(TODAY()),MONTH(TODAY()),1),17))-YEAR(IF(ISNUMBER(Suppliers!F63),Suppliers!F63,DATE(YEAR(TODAY()),MONTH(TODAY()),1))))*12+MONTH(EDATE(DATE(YEAR(TODAY()),MONTH(TODAY()),1),17))-MONTH(IF(ISNUMBER(Suppliers!F63),Suppliers!F63,DATE(YEAR(TODAY()),MONTH(TODAY()),1))),3)=0,1,0),IF(Suppliers!E63="Semi-annual",IF(MOD((YEAR(EDATE(DATE(YEAR(TODAY()),MONTH(TODAY()),1),17))-YEAR(IF(ISNUMBER(Suppliers!F63),Suppliers!F63,DATE(YEAR(TODAY()),MONTH(TODAY()),1))))*12+MONTH(EDATE(DATE(YEAR(TODAY()),MONTH(TODAY()),1),17))-MONTH(IF(ISNUMBER(Suppliers!F63),Suppliers!F63,DATE(YEAR(TODAY()),MONTH(TODAY()),1))),6)=0,1,0),IF(Suppliers!E63="Annual",IF(MOD((YEAR(EDATE(DATE(YEAR(TODAY()),MONTH(TODAY()),1),17))-YEAR(IF(ISNUMBER(Suppliers!F63),Suppliers!F63,DATE(YEAR(TODAY()),MONTH(TODAY()),1))))*12+MONTH(EDATE(DATE(YEAR(TODAY()),MONTH(TODAY()),1),17))-MONTH(IF(ISNUMBER(Suppliers!F63),Suppliers!F63,DATE(YEAR(TODAY()),MONTH(TODAY()),1))),12)=0,1,0),IF(Suppliers!E63="One-time",IF(17=0,1,0),1)))))),"")</f>
        <v/>
      </c>
      <c r="X65" s="10" t="str">
        <f ca="1">IFERROR(IF(OR(18&gt;=$B$1,Suppliers!A63="",NOT(ISNUMBER(Suppliers!D63)),Suppliers!L63="Expired",Suppliers!L63="Terminate"),"",Suppliers!D63*-1*IF(Suppliers!E63="Monthly",IF(AND(ISNUMBER(Suppliers!G63),(YEAR(EDATE(DATE(YEAR(TODAY()),MONTH(TODAY()),1),18))*12+MONTH(EDATE(DATE(YEAR(TODAY()),MONTH(TODAY()),1),18)))&gt;(YEAR(Suppliers!G63)*12+MONTH(Suppliers!G63))),"",1),IF(Suppliers!E63="Quarterly",IF(MOD((YEAR(EDATE(DATE(YEAR(TODAY()),MONTH(TODAY()),1),18))-YEAR(IF(ISNUMBER(Suppliers!F63),Suppliers!F63,DATE(YEAR(TODAY()),MONTH(TODAY()),1))))*12+MONTH(EDATE(DATE(YEAR(TODAY()),MONTH(TODAY()),1),18))-MONTH(IF(ISNUMBER(Suppliers!F63),Suppliers!F63,DATE(YEAR(TODAY()),MONTH(TODAY()),1))),3)=0,1,0),IF(Suppliers!E63="Semi-annual",IF(MOD((YEAR(EDATE(DATE(YEAR(TODAY()),MONTH(TODAY()),1),18))-YEAR(IF(ISNUMBER(Suppliers!F63),Suppliers!F63,DATE(YEAR(TODAY()),MONTH(TODAY()),1))))*12+MONTH(EDATE(DATE(YEAR(TODAY()),MONTH(TODAY()),1),18))-MONTH(IF(ISNUMBER(Suppliers!F63),Suppliers!F63,DATE(YEAR(TODAY()),MONTH(TODAY()),1))),6)=0,1,0),IF(Suppliers!E63="Annual",IF(MOD((YEAR(EDATE(DATE(YEAR(TODAY()),MONTH(TODAY()),1),18))-YEAR(IF(ISNUMBER(Suppliers!F63),Suppliers!F63,DATE(YEAR(TODAY()),MONTH(TODAY()),1))))*12+MONTH(EDATE(DATE(YEAR(TODAY()),MONTH(TODAY()),1),18))-MONTH(IF(ISNUMBER(Suppliers!F63),Suppliers!F63,DATE(YEAR(TODAY()),MONTH(TODAY()),1))),12)=0,1,0),IF(Suppliers!E63="One-time",IF(18=0,1,0),1)))))),"")</f>
        <v/>
      </c>
      <c r="Y65" s="10" t="str">
        <f ca="1">IFERROR(IF(OR(19&gt;=$B$1,Suppliers!A63="",NOT(ISNUMBER(Suppliers!D63)),Suppliers!L63="Expired",Suppliers!L63="Terminate"),"",Suppliers!D63*-1*IF(Suppliers!E63="Monthly",IF(AND(ISNUMBER(Suppliers!G63),(YEAR(EDATE(DATE(YEAR(TODAY()),MONTH(TODAY()),1),19))*12+MONTH(EDATE(DATE(YEAR(TODAY()),MONTH(TODAY()),1),19)))&gt;(YEAR(Suppliers!G63)*12+MONTH(Suppliers!G63))),"",1),IF(Suppliers!E63="Quarterly",IF(MOD((YEAR(EDATE(DATE(YEAR(TODAY()),MONTH(TODAY()),1),19))-YEAR(IF(ISNUMBER(Suppliers!F63),Suppliers!F63,DATE(YEAR(TODAY()),MONTH(TODAY()),1))))*12+MONTH(EDATE(DATE(YEAR(TODAY()),MONTH(TODAY()),1),19))-MONTH(IF(ISNUMBER(Suppliers!F63),Suppliers!F63,DATE(YEAR(TODAY()),MONTH(TODAY()),1))),3)=0,1,0),IF(Suppliers!E63="Semi-annual",IF(MOD((YEAR(EDATE(DATE(YEAR(TODAY()),MONTH(TODAY()),1),19))-YEAR(IF(ISNUMBER(Suppliers!F63),Suppliers!F63,DATE(YEAR(TODAY()),MONTH(TODAY()),1))))*12+MONTH(EDATE(DATE(YEAR(TODAY()),MONTH(TODAY()),1),19))-MONTH(IF(ISNUMBER(Suppliers!F63),Suppliers!F63,DATE(YEAR(TODAY()),MONTH(TODAY()),1))),6)=0,1,0),IF(Suppliers!E63="Annual",IF(MOD((YEAR(EDATE(DATE(YEAR(TODAY()),MONTH(TODAY()),1),19))-YEAR(IF(ISNUMBER(Suppliers!F63),Suppliers!F63,DATE(YEAR(TODAY()),MONTH(TODAY()),1))))*12+MONTH(EDATE(DATE(YEAR(TODAY()),MONTH(TODAY()),1),19))-MONTH(IF(ISNUMBER(Suppliers!F63),Suppliers!F63,DATE(YEAR(TODAY()),MONTH(TODAY()),1))),12)=0,1,0),IF(Suppliers!E63="One-time",IF(19=0,1,0),1)))))),"")</f>
        <v/>
      </c>
      <c r="Z65" s="10" t="str">
        <f ca="1">IFERROR(IF(OR(20&gt;=$B$1,Suppliers!A63="",NOT(ISNUMBER(Suppliers!D63)),Suppliers!L63="Expired",Suppliers!L63="Terminate"),"",Suppliers!D63*-1*IF(Suppliers!E63="Monthly",IF(AND(ISNUMBER(Suppliers!G63),(YEAR(EDATE(DATE(YEAR(TODAY()),MONTH(TODAY()),1),20))*12+MONTH(EDATE(DATE(YEAR(TODAY()),MONTH(TODAY()),1),20)))&gt;(YEAR(Suppliers!G63)*12+MONTH(Suppliers!G63))),"",1),IF(Suppliers!E63="Quarterly",IF(MOD((YEAR(EDATE(DATE(YEAR(TODAY()),MONTH(TODAY()),1),20))-YEAR(IF(ISNUMBER(Suppliers!F63),Suppliers!F63,DATE(YEAR(TODAY()),MONTH(TODAY()),1))))*12+MONTH(EDATE(DATE(YEAR(TODAY()),MONTH(TODAY()),1),20))-MONTH(IF(ISNUMBER(Suppliers!F63),Suppliers!F63,DATE(YEAR(TODAY()),MONTH(TODAY()),1))),3)=0,1,0),IF(Suppliers!E63="Semi-annual",IF(MOD((YEAR(EDATE(DATE(YEAR(TODAY()),MONTH(TODAY()),1),20))-YEAR(IF(ISNUMBER(Suppliers!F63),Suppliers!F63,DATE(YEAR(TODAY()),MONTH(TODAY()),1))))*12+MONTH(EDATE(DATE(YEAR(TODAY()),MONTH(TODAY()),1),20))-MONTH(IF(ISNUMBER(Suppliers!F63),Suppliers!F63,DATE(YEAR(TODAY()),MONTH(TODAY()),1))),6)=0,1,0),IF(Suppliers!E63="Annual",IF(MOD((YEAR(EDATE(DATE(YEAR(TODAY()),MONTH(TODAY()),1),20))-YEAR(IF(ISNUMBER(Suppliers!F63),Suppliers!F63,DATE(YEAR(TODAY()),MONTH(TODAY()),1))))*12+MONTH(EDATE(DATE(YEAR(TODAY()),MONTH(TODAY()),1),20))-MONTH(IF(ISNUMBER(Suppliers!F63),Suppliers!F63,DATE(YEAR(TODAY()),MONTH(TODAY()),1))),12)=0,1,0),IF(Suppliers!E63="One-time",IF(20=0,1,0),1)))))),"")</f>
        <v/>
      </c>
      <c r="AA65" s="10" t="str">
        <f ca="1">IFERROR(IF(OR(21&gt;=$B$1,Suppliers!A63="",NOT(ISNUMBER(Suppliers!D63)),Suppliers!L63="Expired",Suppliers!L63="Terminate"),"",Suppliers!D63*-1*IF(Suppliers!E63="Monthly",IF(AND(ISNUMBER(Suppliers!G63),(YEAR(EDATE(DATE(YEAR(TODAY()),MONTH(TODAY()),1),21))*12+MONTH(EDATE(DATE(YEAR(TODAY()),MONTH(TODAY()),1),21)))&gt;(YEAR(Suppliers!G63)*12+MONTH(Suppliers!G63))),"",1),IF(Suppliers!E63="Quarterly",IF(MOD((YEAR(EDATE(DATE(YEAR(TODAY()),MONTH(TODAY()),1),21))-YEAR(IF(ISNUMBER(Suppliers!F63),Suppliers!F63,DATE(YEAR(TODAY()),MONTH(TODAY()),1))))*12+MONTH(EDATE(DATE(YEAR(TODAY()),MONTH(TODAY()),1),21))-MONTH(IF(ISNUMBER(Suppliers!F63),Suppliers!F63,DATE(YEAR(TODAY()),MONTH(TODAY()),1))),3)=0,1,0),IF(Suppliers!E63="Semi-annual",IF(MOD((YEAR(EDATE(DATE(YEAR(TODAY()),MONTH(TODAY()),1),21))-YEAR(IF(ISNUMBER(Suppliers!F63),Suppliers!F63,DATE(YEAR(TODAY()),MONTH(TODAY()),1))))*12+MONTH(EDATE(DATE(YEAR(TODAY()),MONTH(TODAY()),1),21))-MONTH(IF(ISNUMBER(Suppliers!F63),Suppliers!F63,DATE(YEAR(TODAY()),MONTH(TODAY()),1))),6)=0,1,0),IF(Suppliers!E63="Annual",IF(MOD((YEAR(EDATE(DATE(YEAR(TODAY()),MONTH(TODAY()),1),21))-YEAR(IF(ISNUMBER(Suppliers!F63),Suppliers!F63,DATE(YEAR(TODAY()),MONTH(TODAY()),1))))*12+MONTH(EDATE(DATE(YEAR(TODAY()),MONTH(TODAY()),1),21))-MONTH(IF(ISNUMBER(Suppliers!F63),Suppliers!F63,DATE(YEAR(TODAY()),MONTH(TODAY()),1))),12)=0,1,0),IF(Suppliers!E63="One-time",IF(21=0,1,0),1)))))),"")</f>
        <v/>
      </c>
      <c r="AB65" s="10" t="str">
        <f ca="1">IFERROR(IF(OR(22&gt;=$B$1,Suppliers!A63="",NOT(ISNUMBER(Suppliers!D63)),Suppliers!L63="Expired",Suppliers!L63="Terminate"),"",Suppliers!D63*-1*IF(Suppliers!E63="Monthly",IF(AND(ISNUMBER(Suppliers!G63),(YEAR(EDATE(DATE(YEAR(TODAY()),MONTH(TODAY()),1),22))*12+MONTH(EDATE(DATE(YEAR(TODAY()),MONTH(TODAY()),1),22)))&gt;(YEAR(Suppliers!G63)*12+MONTH(Suppliers!G63))),"",1),IF(Suppliers!E63="Quarterly",IF(MOD((YEAR(EDATE(DATE(YEAR(TODAY()),MONTH(TODAY()),1),22))-YEAR(IF(ISNUMBER(Suppliers!F63),Suppliers!F63,DATE(YEAR(TODAY()),MONTH(TODAY()),1))))*12+MONTH(EDATE(DATE(YEAR(TODAY()),MONTH(TODAY()),1),22))-MONTH(IF(ISNUMBER(Suppliers!F63),Suppliers!F63,DATE(YEAR(TODAY()),MONTH(TODAY()),1))),3)=0,1,0),IF(Suppliers!E63="Semi-annual",IF(MOD((YEAR(EDATE(DATE(YEAR(TODAY()),MONTH(TODAY()),1),22))-YEAR(IF(ISNUMBER(Suppliers!F63),Suppliers!F63,DATE(YEAR(TODAY()),MONTH(TODAY()),1))))*12+MONTH(EDATE(DATE(YEAR(TODAY()),MONTH(TODAY()),1),22))-MONTH(IF(ISNUMBER(Suppliers!F63),Suppliers!F63,DATE(YEAR(TODAY()),MONTH(TODAY()),1))),6)=0,1,0),IF(Suppliers!E63="Annual",IF(MOD((YEAR(EDATE(DATE(YEAR(TODAY()),MONTH(TODAY()),1),22))-YEAR(IF(ISNUMBER(Suppliers!F63),Suppliers!F63,DATE(YEAR(TODAY()),MONTH(TODAY()),1))))*12+MONTH(EDATE(DATE(YEAR(TODAY()),MONTH(TODAY()),1),22))-MONTH(IF(ISNUMBER(Suppliers!F63),Suppliers!F63,DATE(YEAR(TODAY()),MONTH(TODAY()),1))),12)=0,1,0),IF(Suppliers!E63="One-time",IF(22=0,1,0),1)))))),"")</f>
        <v/>
      </c>
      <c r="AC65" s="10" t="str">
        <f ca="1">IFERROR(IF(OR(23&gt;=$B$1,Suppliers!A63="",NOT(ISNUMBER(Suppliers!D63)),Suppliers!L63="Expired",Suppliers!L63="Terminate"),"",Suppliers!D63*-1*IF(Suppliers!E63="Monthly",IF(AND(ISNUMBER(Suppliers!G63),(YEAR(EDATE(DATE(YEAR(TODAY()),MONTH(TODAY()),1),23))*12+MONTH(EDATE(DATE(YEAR(TODAY()),MONTH(TODAY()),1),23)))&gt;(YEAR(Suppliers!G63)*12+MONTH(Suppliers!G63))),"",1),IF(Suppliers!E63="Quarterly",IF(MOD((YEAR(EDATE(DATE(YEAR(TODAY()),MONTH(TODAY()),1),23))-YEAR(IF(ISNUMBER(Suppliers!F63),Suppliers!F63,DATE(YEAR(TODAY()),MONTH(TODAY()),1))))*12+MONTH(EDATE(DATE(YEAR(TODAY()),MONTH(TODAY()),1),23))-MONTH(IF(ISNUMBER(Suppliers!F63),Suppliers!F63,DATE(YEAR(TODAY()),MONTH(TODAY()),1))),3)=0,1,0),IF(Suppliers!E63="Semi-annual",IF(MOD((YEAR(EDATE(DATE(YEAR(TODAY()),MONTH(TODAY()),1),23))-YEAR(IF(ISNUMBER(Suppliers!F63),Suppliers!F63,DATE(YEAR(TODAY()),MONTH(TODAY()),1))))*12+MONTH(EDATE(DATE(YEAR(TODAY()),MONTH(TODAY()),1),23))-MONTH(IF(ISNUMBER(Suppliers!F63),Suppliers!F63,DATE(YEAR(TODAY()),MONTH(TODAY()),1))),6)=0,1,0),IF(Suppliers!E63="Annual",IF(MOD((YEAR(EDATE(DATE(YEAR(TODAY()),MONTH(TODAY()),1),23))-YEAR(IF(ISNUMBER(Suppliers!F63),Suppliers!F63,DATE(YEAR(TODAY()),MONTH(TODAY()),1))))*12+MONTH(EDATE(DATE(YEAR(TODAY()),MONTH(TODAY()),1),23))-MONTH(IF(ISNUMBER(Suppliers!F63),Suppliers!F63,DATE(YEAR(TODAY()),MONTH(TODAY()),1))),12)=0,1,0),IF(Suppliers!E63="One-time",IF(23=0,1,0),1)))))),"")</f>
        <v/>
      </c>
    </row>
    <row r="66" spans="1:29" ht="15" customHeight="1" x14ac:dyDescent="0.35">
      <c r="A66" s="4" t="s">
        <v>80</v>
      </c>
      <c r="B66" s="4" t="str">
        <f>IF(Suppliers!A64="","",Suppliers!A64)</f>
        <v/>
      </c>
      <c r="C66" s="10" t="str">
        <f>IF(Suppliers!C64="","",Suppliers!C64)</f>
        <v/>
      </c>
      <c r="D66" s="10" t="str">
        <f>IF(Suppliers!D64="","",Suppliers!D64)</f>
        <v/>
      </c>
      <c r="E66" s="4" t="str">
        <f>IF(Suppliers!E64="","",Suppliers!E64)</f>
        <v/>
      </c>
      <c r="F66" s="10" t="str">
        <f ca="1">IFERROR(IF(OR(0&gt;=$B$1,Suppliers!A64="",NOT(ISNUMBER(Suppliers!D64)),Suppliers!L64="Expired",Suppliers!L64="Terminate"),"",Suppliers!D64*-1*IF(Suppliers!E64="Monthly",IF(AND(ISNUMBER(Suppliers!G64),(YEAR(EDATE(DATE(YEAR(TODAY()),MONTH(TODAY()),1),0))*12+MONTH(EDATE(DATE(YEAR(TODAY()),MONTH(TODAY()),1),0)))&gt;(YEAR(Suppliers!G64)*12+MONTH(Suppliers!G64))),"",1),IF(Suppliers!E64="Quarterly",IF(MOD((YEAR(EDATE(DATE(YEAR(TODAY()),MONTH(TODAY()),1),0))-YEAR(IF(ISNUMBER(Suppliers!F64),Suppliers!F64,DATE(YEAR(TODAY()),MONTH(TODAY()),1))))*12+MONTH(EDATE(DATE(YEAR(TODAY()),MONTH(TODAY()),1),0))-MONTH(IF(ISNUMBER(Suppliers!F64),Suppliers!F64,DATE(YEAR(TODAY()),MONTH(TODAY()),1))),3)=0,1,0),IF(Suppliers!E64="Semi-annual",IF(MOD((YEAR(EDATE(DATE(YEAR(TODAY()),MONTH(TODAY()),1),0))-YEAR(IF(ISNUMBER(Suppliers!F64),Suppliers!F64,DATE(YEAR(TODAY()),MONTH(TODAY()),1))))*12+MONTH(EDATE(DATE(YEAR(TODAY()),MONTH(TODAY()),1),0))-MONTH(IF(ISNUMBER(Suppliers!F64),Suppliers!F64,DATE(YEAR(TODAY()),MONTH(TODAY()),1))),6)=0,1,0),IF(Suppliers!E64="Annual",IF(MOD((YEAR(EDATE(DATE(YEAR(TODAY()),MONTH(TODAY()),1),0))-YEAR(IF(ISNUMBER(Suppliers!F64),Suppliers!F64,DATE(YEAR(TODAY()),MONTH(TODAY()),1))))*12+MONTH(EDATE(DATE(YEAR(TODAY()),MONTH(TODAY()),1),0))-MONTH(IF(ISNUMBER(Suppliers!F64),Suppliers!F64,DATE(YEAR(TODAY()),MONTH(TODAY()),1))),12)=0,1,0),IF(Suppliers!E64="One-time",IF(0=0,1,0),1)))))),"")</f>
        <v/>
      </c>
      <c r="G66" s="10" t="str">
        <f ca="1">IFERROR(IF(OR(1&gt;=$B$1,Suppliers!A64="",NOT(ISNUMBER(Suppliers!D64)),Suppliers!L64="Expired",Suppliers!L64="Terminate"),"",Suppliers!D64*-1*IF(Suppliers!E64="Monthly",IF(AND(ISNUMBER(Suppliers!G64),(YEAR(EDATE(DATE(YEAR(TODAY()),MONTH(TODAY()),1),1))*12+MONTH(EDATE(DATE(YEAR(TODAY()),MONTH(TODAY()),1),1)))&gt;(YEAR(Suppliers!G64)*12+MONTH(Suppliers!G64))),"",1),IF(Suppliers!E64="Quarterly",IF(MOD((YEAR(EDATE(DATE(YEAR(TODAY()),MONTH(TODAY()),1),1))-YEAR(IF(ISNUMBER(Suppliers!F64),Suppliers!F64,DATE(YEAR(TODAY()),MONTH(TODAY()),1))))*12+MONTH(EDATE(DATE(YEAR(TODAY()),MONTH(TODAY()),1),1))-MONTH(IF(ISNUMBER(Suppliers!F64),Suppliers!F64,DATE(YEAR(TODAY()),MONTH(TODAY()),1))),3)=0,1,0),IF(Suppliers!E64="Semi-annual",IF(MOD((YEAR(EDATE(DATE(YEAR(TODAY()),MONTH(TODAY()),1),1))-YEAR(IF(ISNUMBER(Suppliers!F64),Suppliers!F64,DATE(YEAR(TODAY()),MONTH(TODAY()),1))))*12+MONTH(EDATE(DATE(YEAR(TODAY()),MONTH(TODAY()),1),1))-MONTH(IF(ISNUMBER(Suppliers!F64),Suppliers!F64,DATE(YEAR(TODAY()),MONTH(TODAY()),1))),6)=0,1,0),IF(Suppliers!E64="Annual",IF(MOD((YEAR(EDATE(DATE(YEAR(TODAY()),MONTH(TODAY()),1),1))-YEAR(IF(ISNUMBER(Suppliers!F64),Suppliers!F64,DATE(YEAR(TODAY()),MONTH(TODAY()),1))))*12+MONTH(EDATE(DATE(YEAR(TODAY()),MONTH(TODAY()),1),1))-MONTH(IF(ISNUMBER(Suppliers!F64),Suppliers!F64,DATE(YEAR(TODAY()),MONTH(TODAY()),1))),12)=0,1,0),IF(Suppliers!E64="One-time",IF(1=0,1,0),1)))))),"")</f>
        <v/>
      </c>
      <c r="H66" s="10" t="str">
        <f ca="1">IFERROR(IF(OR(2&gt;=$B$1,Suppliers!A64="",NOT(ISNUMBER(Suppliers!D64)),Suppliers!L64="Expired",Suppliers!L64="Terminate"),"",Suppliers!D64*-1*IF(Suppliers!E64="Monthly",IF(AND(ISNUMBER(Suppliers!G64),(YEAR(EDATE(DATE(YEAR(TODAY()),MONTH(TODAY()),1),2))*12+MONTH(EDATE(DATE(YEAR(TODAY()),MONTH(TODAY()),1),2)))&gt;(YEAR(Suppliers!G64)*12+MONTH(Suppliers!G64))),"",1),IF(Suppliers!E64="Quarterly",IF(MOD((YEAR(EDATE(DATE(YEAR(TODAY()),MONTH(TODAY()),1),2))-YEAR(IF(ISNUMBER(Suppliers!F64),Suppliers!F64,DATE(YEAR(TODAY()),MONTH(TODAY()),1))))*12+MONTH(EDATE(DATE(YEAR(TODAY()),MONTH(TODAY()),1),2))-MONTH(IF(ISNUMBER(Suppliers!F64),Suppliers!F64,DATE(YEAR(TODAY()),MONTH(TODAY()),1))),3)=0,1,0),IF(Suppliers!E64="Semi-annual",IF(MOD((YEAR(EDATE(DATE(YEAR(TODAY()),MONTH(TODAY()),1),2))-YEAR(IF(ISNUMBER(Suppliers!F64),Suppliers!F64,DATE(YEAR(TODAY()),MONTH(TODAY()),1))))*12+MONTH(EDATE(DATE(YEAR(TODAY()),MONTH(TODAY()),1),2))-MONTH(IF(ISNUMBER(Suppliers!F64),Suppliers!F64,DATE(YEAR(TODAY()),MONTH(TODAY()),1))),6)=0,1,0),IF(Suppliers!E64="Annual",IF(MOD((YEAR(EDATE(DATE(YEAR(TODAY()),MONTH(TODAY()),1),2))-YEAR(IF(ISNUMBER(Suppliers!F64),Suppliers!F64,DATE(YEAR(TODAY()),MONTH(TODAY()),1))))*12+MONTH(EDATE(DATE(YEAR(TODAY()),MONTH(TODAY()),1),2))-MONTH(IF(ISNUMBER(Suppliers!F64),Suppliers!F64,DATE(YEAR(TODAY()),MONTH(TODAY()),1))),12)=0,1,0),IF(Suppliers!E64="One-time",IF(2=0,1,0),1)))))),"")</f>
        <v/>
      </c>
      <c r="I66" s="10" t="str">
        <f ca="1">IFERROR(IF(OR(3&gt;=$B$1,Suppliers!A64="",NOT(ISNUMBER(Suppliers!D64)),Suppliers!L64="Expired",Suppliers!L64="Terminate"),"",Suppliers!D64*-1*IF(Suppliers!E64="Monthly",IF(AND(ISNUMBER(Suppliers!G64),(YEAR(EDATE(DATE(YEAR(TODAY()),MONTH(TODAY()),1),3))*12+MONTH(EDATE(DATE(YEAR(TODAY()),MONTH(TODAY()),1),3)))&gt;(YEAR(Suppliers!G64)*12+MONTH(Suppliers!G64))),"",1),IF(Suppliers!E64="Quarterly",IF(MOD((YEAR(EDATE(DATE(YEAR(TODAY()),MONTH(TODAY()),1),3))-YEAR(IF(ISNUMBER(Suppliers!F64),Suppliers!F64,DATE(YEAR(TODAY()),MONTH(TODAY()),1))))*12+MONTH(EDATE(DATE(YEAR(TODAY()),MONTH(TODAY()),1),3))-MONTH(IF(ISNUMBER(Suppliers!F64),Suppliers!F64,DATE(YEAR(TODAY()),MONTH(TODAY()),1))),3)=0,1,0),IF(Suppliers!E64="Semi-annual",IF(MOD((YEAR(EDATE(DATE(YEAR(TODAY()),MONTH(TODAY()),1),3))-YEAR(IF(ISNUMBER(Suppliers!F64),Suppliers!F64,DATE(YEAR(TODAY()),MONTH(TODAY()),1))))*12+MONTH(EDATE(DATE(YEAR(TODAY()),MONTH(TODAY()),1),3))-MONTH(IF(ISNUMBER(Suppliers!F64),Suppliers!F64,DATE(YEAR(TODAY()),MONTH(TODAY()),1))),6)=0,1,0),IF(Suppliers!E64="Annual",IF(MOD((YEAR(EDATE(DATE(YEAR(TODAY()),MONTH(TODAY()),1),3))-YEAR(IF(ISNUMBER(Suppliers!F64),Suppliers!F64,DATE(YEAR(TODAY()),MONTH(TODAY()),1))))*12+MONTH(EDATE(DATE(YEAR(TODAY()),MONTH(TODAY()),1),3))-MONTH(IF(ISNUMBER(Suppliers!F64),Suppliers!F64,DATE(YEAR(TODAY()),MONTH(TODAY()),1))),12)=0,1,0),IF(Suppliers!E64="One-time",IF(3=0,1,0),1)))))),"")</f>
        <v/>
      </c>
      <c r="J66" s="10" t="str">
        <f ca="1">IFERROR(IF(OR(4&gt;=$B$1,Suppliers!A64="",NOT(ISNUMBER(Suppliers!D64)),Suppliers!L64="Expired",Suppliers!L64="Terminate"),"",Suppliers!D64*-1*IF(Suppliers!E64="Monthly",IF(AND(ISNUMBER(Suppliers!G64),(YEAR(EDATE(DATE(YEAR(TODAY()),MONTH(TODAY()),1),4))*12+MONTH(EDATE(DATE(YEAR(TODAY()),MONTH(TODAY()),1),4)))&gt;(YEAR(Suppliers!G64)*12+MONTH(Suppliers!G64))),"",1),IF(Suppliers!E64="Quarterly",IF(MOD((YEAR(EDATE(DATE(YEAR(TODAY()),MONTH(TODAY()),1),4))-YEAR(IF(ISNUMBER(Suppliers!F64),Suppliers!F64,DATE(YEAR(TODAY()),MONTH(TODAY()),1))))*12+MONTH(EDATE(DATE(YEAR(TODAY()),MONTH(TODAY()),1),4))-MONTH(IF(ISNUMBER(Suppliers!F64),Suppliers!F64,DATE(YEAR(TODAY()),MONTH(TODAY()),1))),3)=0,1,0),IF(Suppliers!E64="Semi-annual",IF(MOD((YEAR(EDATE(DATE(YEAR(TODAY()),MONTH(TODAY()),1),4))-YEAR(IF(ISNUMBER(Suppliers!F64),Suppliers!F64,DATE(YEAR(TODAY()),MONTH(TODAY()),1))))*12+MONTH(EDATE(DATE(YEAR(TODAY()),MONTH(TODAY()),1),4))-MONTH(IF(ISNUMBER(Suppliers!F64),Suppliers!F64,DATE(YEAR(TODAY()),MONTH(TODAY()),1))),6)=0,1,0),IF(Suppliers!E64="Annual",IF(MOD((YEAR(EDATE(DATE(YEAR(TODAY()),MONTH(TODAY()),1),4))-YEAR(IF(ISNUMBER(Suppliers!F64),Suppliers!F64,DATE(YEAR(TODAY()),MONTH(TODAY()),1))))*12+MONTH(EDATE(DATE(YEAR(TODAY()),MONTH(TODAY()),1),4))-MONTH(IF(ISNUMBER(Suppliers!F64),Suppliers!F64,DATE(YEAR(TODAY()),MONTH(TODAY()),1))),12)=0,1,0),IF(Suppliers!E64="One-time",IF(4=0,1,0),1)))))),"")</f>
        <v/>
      </c>
      <c r="K66" s="10" t="str">
        <f ca="1">IFERROR(IF(OR(5&gt;=$B$1,Suppliers!A64="",NOT(ISNUMBER(Suppliers!D64)),Suppliers!L64="Expired",Suppliers!L64="Terminate"),"",Suppliers!D64*-1*IF(Suppliers!E64="Monthly",IF(AND(ISNUMBER(Suppliers!G64),(YEAR(EDATE(DATE(YEAR(TODAY()),MONTH(TODAY()),1),5))*12+MONTH(EDATE(DATE(YEAR(TODAY()),MONTH(TODAY()),1),5)))&gt;(YEAR(Suppliers!G64)*12+MONTH(Suppliers!G64))),"",1),IF(Suppliers!E64="Quarterly",IF(MOD((YEAR(EDATE(DATE(YEAR(TODAY()),MONTH(TODAY()),1),5))-YEAR(IF(ISNUMBER(Suppliers!F64),Suppliers!F64,DATE(YEAR(TODAY()),MONTH(TODAY()),1))))*12+MONTH(EDATE(DATE(YEAR(TODAY()),MONTH(TODAY()),1),5))-MONTH(IF(ISNUMBER(Suppliers!F64),Suppliers!F64,DATE(YEAR(TODAY()),MONTH(TODAY()),1))),3)=0,1,0),IF(Suppliers!E64="Semi-annual",IF(MOD((YEAR(EDATE(DATE(YEAR(TODAY()),MONTH(TODAY()),1),5))-YEAR(IF(ISNUMBER(Suppliers!F64),Suppliers!F64,DATE(YEAR(TODAY()),MONTH(TODAY()),1))))*12+MONTH(EDATE(DATE(YEAR(TODAY()),MONTH(TODAY()),1),5))-MONTH(IF(ISNUMBER(Suppliers!F64),Suppliers!F64,DATE(YEAR(TODAY()),MONTH(TODAY()),1))),6)=0,1,0),IF(Suppliers!E64="Annual",IF(MOD((YEAR(EDATE(DATE(YEAR(TODAY()),MONTH(TODAY()),1),5))-YEAR(IF(ISNUMBER(Suppliers!F64),Suppliers!F64,DATE(YEAR(TODAY()),MONTH(TODAY()),1))))*12+MONTH(EDATE(DATE(YEAR(TODAY()),MONTH(TODAY()),1),5))-MONTH(IF(ISNUMBER(Suppliers!F64),Suppliers!F64,DATE(YEAR(TODAY()),MONTH(TODAY()),1))),12)=0,1,0),IF(Suppliers!E64="One-time",IF(5=0,1,0),1)))))),"")</f>
        <v/>
      </c>
      <c r="L66" s="10" t="str">
        <f ca="1">IFERROR(IF(OR(6&gt;=$B$1,Suppliers!A64="",NOT(ISNUMBER(Suppliers!D64)),Suppliers!L64="Expired",Suppliers!L64="Terminate"),"",Suppliers!D64*-1*IF(Suppliers!E64="Monthly",IF(AND(ISNUMBER(Suppliers!G64),(YEAR(EDATE(DATE(YEAR(TODAY()),MONTH(TODAY()),1),6))*12+MONTH(EDATE(DATE(YEAR(TODAY()),MONTH(TODAY()),1),6)))&gt;(YEAR(Suppliers!G64)*12+MONTH(Suppliers!G64))),"",1),IF(Suppliers!E64="Quarterly",IF(MOD((YEAR(EDATE(DATE(YEAR(TODAY()),MONTH(TODAY()),1),6))-YEAR(IF(ISNUMBER(Suppliers!F64),Suppliers!F64,DATE(YEAR(TODAY()),MONTH(TODAY()),1))))*12+MONTH(EDATE(DATE(YEAR(TODAY()),MONTH(TODAY()),1),6))-MONTH(IF(ISNUMBER(Suppliers!F64),Suppliers!F64,DATE(YEAR(TODAY()),MONTH(TODAY()),1))),3)=0,1,0),IF(Suppliers!E64="Semi-annual",IF(MOD((YEAR(EDATE(DATE(YEAR(TODAY()),MONTH(TODAY()),1),6))-YEAR(IF(ISNUMBER(Suppliers!F64),Suppliers!F64,DATE(YEAR(TODAY()),MONTH(TODAY()),1))))*12+MONTH(EDATE(DATE(YEAR(TODAY()),MONTH(TODAY()),1),6))-MONTH(IF(ISNUMBER(Suppliers!F64),Suppliers!F64,DATE(YEAR(TODAY()),MONTH(TODAY()),1))),6)=0,1,0),IF(Suppliers!E64="Annual",IF(MOD((YEAR(EDATE(DATE(YEAR(TODAY()),MONTH(TODAY()),1),6))-YEAR(IF(ISNUMBER(Suppliers!F64),Suppliers!F64,DATE(YEAR(TODAY()),MONTH(TODAY()),1))))*12+MONTH(EDATE(DATE(YEAR(TODAY()),MONTH(TODAY()),1),6))-MONTH(IF(ISNUMBER(Suppliers!F64),Suppliers!F64,DATE(YEAR(TODAY()),MONTH(TODAY()),1))),12)=0,1,0),IF(Suppliers!E64="One-time",IF(6=0,1,0),1)))))),"")</f>
        <v/>
      </c>
      <c r="M66" s="10" t="str">
        <f ca="1">IFERROR(IF(OR(7&gt;=$B$1,Suppliers!A64="",NOT(ISNUMBER(Suppliers!D64)),Suppliers!L64="Expired",Suppliers!L64="Terminate"),"",Suppliers!D64*-1*IF(Suppliers!E64="Monthly",IF(AND(ISNUMBER(Suppliers!G64),(YEAR(EDATE(DATE(YEAR(TODAY()),MONTH(TODAY()),1),7))*12+MONTH(EDATE(DATE(YEAR(TODAY()),MONTH(TODAY()),1),7)))&gt;(YEAR(Suppliers!G64)*12+MONTH(Suppliers!G64))),"",1),IF(Suppliers!E64="Quarterly",IF(MOD((YEAR(EDATE(DATE(YEAR(TODAY()),MONTH(TODAY()),1),7))-YEAR(IF(ISNUMBER(Suppliers!F64),Suppliers!F64,DATE(YEAR(TODAY()),MONTH(TODAY()),1))))*12+MONTH(EDATE(DATE(YEAR(TODAY()),MONTH(TODAY()),1),7))-MONTH(IF(ISNUMBER(Suppliers!F64),Suppliers!F64,DATE(YEAR(TODAY()),MONTH(TODAY()),1))),3)=0,1,0),IF(Suppliers!E64="Semi-annual",IF(MOD((YEAR(EDATE(DATE(YEAR(TODAY()),MONTH(TODAY()),1),7))-YEAR(IF(ISNUMBER(Suppliers!F64),Suppliers!F64,DATE(YEAR(TODAY()),MONTH(TODAY()),1))))*12+MONTH(EDATE(DATE(YEAR(TODAY()),MONTH(TODAY()),1),7))-MONTH(IF(ISNUMBER(Suppliers!F64),Suppliers!F64,DATE(YEAR(TODAY()),MONTH(TODAY()),1))),6)=0,1,0),IF(Suppliers!E64="Annual",IF(MOD((YEAR(EDATE(DATE(YEAR(TODAY()),MONTH(TODAY()),1),7))-YEAR(IF(ISNUMBER(Suppliers!F64),Suppliers!F64,DATE(YEAR(TODAY()),MONTH(TODAY()),1))))*12+MONTH(EDATE(DATE(YEAR(TODAY()),MONTH(TODAY()),1),7))-MONTH(IF(ISNUMBER(Suppliers!F64),Suppliers!F64,DATE(YEAR(TODAY()),MONTH(TODAY()),1))),12)=0,1,0),IF(Suppliers!E64="One-time",IF(7=0,1,0),1)))))),"")</f>
        <v/>
      </c>
      <c r="N66" s="10" t="str">
        <f ca="1">IFERROR(IF(OR(8&gt;=$B$1,Suppliers!A64="",NOT(ISNUMBER(Suppliers!D64)),Suppliers!L64="Expired",Suppliers!L64="Terminate"),"",Suppliers!D64*-1*IF(Suppliers!E64="Monthly",IF(AND(ISNUMBER(Suppliers!G64),(YEAR(EDATE(DATE(YEAR(TODAY()),MONTH(TODAY()),1),8))*12+MONTH(EDATE(DATE(YEAR(TODAY()),MONTH(TODAY()),1),8)))&gt;(YEAR(Suppliers!G64)*12+MONTH(Suppliers!G64))),"",1),IF(Suppliers!E64="Quarterly",IF(MOD((YEAR(EDATE(DATE(YEAR(TODAY()),MONTH(TODAY()),1),8))-YEAR(IF(ISNUMBER(Suppliers!F64),Suppliers!F64,DATE(YEAR(TODAY()),MONTH(TODAY()),1))))*12+MONTH(EDATE(DATE(YEAR(TODAY()),MONTH(TODAY()),1),8))-MONTH(IF(ISNUMBER(Suppliers!F64),Suppliers!F64,DATE(YEAR(TODAY()),MONTH(TODAY()),1))),3)=0,1,0),IF(Suppliers!E64="Semi-annual",IF(MOD((YEAR(EDATE(DATE(YEAR(TODAY()),MONTH(TODAY()),1),8))-YEAR(IF(ISNUMBER(Suppliers!F64),Suppliers!F64,DATE(YEAR(TODAY()),MONTH(TODAY()),1))))*12+MONTH(EDATE(DATE(YEAR(TODAY()),MONTH(TODAY()),1),8))-MONTH(IF(ISNUMBER(Suppliers!F64),Suppliers!F64,DATE(YEAR(TODAY()),MONTH(TODAY()),1))),6)=0,1,0),IF(Suppliers!E64="Annual",IF(MOD((YEAR(EDATE(DATE(YEAR(TODAY()),MONTH(TODAY()),1),8))-YEAR(IF(ISNUMBER(Suppliers!F64),Suppliers!F64,DATE(YEAR(TODAY()),MONTH(TODAY()),1))))*12+MONTH(EDATE(DATE(YEAR(TODAY()),MONTH(TODAY()),1),8))-MONTH(IF(ISNUMBER(Suppliers!F64),Suppliers!F64,DATE(YEAR(TODAY()),MONTH(TODAY()),1))),12)=0,1,0),IF(Suppliers!E64="One-time",IF(8=0,1,0),1)))))),"")</f>
        <v/>
      </c>
      <c r="O66" s="10" t="str">
        <f ca="1">IFERROR(IF(OR(9&gt;=$B$1,Suppliers!A64="",NOT(ISNUMBER(Suppliers!D64)),Suppliers!L64="Expired",Suppliers!L64="Terminate"),"",Suppliers!D64*-1*IF(Suppliers!E64="Monthly",IF(AND(ISNUMBER(Suppliers!G64),(YEAR(EDATE(DATE(YEAR(TODAY()),MONTH(TODAY()),1),9))*12+MONTH(EDATE(DATE(YEAR(TODAY()),MONTH(TODAY()),1),9)))&gt;(YEAR(Suppliers!G64)*12+MONTH(Suppliers!G64))),"",1),IF(Suppliers!E64="Quarterly",IF(MOD((YEAR(EDATE(DATE(YEAR(TODAY()),MONTH(TODAY()),1),9))-YEAR(IF(ISNUMBER(Suppliers!F64),Suppliers!F64,DATE(YEAR(TODAY()),MONTH(TODAY()),1))))*12+MONTH(EDATE(DATE(YEAR(TODAY()),MONTH(TODAY()),1),9))-MONTH(IF(ISNUMBER(Suppliers!F64),Suppliers!F64,DATE(YEAR(TODAY()),MONTH(TODAY()),1))),3)=0,1,0),IF(Suppliers!E64="Semi-annual",IF(MOD((YEAR(EDATE(DATE(YEAR(TODAY()),MONTH(TODAY()),1),9))-YEAR(IF(ISNUMBER(Suppliers!F64),Suppliers!F64,DATE(YEAR(TODAY()),MONTH(TODAY()),1))))*12+MONTH(EDATE(DATE(YEAR(TODAY()),MONTH(TODAY()),1),9))-MONTH(IF(ISNUMBER(Suppliers!F64),Suppliers!F64,DATE(YEAR(TODAY()),MONTH(TODAY()),1))),6)=0,1,0),IF(Suppliers!E64="Annual",IF(MOD((YEAR(EDATE(DATE(YEAR(TODAY()),MONTH(TODAY()),1),9))-YEAR(IF(ISNUMBER(Suppliers!F64),Suppliers!F64,DATE(YEAR(TODAY()),MONTH(TODAY()),1))))*12+MONTH(EDATE(DATE(YEAR(TODAY()),MONTH(TODAY()),1),9))-MONTH(IF(ISNUMBER(Suppliers!F64),Suppliers!F64,DATE(YEAR(TODAY()),MONTH(TODAY()),1))),12)=0,1,0),IF(Suppliers!E64="One-time",IF(9=0,1,0),1)))))),"")</f>
        <v/>
      </c>
      <c r="P66" s="10" t="str">
        <f ca="1">IFERROR(IF(OR(10&gt;=$B$1,Suppliers!A64="",NOT(ISNUMBER(Suppliers!D64)),Suppliers!L64="Expired",Suppliers!L64="Terminate"),"",Suppliers!D64*-1*IF(Suppliers!E64="Monthly",IF(AND(ISNUMBER(Suppliers!G64),(YEAR(EDATE(DATE(YEAR(TODAY()),MONTH(TODAY()),1),10))*12+MONTH(EDATE(DATE(YEAR(TODAY()),MONTH(TODAY()),1),10)))&gt;(YEAR(Suppliers!G64)*12+MONTH(Suppliers!G64))),"",1),IF(Suppliers!E64="Quarterly",IF(MOD((YEAR(EDATE(DATE(YEAR(TODAY()),MONTH(TODAY()),1),10))-YEAR(IF(ISNUMBER(Suppliers!F64),Suppliers!F64,DATE(YEAR(TODAY()),MONTH(TODAY()),1))))*12+MONTH(EDATE(DATE(YEAR(TODAY()),MONTH(TODAY()),1),10))-MONTH(IF(ISNUMBER(Suppliers!F64),Suppliers!F64,DATE(YEAR(TODAY()),MONTH(TODAY()),1))),3)=0,1,0),IF(Suppliers!E64="Semi-annual",IF(MOD((YEAR(EDATE(DATE(YEAR(TODAY()),MONTH(TODAY()),1),10))-YEAR(IF(ISNUMBER(Suppliers!F64),Suppliers!F64,DATE(YEAR(TODAY()),MONTH(TODAY()),1))))*12+MONTH(EDATE(DATE(YEAR(TODAY()),MONTH(TODAY()),1),10))-MONTH(IF(ISNUMBER(Suppliers!F64),Suppliers!F64,DATE(YEAR(TODAY()),MONTH(TODAY()),1))),6)=0,1,0),IF(Suppliers!E64="Annual",IF(MOD((YEAR(EDATE(DATE(YEAR(TODAY()),MONTH(TODAY()),1),10))-YEAR(IF(ISNUMBER(Suppliers!F64),Suppliers!F64,DATE(YEAR(TODAY()),MONTH(TODAY()),1))))*12+MONTH(EDATE(DATE(YEAR(TODAY()),MONTH(TODAY()),1),10))-MONTH(IF(ISNUMBER(Suppliers!F64),Suppliers!F64,DATE(YEAR(TODAY()),MONTH(TODAY()),1))),12)=0,1,0),IF(Suppliers!E64="One-time",IF(10=0,1,0),1)))))),"")</f>
        <v/>
      </c>
      <c r="Q66" s="10" t="str">
        <f ca="1">IFERROR(IF(OR(11&gt;=$B$1,Suppliers!A64="",NOT(ISNUMBER(Suppliers!D64)),Suppliers!L64="Expired",Suppliers!L64="Terminate"),"",Suppliers!D64*-1*IF(Suppliers!E64="Monthly",IF(AND(ISNUMBER(Suppliers!G64),(YEAR(EDATE(DATE(YEAR(TODAY()),MONTH(TODAY()),1),11))*12+MONTH(EDATE(DATE(YEAR(TODAY()),MONTH(TODAY()),1),11)))&gt;(YEAR(Suppliers!G64)*12+MONTH(Suppliers!G64))),"",1),IF(Suppliers!E64="Quarterly",IF(MOD((YEAR(EDATE(DATE(YEAR(TODAY()),MONTH(TODAY()),1),11))-YEAR(IF(ISNUMBER(Suppliers!F64),Suppliers!F64,DATE(YEAR(TODAY()),MONTH(TODAY()),1))))*12+MONTH(EDATE(DATE(YEAR(TODAY()),MONTH(TODAY()),1),11))-MONTH(IF(ISNUMBER(Suppliers!F64),Suppliers!F64,DATE(YEAR(TODAY()),MONTH(TODAY()),1))),3)=0,1,0),IF(Suppliers!E64="Semi-annual",IF(MOD((YEAR(EDATE(DATE(YEAR(TODAY()),MONTH(TODAY()),1),11))-YEAR(IF(ISNUMBER(Suppliers!F64),Suppliers!F64,DATE(YEAR(TODAY()),MONTH(TODAY()),1))))*12+MONTH(EDATE(DATE(YEAR(TODAY()),MONTH(TODAY()),1),11))-MONTH(IF(ISNUMBER(Suppliers!F64),Suppliers!F64,DATE(YEAR(TODAY()),MONTH(TODAY()),1))),6)=0,1,0),IF(Suppliers!E64="Annual",IF(MOD((YEAR(EDATE(DATE(YEAR(TODAY()),MONTH(TODAY()),1),11))-YEAR(IF(ISNUMBER(Suppliers!F64),Suppliers!F64,DATE(YEAR(TODAY()),MONTH(TODAY()),1))))*12+MONTH(EDATE(DATE(YEAR(TODAY()),MONTH(TODAY()),1),11))-MONTH(IF(ISNUMBER(Suppliers!F64),Suppliers!F64,DATE(YEAR(TODAY()),MONTH(TODAY()),1))),12)=0,1,0),IF(Suppliers!E64="One-time",IF(11=0,1,0),1)))))),"")</f>
        <v/>
      </c>
      <c r="R66" s="10" t="str">
        <f ca="1">IFERROR(IF(OR(12&gt;=$B$1,Suppliers!A64="",NOT(ISNUMBER(Suppliers!D64)),Suppliers!L64="Expired",Suppliers!L64="Terminate"),"",Suppliers!D64*-1*IF(Suppliers!E64="Monthly",IF(AND(ISNUMBER(Suppliers!G64),(YEAR(EDATE(DATE(YEAR(TODAY()),MONTH(TODAY()),1),12))*12+MONTH(EDATE(DATE(YEAR(TODAY()),MONTH(TODAY()),1),12)))&gt;(YEAR(Suppliers!G64)*12+MONTH(Suppliers!G64))),"",1),IF(Suppliers!E64="Quarterly",IF(MOD((YEAR(EDATE(DATE(YEAR(TODAY()),MONTH(TODAY()),1),12))-YEAR(IF(ISNUMBER(Suppliers!F64),Suppliers!F64,DATE(YEAR(TODAY()),MONTH(TODAY()),1))))*12+MONTH(EDATE(DATE(YEAR(TODAY()),MONTH(TODAY()),1),12))-MONTH(IF(ISNUMBER(Suppliers!F64),Suppliers!F64,DATE(YEAR(TODAY()),MONTH(TODAY()),1))),3)=0,1,0),IF(Suppliers!E64="Semi-annual",IF(MOD((YEAR(EDATE(DATE(YEAR(TODAY()),MONTH(TODAY()),1),12))-YEAR(IF(ISNUMBER(Suppliers!F64),Suppliers!F64,DATE(YEAR(TODAY()),MONTH(TODAY()),1))))*12+MONTH(EDATE(DATE(YEAR(TODAY()),MONTH(TODAY()),1),12))-MONTH(IF(ISNUMBER(Suppliers!F64),Suppliers!F64,DATE(YEAR(TODAY()),MONTH(TODAY()),1))),6)=0,1,0),IF(Suppliers!E64="Annual",IF(MOD((YEAR(EDATE(DATE(YEAR(TODAY()),MONTH(TODAY()),1),12))-YEAR(IF(ISNUMBER(Suppliers!F64),Suppliers!F64,DATE(YEAR(TODAY()),MONTH(TODAY()),1))))*12+MONTH(EDATE(DATE(YEAR(TODAY()),MONTH(TODAY()),1),12))-MONTH(IF(ISNUMBER(Suppliers!F64),Suppliers!F64,DATE(YEAR(TODAY()),MONTH(TODAY()),1))),12)=0,1,0),IF(Suppliers!E64="One-time",IF(12=0,1,0),1)))))),"")</f>
        <v/>
      </c>
      <c r="S66" s="10" t="str">
        <f ca="1">IFERROR(IF(OR(13&gt;=$B$1,Suppliers!A64="",NOT(ISNUMBER(Suppliers!D64)),Suppliers!L64="Expired",Suppliers!L64="Terminate"),"",Suppliers!D64*-1*IF(Suppliers!E64="Monthly",IF(AND(ISNUMBER(Suppliers!G64),(YEAR(EDATE(DATE(YEAR(TODAY()),MONTH(TODAY()),1),13))*12+MONTH(EDATE(DATE(YEAR(TODAY()),MONTH(TODAY()),1),13)))&gt;(YEAR(Suppliers!G64)*12+MONTH(Suppliers!G64))),"",1),IF(Suppliers!E64="Quarterly",IF(MOD((YEAR(EDATE(DATE(YEAR(TODAY()),MONTH(TODAY()),1),13))-YEAR(IF(ISNUMBER(Suppliers!F64),Suppliers!F64,DATE(YEAR(TODAY()),MONTH(TODAY()),1))))*12+MONTH(EDATE(DATE(YEAR(TODAY()),MONTH(TODAY()),1),13))-MONTH(IF(ISNUMBER(Suppliers!F64),Suppliers!F64,DATE(YEAR(TODAY()),MONTH(TODAY()),1))),3)=0,1,0),IF(Suppliers!E64="Semi-annual",IF(MOD((YEAR(EDATE(DATE(YEAR(TODAY()),MONTH(TODAY()),1),13))-YEAR(IF(ISNUMBER(Suppliers!F64),Suppliers!F64,DATE(YEAR(TODAY()),MONTH(TODAY()),1))))*12+MONTH(EDATE(DATE(YEAR(TODAY()),MONTH(TODAY()),1),13))-MONTH(IF(ISNUMBER(Suppliers!F64),Suppliers!F64,DATE(YEAR(TODAY()),MONTH(TODAY()),1))),6)=0,1,0),IF(Suppliers!E64="Annual",IF(MOD((YEAR(EDATE(DATE(YEAR(TODAY()),MONTH(TODAY()),1),13))-YEAR(IF(ISNUMBER(Suppliers!F64),Suppliers!F64,DATE(YEAR(TODAY()),MONTH(TODAY()),1))))*12+MONTH(EDATE(DATE(YEAR(TODAY()),MONTH(TODAY()),1),13))-MONTH(IF(ISNUMBER(Suppliers!F64),Suppliers!F64,DATE(YEAR(TODAY()),MONTH(TODAY()),1))),12)=0,1,0),IF(Suppliers!E64="One-time",IF(13=0,1,0),1)))))),"")</f>
        <v/>
      </c>
      <c r="T66" s="10" t="str">
        <f ca="1">IFERROR(IF(OR(14&gt;=$B$1,Suppliers!A64="",NOT(ISNUMBER(Suppliers!D64)),Suppliers!L64="Expired",Suppliers!L64="Terminate"),"",Suppliers!D64*-1*IF(Suppliers!E64="Monthly",IF(AND(ISNUMBER(Suppliers!G64),(YEAR(EDATE(DATE(YEAR(TODAY()),MONTH(TODAY()),1),14))*12+MONTH(EDATE(DATE(YEAR(TODAY()),MONTH(TODAY()),1),14)))&gt;(YEAR(Suppliers!G64)*12+MONTH(Suppliers!G64))),"",1),IF(Suppliers!E64="Quarterly",IF(MOD((YEAR(EDATE(DATE(YEAR(TODAY()),MONTH(TODAY()),1),14))-YEAR(IF(ISNUMBER(Suppliers!F64),Suppliers!F64,DATE(YEAR(TODAY()),MONTH(TODAY()),1))))*12+MONTH(EDATE(DATE(YEAR(TODAY()),MONTH(TODAY()),1),14))-MONTH(IF(ISNUMBER(Suppliers!F64),Suppliers!F64,DATE(YEAR(TODAY()),MONTH(TODAY()),1))),3)=0,1,0),IF(Suppliers!E64="Semi-annual",IF(MOD((YEAR(EDATE(DATE(YEAR(TODAY()),MONTH(TODAY()),1),14))-YEAR(IF(ISNUMBER(Suppliers!F64),Suppliers!F64,DATE(YEAR(TODAY()),MONTH(TODAY()),1))))*12+MONTH(EDATE(DATE(YEAR(TODAY()),MONTH(TODAY()),1),14))-MONTH(IF(ISNUMBER(Suppliers!F64),Suppliers!F64,DATE(YEAR(TODAY()),MONTH(TODAY()),1))),6)=0,1,0),IF(Suppliers!E64="Annual",IF(MOD((YEAR(EDATE(DATE(YEAR(TODAY()),MONTH(TODAY()),1),14))-YEAR(IF(ISNUMBER(Suppliers!F64),Suppliers!F64,DATE(YEAR(TODAY()),MONTH(TODAY()),1))))*12+MONTH(EDATE(DATE(YEAR(TODAY()),MONTH(TODAY()),1),14))-MONTH(IF(ISNUMBER(Suppliers!F64),Suppliers!F64,DATE(YEAR(TODAY()),MONTH(TODAY()),1))),12)=0,1,0),IF(Suppliers!E64="One-time",IF(14=0,1,0),1)))))),"")</f>
        <v/>
      </c>
      <c r="U66" s="10" t="str">
        <f ca="1">IFERROR(IF(OR(15&gt;=$B$1,Suppliers!A64="",NOT(ISNUMBER(Suppliers!D64)),Suppliers!L64="Expired",Suppliers!L64="Terminate"),"",Suppliers!D64*-1*IF(Suppliers!E64="Monthly",IF(AND(ISNUMBER(Suppliers!G64),(YEAR(EDATE(DATE(YEAR(TODAY()),MONTH(TODAY()),1),15))*12+MONTH(EDATE(DATE(YEAR(TODAY()),MONTH(TODAY()),1),15)))&gt;(YEAR(Suppliers!G64)*12+MONTH(Suppliers!G64))),"",1),IF(Suppliers!E64="Quarterly",IF(MOD((YEAR(EDATE(DATE(YEAR(TODAY()),MONTH(TODAY()),1),15))-YEAR(IF(ISNUMBER(Suppliers!F64),Suppliers!F64,DATE(YEAR(TODAY()),MONTH(TODAY()),1))))*12+MONTH(EDATE(DATE(YEAR(TODAY()),MONTH(TODAY()),1),15))-MONTH(IF(ISNUMBER(Suppliers!F64),Suppliers!F64,DATE(YEAR(TODAY()),MONTH(TODAY()),1))),3)=0,1,0),IF(Suppliers!E64="Semi-annual",IF(MOD((YEAR(EDATE(DATE(YEAR(TODAY()),MONTH(TODAY()),1),15))-YEAR(IF(ISNUMBER(Suppliers!F64),Suppliers!F64,DATE(YEAR(TODAY()),MONTH(TODAY()),1))))*12+MONTH(EDATE(DATE(YEAR(TODAY()),MONTH(TODAY()),1),15))-MONTH(IF(ISNUMBER(Suppliers!F64),Suppliers!F64,DATE(YEAR(TODAY()),MONTH(TODAY()),1))),6)=0,1,0),IF(Suppliers!E64="Annual",IF(MOD((YEAR(EDATE(DATE(YEAR(TODAY()),MONTH(TODAY()),1),15))-YEAR(IF(ISNUMBER(Suppliers!F64),Suppliers!F64,DATE(YEAR(TODAY()),MONTH(TODAY()),1))))*12+MONTH(EDATE(DATE(YEAR(TODAY()),MONTH(TODAY()),1),15))-MONTH(IF(ISNUMBER(Suppliers!F64),Suppliers!F64,DATE(YEAR(TODAY()),MONTH(TODAY()),1))),12)=0,1,0),IF(Suppliers!E64="One-time",IF(15=0,1,0),1)))))),"")</f>
        <v/>
      </c>
      <c r="V66" s="10" t="str">
        <f ca="1">IFERROR(IF(OR(16&gt;=$B$1,Suppliers!A64="",NOT(ISNUMBER(Suppliers!D64)),Suppliers!L64="Expired",Suppliers!L64="Terminate"),"",Suppliers!D64*-1*IF(Suppliers!E64="Monthly",IF(AND(ISNUMBER(Suppliers!G64),(YEAR(EDATE(DATE(YEAR(TODAY()),MONTH(TODAY()),1),16))*12+MONTH(EDATE(DATE(YEAR(TODAY()),MONTH(TODAY()),1),16)))&gt;(YEAR(Suppliers!G64)*12+MONTH(Suppliers!G64))),"",1),IF(Suppliers!E64="Quarterly",IF(MOD((YEAR(EDATE(DATE(YEAR(TODAY()),MONTH(TODAY()),1),16))-YEAR(IF(ISNUMBER(Suppliers!F64),Suppliers!F64,DATE(YEAR(TODAY()),MONTH(TODAY()),1))))*12+MONTH(EDATE(DATE(YEAR(TODAY()),MONTH(TODAY()),1),16))-MONTH(IF(ISNUMBER(Suppliers!F64),Suppliers!F64,DATE(YEAR(TODAY()),MONTH(TODAY()),1))),3)=0,1,0),IF(Suppliers!E64="Semi-annual",IF(MOD((YEAR(EDATE(DATE(YEAR(TODAY()),MONTH(TODAY()),1),16))-YEAR(IF(ISNUMBER(Suppliers!F64),Suppliers!F64,DATE(YEAR(TODAY()),MONTH(TODAY()),1))))*12+MONTH(EDATE(DATE(YEAR(TODAY()),MONTH(TODAY()),1),16))-MONTH(IF(ISNUMBER(Suppliers!F64),Suppliers!F64,DATE(YEAR(TODAY()),MONTH(TODAY()),1))),6)=0,1,0),IF(Suppliers!E64="Annual",IF(MOD((YEAR(EDATE(DATE(YEAR(TODAY()),MONTH(TODAY()),1),16))-YEAR(IF(ISNUMBER(Suppliers!F64),Suppliers!F64,DATE(YEAR(TODAY()),MONTH(TODAY()),1))))*12+MONTH(EDATE(DATE(YEAR(TODAY()),MONTH(TODAY()),1),16))-MONTH(IF(ISNUMBER(Suppliers!F64),Suppliers!F64,DATE(YEAR(TODAY()),MONTH(TODAY()),1))),12)=0,1,0),IF(Suppliers!E64="One-time",IF(16=0,1,0),1)))))),"")</f>
        <v/>
      </c>
      <c r="W66" s="10" t="str">
        <f ca="1">IFERROR(IF(OR(17&gt;=$B$1,Suppliers!A64="",NOT(ISNUMBER(Suppliers!D64)),Suppliers!L64="Expired",Suppliers!L64="Terminate"),"",Suppliers!D64*-1*IF(Suppliers!E64="Monthly",IF(AND(ISNUMBER(Suppliers!G64),(YEAR(EDATE(DATE(YEAR(TODAY()),MONTH(TODAY()),1),17))*12+MONTH(EDATE(DATE(YEAR(TODAY()),MONTH(TODAY()),1),17)))&gt;(YEAR(Suppliers!G64)*12+MONTH(Suppliers!G64))),"",1),IF(Suppliers!E64="Quarterly",IF(MOD((YEAR(EDATE(DATE(YEAR(TODAY()),MONTH(TODAY()),1),17))-YEAR(IF(ISNUMBER(Suppliers!F64),Suppliers!F64,DATE(YEAR(TODAY()),MONTH(TODAY()),1))))*12+MONTH(EDATE(DATE(YEAR(TODAY()),MONTH(TODAY()),1),17))-MONTH(IF(ISNUMBER(Suppliers!F64),Suppliers!F64,DATE(YEAR(TODAY()),MONTH(TODAY()),1))),3)=0,1,0),IF(Suppliers!E64="Semi-annual",IF(MOD((YEAR(EDATE(DATE(YEAR(TODAY()),MONTH(TODAY()),1),17))-YEAR(IF(ISNUMBER(Suppliers!F64),Suppliers!F64,DATE(YEAR(TODAY()),MONTH(TODAY()),1))))*12+MONTH(EDATE(DATE(YEAR(TODAY()),MONTH(TODAY()),1),17))-MONTH(IF(ISNUMBER(Suppliers!F64),Suppliers!F64,DATE(YEAR(TODAY()),MONTH(TODAY()),1))),6)=0,1,0),IF(Suppliers!E64="Annual",IF(MOD((YEAR(EDATE(DATE(YEAR(TODAY()),MONTH(TODAY()),1),17))-YEAR(IF(ISNUMBER(Suppliers!F64),Suppliers!F64,DATE(YEAR(TODAY()),MONTH(TODAY()),1))))*12+MONTH(EDATE(DATE(YEAR(TODAY()),MONTH(TODAY()),1),17))-MONTH(IF(ISNUMBER(Suppliers!F64),Suppliers!F64,DATE(YEAR(TODAY()),MONTH(TODAY()),1))),12)=0,1,0),IF(Suppliers!E64="One-time",IF(17=0,1,0),1)))))),"")</f>
        <v/>
      </c>
      <c r="X66" s="10" t="str">
        <f ca="1">IFERROR(IF(OR(18&gt;=$B$1,Suppliers!A64="",NOT(ISNUMBER(Suppliers!D64)),Suppliers!L64="Expired",Suppliers!L64="Terminate"),"",Suppliers!D64*-1*IF(Suppliers!E64="Monthly",IF(AND(ISNUMBER(Suppliers!G64),(YEAR(EDATE(DATE(YEAR(TODAY()),MONTH(TODAY()),1),18))*12+MONTH(EDATE(DATE(YEAR(TODAY()),MONTH(TODAY()),1),18)))&gt;(YEAR(Suppliers!G64)*12+MONTH(Suppliers!G64))),"",1),IF(Suppliers!E64="Quarterly",IF(MOD((YEAR(EDATE(DATE(YEAR(TODAY()),MONTH(TODAY()),1),18))-YEAR(IF(ISNUMBER(Suppliers!F64),Suppliers!F64,DATE(YEAR(TODAY()),MONTH(TODAY()),1))))*12+MONTH(EDATE(DATE(YEAR(TODAY()),MONTH(TODAY()),1),18))-MONTH(IF(ISNUMBER(Suppliers!F64),Suppliers!F64,DATE(YEAR(TODAY()),MONTH(TODAY()),1))),3)=0,1,0),IF(Suppliers!E64="Semi-annual",IF(MOD((YEAR(EDATE(DATE(YEAR(TODAY()),MONTH(TODAY()),1),18))-YEAR(IF(ISNUMBER(Suppliers!F64),Suppliers!F64,DATE(YEAR(TODAY()),MONTH(TODAY()),1))))*12+MONTH(EDATE(DATE(YEAR(TODAY()),MONTH(TODAY()),1),18))-MONTH(IF(ISNUMBER(Suppliers!F64),Suppliers!F64,DATE(YEAR(TODAY()),MONTH(TODAY()),1))),6)=0,1,0),IF(Suppliers!E64="Annual",IF(MOD((YEAR(EDATE(DATE(YEAR(TODAY()),MONTH(TODAY()),1),18))-YEAR(IF(ISNUMBER(Suppliers!F64),Suppliers!F64,DATE(YEAR(TODAY()),MONTH(TODAY()),1))))*12+MONTH(EDATE(DATE(YEAR(TODAY()),MONTH(TODAY()),1),18))-MONTH(IF(ISNUMBER(Suppliers!F64),Suppliers!F64,DATE(YEAR(TODAY()),MONTH(TODAY()),1))),12)=0,1,0),IF(Suppliers!E64="One-time",IF(18=0,1,0),1)))))),"")</f>
        <v/>
      </c>
      <c r="Y66" s="10" t="str">
        <f ca="1">IFERROR(IF(OR(19&gt;=$B$1,Suppliers!A64="",NOT(ISNUMBER(Suppliers!D64)),Suppliers!L64="Expired",Suppliers!L64="Terminate"),"",Suppliers!D64*-1*IF(Suppliers!E64="Monthly",IF(AND(ISNUMBER(Suppliers!G64),(YEAR(EDATE(DATE(YEAR(TODAY()),MONTH(TODAY()),1),19))*12+MONTH(EDATE(DATE(YEAR(TODAY()),MONTH(TODAY()),1),19)))&gt;(YEAR(Suppliers!G64)*12+MONTH(Suppliers!G64))),"",1),IF(Suppliers!E64="Quarterly",IF(MOD((YEAR(EDATE(DATE(YEAR(TODAY()),MONTH(TODAY()),1),19))-YEAR(IF(ISNUMBER(Suppliers!F64),Suppliers!F64,DATE(YEAR(TODAY()),MONTH(TODAY()),1))))*12+MONTH(EDATE(DATE(YEAR(TODAY()),MONTH(TODAY()),1),19))-MONTH(IF(ISNUMBER(Suppliers!F64),Suppliers!F64,DATE(YEAR(TODAY()),MONTH(TODAY()),1))),3)=0,1,0),IF(Suppliers!E64="Semi-annual",IF(MOD((YEAR(EDATE(DATE(YEAR(TODAY()),MONTH(TODAY()),1),19))-YEAR(IF(ISNUMBER(Suppliers!F64),Suppliers!F64,DATE(YEAR(TODAY()),MONTH(TODAY()),1))))*12+MONTH(EDATE(DATE(YEAR(TODAY()),MONTH(TODAY()),1),19))-MONTH(IF(ISNUMBER(Suppliers!F64),Suppliers!F64,DATE(YEAR(TODAY()),MONTH(TODAY()),1))),6)=0,1,0),IF(Suppliers!E64="Annual",IF(MOD((YEAR(EDATE(DATE(YEAR(TODAY()),MONTH(TODAY()),1),19))-YEAR(IF(ISNUMBER(Suppliers!F64),Suppliers!F64,DATE(YEAR(TODAY()),MONTH(TODAY()),1))))*12+MONTH(EDATE(DATE(YEAR(TODAY()),MONTH(TODAY()),1),19))-MONTH(IF(ISNUMBER(Suppliers!F64),Suppliers!F64,DATE(YEAR(TODAY()),MONTH(TODAY()),1))),12)=0,1,0),IF(Suppliers!E64="One-time",IF(19=0,1,0),1)))))),"")</f>
        <v/>
      </c>
      <c r="Z66" s="10" t="str">
        <f ca="1">IFERROR(IF(OR(20&gt;=$B$1,Suppliers!A64="",NOT(ISNUMBER(Suppliers!D64)),Suppliers!L64="Expired",Suppliers!L64="Terminate"),"",Suppliers!D64*-1*IF(Suppliers!E64="Monthly",IF(AND(ISNUMBER(Suppliers!G64),(YEAR(EDATE(DATE(YEAR(TODAY()),MONTH(TODAY()),1),20))*12+MONTH(EDATE(DATE(YEAR(TODAY()),MONTH(TODAY()),1),20)))&gt;(YEAR(Suppliers!G64)*12+MONTH(Suppliers!G64))),"",1),IF(Suppliers!E64="Quarterly",IF(MOD((YEAR(EDATE(DATE(YEAR(TODAY()),MONTH(TODAY()),1),20))-YEAR(IF(ISNUMBER(Suppliers!F64),Suppliers!F64,DATE(YEAR(TODAY()),MONTH(TODAY()),1))))*12+MONTH(EDATE(DATE(YEAR(TODAY()),MONTH(TODAY()),1),20))-MONTH(IF(ISNUMBER(Suppliers!F64),Suppliers!F64,DATE(YEAR(TODAY()),MONTH(TODAY()),1))),3)=0,1,0),IF(Suppliers!E64="Semi-annual",IF(MOD((YEAR(EDATE(DATE(YEAR(TODAY()),MONTH(TODAY()),1),20))-YEAR(IF(ISNUMBER(Suppliers!F64),Suppliers!F64,DATE(YEAR(TODAY()),MONTH(TODAY()),1))))*12+MONTH(EDATE(DATE(YEAR(TODAY()),MONTH(TODAY()),1),20))-MONTH(IF(ISNUMBER(Suppliers!F64),Suppliers!F64,DATE(YEAR(TODAY()),MONTH(TODAY()),1))),6)=0,1,0),IF(Suppliers!E64="Annual",IF(MOD((YEAR(EDATE(DATE(YEAR(TODAY()),MONTH(TODAY()),1),20))-YEAR(IF(ISNUMBER(Suppliers!F64),Suppliers!F64,DATE(YEAR(TODAY()),MONTH(TODAY()),1))))*12+MONTH(EDATE(DATE(YEAR(TODAY()),MONTH(TODAY()),1),20))-MONTH(IF(ISNUMBER(Suppliers!F64),Suppliers!F64,DATE(YEAR(TODAY()),MONTH(TODAY()),1))),12)=0,1,0),IF(Suppliers!E64="One-time",IF(20=0,1,0),1)))))),"")</f>
        <v/>
      </c>
      <c r="AA66" s="10" t="str">
        <f ca="1">IFERROR(IF(OR(21&gt;=$B$1,Suppliers!A64="",NOT(ISNUMBER(Suppliers!D64)),Suppliers!L64="Expired",Suppliers!L64="Terminate"),"",Suppliers!D64*-1*IF(Suppliers!E64="Monthly",IF(AND(ISNUMBER(Suppliers!G64),(YEAR(EDATE(DATE(YEAR(TODAY()),MONTH(TODAY()),1),21))*12+MONTH(EDATE(DATE(YEAR(TODAY()),MONTH(TODAY()),1),21)))&gt;(YEAR(Suppliers!G64)*12+MONTH(Suppliers!G64))),"",1),IF(Suppliers!E64="Quarterly",IF(MOD((YEAR(EDATE(DATE(YEAR(TODAY()),MONTH(TODAY()),1),21))-YEAR(IF(ISNUMBER(Suppliers!F64),Suppliers!F64,DATE(YEAR(TODAY()),MONTH(TODAY()),1))))*12+MONTH(EDATE(DATE(YEAR(TODAY()),MONTH(TODAY()),1),21))-MONTH(IF(ISNUMBER(Suppliers!F64),Suppliers!F64,DATE(YEAR(TODAY()),MONTH(TODAY()),1))),3)=0,1,0),IF(Suppliers!E64="Semi-annual",IF(MOD((YEAR(EDATE(DATE(YEAR(TODAY()),MONTH(TODAY()),1),21))-YEAR(IF(ISNUMBER(Suppliers!F64),Suppliers!F64,DATE(YEAR(TODAY()),MONTH(TODAY()),1))))*12+MONTH(EDATE(DATE(YEAR(TODAY()),MONTH(TODAY()),1),21))-MONTH(IF(ISNUMBER(Suppliers!F64),Suppliers!F64,DATE(YEAR(TODAY()),MONTH(TODAY()),1))),6)=0,1,0),IF(Suppliers!E64="Annual",IF(MOD((YEAR(EDATE(DATE(YEAR(TODAY()),MONTH(TODAY()),1),21))-YEAR(IF(ISNUMBER(Suppliers!F64),Suppliers!F64,DATE(YEAR(TODAY()),MONTH(TODAY()),1))))*12+MONTH(EDATE(DATE(YEAR(TODAY()),MONTH(TODAY()),1),21))-MONTH(IF(ISNUMBER(Suppliers!F64),Suppliers!F64,DATE(YEAR(TODAY()),MONTH(TODAY()),1))),12)=0,1,0),IF(Suppliers!E64="One-time",IF(21=0,1,0),1)))))),"")</f>
        <v/>
      </c>
      <c r="AB66" s="10" t="str">
        <f ca="1">IFERROR(IF(OR(22&gt;=$B$1,Suppliers!A64="",NOT(ISNUMBER(Suppliers!D64)),Suppliers!L64="Expired",Suppliers!L64="Terminate"),"",Suppliers!D64*-1*IF(Suppliers!E64="Monthly",IF(AND(ISNUMBER(Suppliers!G64),(YEAR(EDATE(DATE(YEAR(TODAY()),MONTH(TODAY()),1),22))*12+MONTH(EDATE(DATE(YEAR(TODAY()),MONTH(TODAY()),1),22)))&gt;(YEAR(Suppliers!G64)*12+MONTH(Suppliers!G64))),"",1),IF(Suppliers!E64="Quarterly",IF(MOD((YEAR(EDATE(DATE(YEAR(TODAY()),MONTH(TODAY()),1),22))-YEAR(IF(ISNUMBER(Suppliers!F64),Suppliers!F64,DATE(YEAR(TODAY()),MONTH(TODAY()),1))))*12+MONTH(EDATE(DATE(YEAR(TODAY()),MONTH(TODAY()),1),22))-MONTH(IF(ISNUMBER(Suppliers!F64),Suppliers!F64,DATE(YEAR(TODAY()),MONTH(TODAY()),1))),3)=0,1,0),IF(Suppliers!E64="Semi-annual",IF(MOD((YEAR(EDATE(DATE(YEAR(TODAY()),MONTH(TODAY()),1),22))-YEAR(IF(ISNUMBER(Suppliers!F64),Suppliers!F64,DATE(YEAR(TODAY()),MONTH(TODAY()),1))))*12+MONTH(EDATE(DATE(YEAR(TODAY()),MONTH(TODAY()),1),22))-MONTH(IF(ISNUMBER(Suppliers!F64),Suppliers!F64,DATE(YEAR(TODAY()),MONTH(TODAY()),1))),6)=0,1,0),IF(Suppliers!E64="Annual",IF(MOD((YEAR(EDATE(DATE(YEAR(TODAY()),MONTH(TODAY()),1),22))-YEAR(IF(ISNUMBER(Suppliers!F64),Suppliers!F64,DATE(YEAR(TODAY()),MONTH(TODAY()),1))))*12+MONTH(EDATE(DATE(YEAR(TODAY()),MONTH(TODAY()),1),22))-MONTH(IF(ISNUMBER(Suppliers!F64),Suppliers!F64,DATE(YEAR(TODAY()),MONTH(TODAY()),1))),12)=0,1,0),IF(Suppliers!E64="One-time",IF(22=0,1,0),1)))))),"")</f>
        <v/>
      </c>
      <c r="AC66" s="10" t="str">
        <f ca="1">IFERROR(IF(OR(23&gt;=$B$1,Suppliers!A64="",NOT(ISNUMBER(Suppliers!D64)),Suppliers!L64="Expired",Suppliers!L64="Terminate"),"",Suppliers!D64*-1*IF(Suppliers!E64="Monthly",IF(AND(ISNUMBER(Suppliers!G64),(YEAR(EDATE(DATE(YEAR(TODAY()),MONTH(TODAY()),1),23))*12+MONTH(EDATE(DATE(YEAR(TODAY()),MONTH(TODAY()),1),23)))&gt;(YEAR(Suppliers!G64)*12+MONTH(Suppliers!G64))),"",1),IF(Suppliers!E64="Quarterly",IF(MOD((YEAR(EDATE(DATE(YEAR(TODAY()),MONTH(TODAY()),1),23))-YEAR(IF(ISNUMBER(Suppliers!F64),Suppliers!F64,DATE(YEAR(TODAY()),MONTH(TODAY()),1))))*12+MONTH(EDATE(DATE(YEAR(TODAY()),MONTH(TODAY()),1),23))-MONTH(IF(ISNUMBER(Suppliers!F64),Suppliers!F64,DATE(YEAR(TODAY()),MONTH(TODAY()),1))),3)=0,1,0),IF(Suppliers!E64="Semi-annual",IF(MOD((YEAR(EDATE(DATE(YEAR(TODAY()),MONTH(TODAY()),1),23))-YEAR(IF(ISNUMBER(Suppliers!F64),Suppliers!F64,DATE(YEAR(TODAY()),MONTH(TODAY()),1))))*12+MONTH(EDATE(DATE(YEAR(TODAY()),MONTH(TODAY()),1),23))-MONTH(IF(ISNUMBER(Suppliers!F64),Suppliers!F64,DATE(YEAR(TODAY()),MONTH(TODAY()),1))),6)=0,1,0),IF(Suppliers!E64="Annual",IF(MOD((YEAR(EDATE(DATE(YEAR(TODAY()),MONTH(TODAY()),1),23))-YEAR(IF(ISNUMBER(Suppliers!F64),Suppliers!F64,DATE(YEAR(TODAY()),MONTH(TODAY()),1))))*12+MONTH(EDATE(DATE(YEAR(TODAY()),MONTH(TODAY()),1),23))-MONTH(IF(ISNUMBER(Suppliers!F64),Suppliers!F64,DATE(YEAR(TODAY()),MONTH(TODAY()),1))),12)=0,1,0),IF(Suppliers!E64="One-time",IF(23=0,1,0),1)))))),"")</f>
        <v/>
      </c>
    </row>
    <row r="67" spans="1:29" ht="15" customHeight="1" x14ac:dyDescent="0.35">
      <c r="A67" s="4" t="s">
        <v>80</v>
      </c>
      <c r="B67" s="4" t="str">
        <f>IF(Suppliers!A65="","",Suppliers!A65)</f>
        <v/>
      </c>
      <c r="C67" s="10" t="str">
        <f>IF(Suppliers!C65="","",Suppliers!C65)</f>
        <v/>
      </c>
      <c r="D67" s="10" t="str">
        <f>IF(Suppliers!D65="","",Suppliers!D65)</f>
        <v/>
      </c>
      <c r="E67" s="4" t="str">
        <f>IF(Suppliers!E65="","",Suppliers!E65)</f>
        <v/>
      </c>
      <c r="F67" s="10" t="str">
        <f ca="1">IFERROR(IF(OR(0&gt;=$B$1,Suppliers!A65="",NOT(ISNUMBER(Suppliers!D65)),Suppliers!L65="Expired",Suppliers!L65="Terminate"),"",Suppliers!D65*-1*IF(Suppliers!E65="Monthly",IF(AND(ISNUMBER(Suppliers!G65),(YEAR(EDATE(DATE(YEAR(TODAY()),MONTH(TODAY()),1),0))*12+MONTH(EDATE(DATE(YEAR(TODAY()),MONTH(TODAY()),1),0)))&gt;(YEAR(Suppliers!G65)*12+MONTH(Suppliers!G65))),"",1),IF(Suppliers!E65="Quarterly",IF(MOD((YEAR(EDATE(DATE(YEAR(TODAY()),MONTH(TODAY()),1),0))-YEAR(IF(ISNUMBER(Suppliers!F65),Suppliers!F65,DATE(YEAR(TODAY()),MONTH(TODAY()),1))))*12+MONTH(EDATE(DATE(YEAR(TODAY()),MONTH(TODAY()),1),0))-MONTH(IF(ISNUMBER(Suppliers!F65),Suppliers!F65,DATE(YEAR(TODAY()),MONTH(TODAY()),1))),3)=0,1,0),IF(Suppliers!E65="Semi-annual",IF(MOD((YEAR(EDATE(DATE(YEAR(TODAY()),MONTH(TODAY()),1),0))-YEAR(IF(ISNUMBER(Suppliers!F65),Suppliers!F65,DATE(YEAR(TODAY()),MONTH(TODAY()),1))))*12+MONTH(EDATE(DATE(YEAR(TODAY()),MONTH(TODAY()),1),0))-MONTH(IF(ISNUMBER(Suppliers!F65),Suppliers!F65,DATE(YEAR(TODAY()),MONTH(TODAY()),1))),6)=0,1,0),IF(Suppliers!E65="Annual",IF(MOD((YEAR(EDATE(DATE(YEAR(TODAY()),MONTH(TODAY()),1),0))-YEAR(IF(ISNUMBER(Suppliers!F65),Suppliers!F65,DATE(YEAR(TODAY()),MONTH(TODAY()),1))))*12+MONTH(EDATE(DATE(YEAR(TODAY()),MONTH(TODAY()),1),0))-MONTH(IF(ISNUMBER(Suppliers!F65),Suppliers!F65,DATE(YEAR(TODAY()),MONTH(TODAY()),1))),12)=0,1,0),IF(Suppliers!E65="One-time",IF(0=0,1,0),1)))))),"")</f>
        <v/>
      </c>
      <c r="G67" s="10" t="str">
        <f ca="1">IFERROR(IF(OR(1&gt;=$B$1,Suppliers!A65="",NOT(ISNUMBER(Suppliers!D65)),Suppliers!L65="Expired",Suppliers!L65="Terminate"),"",Suppliers!D65*-1*IF(Suppliers!E65="Monthly",IF(AND(ISNUMBER(Suppliers!G65),(YEAR(EDATE(DATE(YEAR(TODAY()),MONTH(TODAY()),1),1))*12+MONTH(EDATE(DATE(YEAR(TODAY()),MONTH(TODAY()),1),1)))&gt;(YEAR(Suppliers!G65)*12+MONTH(Suppliers!G65))),"",1),IF(Suppliers!E65="Quarterly",IF(MOD((YEAR(EDATE(DATE(YEAR(TODAY()),MONTH(TODAY()),1),1))-YEAR(IF(ISNUMBER(Suppliers!F65),Suppliers!F65,DATE(YEAR(TODAY()),MONTH(TODAY()),1))))*12+MONTH(EDATE(DATE(YEAR(TODAY()),MONTH(TODAY()),1),1))-MONTH(IF(ISNUMBER(Suppliers!F65),Suppliers!F65,DATE(YEAR(TODAY()),MONTH(TODAY()),1))),3)=0,1,0),IF(Suppliers!E65="Semi-annual",IF(MOD((YEAR(EDATE(DATE(YEAR(TODAY()),MONTH(TODAY()),1),1))-YEAR(IF(ISNUMBER(Suppliers!F65),Suppliers!F65,DATE(YEAR(TODAY()),MONTH(TODAY()),1))))*12+MONTH(EDATE(DATE(YEAR(TODAY()),MONTH(TODAY()),1),1))-MONTH(IF(ISNUMBER(Suppliers!F65),Suppliers!F65,DATE(YEAR(TODAY()),MONTH(TODAY()),1))),6)=0,1,0),IF(Suppliers!E65="Annual",IF(MOD((YEAR(EDATE(DATE(YEAR(TODAY()),MONTH(TODAY()),1),1))-YEAR(IF(ISNUMBER(Suppliers!F65),Suppliers!F65,DATE(YEAR(TODAY()),MONTH(TODAY()),1))))*12+MONTH(EDATE(DATE(YEAR(TODAY()),MONTH(TODAY()),1),1))-MONTH(IF(ISNUMBER(Suppliers!F65),Suppliers!F65,DATE(YEAR(TODAY()),MONTH(TODAY()),1))),12)=0,1,0),IF(Suppliers!E65="One-time",IF(1=0,1,0),1)))))),"")</f>
        <v/>
      </c>
      <c r="H67" s="10" t="str">
        <f ca="1">IFERROR(IF(OR(2&gt;=$B$1,Suppliers!A65="",NOT(ISNUMBER(Suppliers!D65)),Suppliers!L65="Expired",Suppliers!L65="Terminate"),"",Suppliers!D65*-1*IF(Suppliers!E65="Monthly",IF(AND(ISNUMBER(Suppliers!G65),(YEAR(EDATE(DATE(YEAR(TODAY()),MONTH(TODAY()),1),2))*12+MONTH(EDATE(DATE(YEAR(TODAY()),MONTH(TODAY()),1),2)))&gt;(YEAR(Suppliers!G65)*12+MONTH(Suppliers!G65))),"",1),IF(Suppliers!E65="Quarterly",IF(MOD((YEAR(EDATE(DATE(YEAR(TODAY()),MONTH(TODAY()),1),2))-YEAR(IF(ISNUMBER(Suppliers!F65),Suppliers!F65,DATE(YEAR(TODAY()),MONTH(TODAY()),1))))*12+MONTH(EDATE(DATE(YEAR(TODAY()),MONTH(TODAY()),1),2))-MONTH(IF(ISNUMBER(Suppliers!F65),Suppliers!F65,DATE(YEAR(TODAY()),MONTH(TODAY()),1))),3)=0,1,0),IF(Suppliers!E65="Semi-annual",IF(MOD((YEAR(EDATE(DATE(YEAR(TODAY()),MONTH(TODAY()),1),2))-YEAR(IF(ISNUMBER(Suppliers!F65),Suppliers!F65,DATE(YEAR(TODAY()),MONTH(TODAY()),1))))*12+MONTH(EDATE(DATE(YEAR(TODAY()),MONTH(TODAY()),1),2))-MONTH(IF(ISNUMBER(Suppliers!F65),Suppliers!F65,DATE(YEAR(TODAY()),MONTH(TODAY()),1))),6)=0,1,0),IF(Suppliers!E65="Annual",IF(MOD((YEAR(EDATE(DATE(YEAR(TODAY()),MONTH(TODAY()),1),2))-YEAR(IF(ISNUMBER(Suppliers!F65),Suppliers!F65,DATE(YEAR(TODAY()),MONTH(TODAY()),1))))*12+MONTH(EDATE(DATE(YEAR(TODAY()),MONTH(TODAY()),1),2))-MONTH(IF(ISNUMBER(Suppliers!F65),Suppliers!F65,DATE(YEAR(TODAY()),MONTH(TODAY()),1))),12)=0,1,0),IF(Suppliers!E65="One-time",IF(2=0,1,0),1)))))),"")</f>
        <v/>
      </c>
      <c r="I67" s="10" t="str">
        <f ca="1">IFERROR(IF(OR(3&gt;=$B$1,Suppliers!A65="",NOT(ISNUMBER(Suppliers!D65)),Suppliers!L65="Expired",Suppliers!L65="Terminate"),"",Suppliers!D65*-1*IF(Suppliers!E65="Monthly",IF(AND(ISNUMBER(Suppliers!G65),(YEAR(EDATE(DATE(YEAR(TODAY()),MONTH(TODAY()),1),3))*12+MONTH(EDATE(DATE(YEAR(TODAY()),MONTH(TODAY()),1),3)))&gt;(YEAR(Suppliers!G65)*12+MONTH(Suppliers!G65))),"",1),IF(Suppliers!E65="Quarterly",IF(MOD((YEAR(EDATE(DATE(YEAR(TODAY()),MONTH(TODAY()),1),3))-YEAR(IF(ISNUMBER(Suppliers!F65),Suppliers!F65,DATE(YEAR(TODAY()),MONTH(TODAY()),1))))*12+MONTH(EDATE(DATE(YEAR(TODAY()),MONTH(TODAY()),1),3))-MONTH(IF(ISNUMBER(Suppliers!F65),Suppliers!F65,DATE(YEAR(TODAY()),MONTH(TODAY()),1))),3)=0,1,0),IF(Suppliers!E65="Semi-annual",IF(MOD((YEAR(EDATE(DATE(YEAR(TODAY()),MONTH(TODAY()),1),3))-YEAR(IF(ISNUMBER(Suppliers!F65),Suppliers!F65,DATE(YEAR(TODAY()),MONTH(TODAY()),1))))*12+MONTH(EDATE(DATE(YEAR(TODAY()),MONTH(TODAY()),1),3))-MONTH(IF(ISNUMBER(Suppliers!F65),Suppliers!F65,DATE(YEAR(TODAY()),MONTH(TODAY()),1))),6)=0,1,0),IF(Suppliers!E65="Annual",IF(MOD((YEAR(EDATE(DATE(YEAR(TODAY()),MONTH(TODAY()),1),3))-YEAR(IF(ISNUMBER(Suppliers!F65),Suppliers!F65,DATE(YEAR(TODAY()),MONTH(TODAY()),1))))*12+MONTH(EDATE(DATE(YEAR(TODAY()),MONTH(TODAY()),1),3))-MONTH(IF(ISNUMBER(Suppliers!F65),Suppliers!F65,DATE(YEAR(TODAY()),MONTH(TODAY()),1))),12)=0,1,0),IF(Suppliers!E65="One-time",IF(3=0,1,0),1)))))),"")</f>
        <v/>
      </c>
      <c r="J67" s="10" t="str">
        <f ca="1">IFERROR(IF(OR(4&gt;=$B$1,Suppliers!A65="",NOT(ISNUMBER(Suppliers!D65)),Suppliers!L65="Expired",Suppliers!L65="Terminate"),"",Suppliers!D65*-1*IF(Suppliers!E65="Monthly",IF(AND(ISNUMBER(Suppliers!G65),(YEAR(EDATE(DATE(YEAR(TODAY()),MONTH(TODAY()),1),4))*12+MONTH(EDATE(DATE(YEAR(TODAY()),MONTH(TODAY()),1),4)))&gt;(YEAR(Suppliers!G65)*12+MONTH(Suppliers!G65))),"",1),IF(Suppliers!E65="Quarterly",IF(MOD((YEAR(EDATE(DATE(YEAR(TODAY()),MONTH(TODAY()),1),4))-YEAR(IF(ISNUMBER(Suppliers!F65),Suppliers!F65,DATE(YEAR(TODAY()),MONTH(TODAY()),1))))*12+MONTH(EDATE(DATE(YEAR(TODAY()),MONTH(TODAY()),1),4))-MONTH(IF(ISNUMBER(Suppliers!F65),Suppliers!F65,DATE(YEAR(TODAY()),MONTH(TODAY()),1))),3)=0,1,0),IF(Suppliers!E65="Semi-annual",IF(MOD((YEAR(EDATE(DATE(YEAR(TODAY()),MONTH(TODAY()),1),4))-YEAR(IF(ISNUMBER(Suppliers!F65),Suppliers!F65,DATE(YEAR(TODAY()),MONTH(TODAY()),1))))*12+MONTH(EDATE(DATE(YEAR(TODAY()),MONTH(TODAY()),1),4))-MONTH(IF(ISNUMBER(Suppliers!F65),Suppliers!F65,DATE(YEAR(TODAY()),MONTH(TODAY()),1))),6)=0,1,0),IF(Suppliers!E65="Annual",IF(MOD((YEAR(EDATE(DATE(YEAR(TODAY()),MONTH(TODAY()),1),4))-YEAR(IF(ISNUMBER(Suppliers!F65),Suppliers!F65,DATE(YEAR(TODAY()),MONTH(TODAY()),1))))*12+MONTH(EDATE(DATE(YEAR(TODAY()),MONTH(TODAY()),1),4))-MONTH(IF(ISNUMBER(Suppliers!F65),Suppliers!F65,DATE(YEAR(TODAY()),MONTH(TODAY()),1))),12)=0,1,0),IF(Suppliers!E65="One-time",IF(4=0,1,0),1)))))),"")</f>
        <v/>
      </c>
      <c r="K67" s="10" t="str">
        <f ca="1">IFERROR(IF(OR(5&gt;=$B$1,Suppliers!A65="",NOT(ISNUMBER(Suppliers!D65)),Suppliers!L65="Expired",Suppliers!L65="Terminate"),"",Suppliers!D65*-1*IF(Suppliers!E65="Monthly",IF(AND(ISNUMBER(Suppliers!G65),(YEAR(EDATE(DATE(YEAR(TODAY()),MONTH(TODAY()),1),5))*12+MONTH(EDATE(DATE(YEAR(TODAY()),MONTH(TODAY()),1),5)))&gt;(YEAR(Suppliers!G65)*12+MONTH(Suppliers!G65))),"",1),IF(Suppliers!E65="Quarterly",IF(MOD((YEAR(EDATE(DATE(YEAR(TODAY()),MONTH(TODAY()),1),5))-YEAR(IF(ISNUMBER(Suppliers!F65),Suppliers!F65,DATE(YEAR(TODAY()),MONTH(TODAY()),1))))*12+MONTH(EDATE(DATE(YEAR(TODAY()),MONTH(TODAY()),1),5))-MONTH(IF(ISNUMBER(Suppliers!F65),Suppliers!F65,DATE(YEAR(TODAY()),MONTH(TODAY()),1))),3)=0,1,0),IF(Suppliers!E65="Semi-annual",IF(MOD((YEAR(EDATE(DATE(YEAR(TODAY()),MONTH(TODAY()),1),5))-YEAR(IF(ISNUMBER(Suppliers!F65),Suppliers!F65,DATE(YEAR(TODAY()),MONTH(TODAY()),1))))*12+MONTH(EDATE(DATE(YEAR(TODAY()),MONTH(TODAY()),1),5))-MONTH(IF(ISNUMBER(Suppliers!F65),Suppliers!F65,DATE(YEAR(TODAY()),MONTH(TODAY()),1))),6)=0,1,0),IF(Suppliers!E65="Annual",IF(MOD((YEAR(EDATE(DATE(YEAR(TODAY()),MONTH(TODAY()),1),5))-YEAR(IF(ISNUMBER(Suppliers!F65),Suppliers!F65,DATE(YEAR(TODAY()),MONTH(TODAY()),1))))*12+MONTH(EDATE(DATE(YEAR(TODAY()),MONTH(TODAY()),1),5))-MONTH(IF(ISNUMBER(Suppliers!F65),Suppliers!F65,DATE(YEAR(TODAY()),MONTH(TODAY()),1))),12)=0,1,0),IF(Suppliers!E65="One-time",IF(5=0,1,0),1)))))),"")</f>
        <v/>
      </c>
      <c r="L67" s="10" t="str">
        <f ca="1">IFERROR(IF(OR(6&gt;=$B$1,Suppliers!A65="",NOT(ISNUMBER(Suppliers!D65)),Suppliers!L65="Expired",Suppliers!L65="Terminate"),"",Suppliers!D65*-1*IF(Suppliers!E65="Monthly",IF(AND(ISNUMBER(Suppliers!G65),(YEAR(EDATE(DATE(YEAR(TODAY()),MONTH(TODAY()),1),6))*12+MONTH(EDATE(DATE(YEAR(TODAY()),MONTH(TODAY()),1),6)))&gt;(YEAR(Suppliers!G65)*12+MONTH(Suppliers!G65))),"",1),IF(Suppliers!E65="Quarterly",IF(MOD((YEAR(EDATE(DATE(YEAR(TODAY()),MONTH(TODAY()),1),6))-YEAR(IF(ISNUMBER(Suppliers!F65),Suppliers!F65,DATE(YEAR(TODAY()),MONTH(TODAY()),1))))*12+MONTH(EDATE(DATE(YEAR(TODAY()),MONTH(TODAY()),1),6))-MONTH(IF(ISNUMBER(Suppliers!F65),Suppliers!F65,DATE(YEAR(TODAY()),MONTH(TODAY()),1))),3)=0,1,0),IF(Suppliers!E65="Semi-annual",IF(MOD((YEAR(EDATE(DATE(YEAR(TODAY()),MONTH(TODAY()),1),6))-YEAR(IF(ISNUMBER(Suppliers!F65),Suppliers!F65,DATE(YEAR(TODAY()),MONTH(TODAY()),1))))*12+MONTH(EDATE(DATE(YEAR(TODAY()),MONTH(TODAY()),1),6))-MONTH(IF(ISNUMBER(Suppliers!F65),Suppliers!F65,DATE(YEAR(TODAY()),MONTH(TODAY()),1))),6)=0,1,0),IF(Suppliers!E65="Annual",IF(MOD((YEAR(EDATE(DATE(YEAR(TODAY()),MONTH(TODAY()),1),6))-YEAR(IF(ISNUMBER(Suppliers!F65),Suppliers!F65,DATE(YEAR(TODAY()),MONTH(TODAY()),1))))*12+MONTH(EDATE(DATE(YEAR(TODAY()),MONTH(TODAY()),1),6))-MONTH(IF(ISNUMBER(Suppliers!F65),Suppliers!F65,DATE(YEAR(TODAY()),MONTH(TODAY()),1))),12)=0,1,0),IF(Suppliers!E65="One-time",IF(6=0,1,0),1)))))),"")</f>
        <v/>
      </c>
      <c r="M67" s="10" t="str">
        <f ca="1">IFERROR(IF(OR(7&gt;=$B$1,Suppliers!A65="",NOT(ISNUMBER(Suppliers!D65)),Suppliers!L65="Expired",Suppliers!L65="Terminate"),"",Suppliers!D65*-1*IF(Suppliers!E65="Monthly",IF(AND(ISNUMBER(Suppliers!G65),(YEAR(EDATE(DATE(YEAR(TODAY()),MONTH(TODAY()),1),7))*12+MONTH(EDATE(DATE(YEAR(TODAY()),MONTH(TODAY()),1),7)))&gt;(YEAR(Suppliers!G65)*12+MONTH(Suppliers!G65))),"",1),IF(Suppliers!E65="Quarterly",IF(MOD((YEAR(EDATE(DATE(YEAR(TODAY()),MONTH(TODAY()),1),7))-YEAR(IF(ISNUMBER(Suppliers!F65),Suppliers!F65,DATE(YEAR(TODAY()),MONTH(TODAY()),1))))*12+MONTH(EDATE(DATE(YEAR(TODAY()),MONTH(TODAY()),1),7))-MONTH(IF(ISNUMBER(Suppliers!F65),Suppliers!F65,DATE(YEAR(TODAY()),MONTH(TODAY()),1))),3)=0,1,0),IF(Suppliers!E65="Semi-annual",IF(MOD((YEAR(EDATE(DATE(YEAR(TODAY()),MONTH(TODAY()),1),7))-YEAR(IF(ISNUMBER(Suppliers!F65),Suppliers!F65,DATE(YEAR(TODAY()),MONTH(TODAY()),1))))*12+MONTH(EDATE(DATE(YEAR(TODAY()),MONTH(TODAY()),1),7))-MONTH(IF(ISNUMBER(Suppliers!F65),Suppliers!F65,DATE(YEAR(TODAY()),MONTH(TODAY()),1))),6)=0,1,0),IF(Suppliers!E65="Annual",IF(MOD((YEAR(EDATE(DATE(YEAR(TODAY()),MONTH(TODAY()),1),7))-YEAR(IF(ISNUMBER(Suppliers!F65),Suppliers!F65,DATE(YEAR(TODAY()),MONTH(TODAY()),1))))*12+MONTH(EDATE(DATE(YEAR(TODAY()),MONTH(TODAY()),1),7))-MONTH(IF(ISNUMBER(Suppliers!F65),Suppliers!F65,DATE(YEAR(TODAY()),MONTH(TODAY()),1))),12)=0,1,0),IF(Suppliers!E65="One-time",IF(7=0,1,0),1)))))),"")</f>
        <v/>
      </c>
      <c r="N67" s="10" t="str">
        <f ca="1">IFERROR(IF(OR(8&gt;=$B$1,Suppliers!A65="",NOT(ISNUMBER(Suppliers!D65)),Suppliers!L65="Expired",Suppliers!L65="Terminate"),"",Suppliers!D65*-1*IF(Suppliers!E65="Monthly",IF(AND(ISNUMBER(Suppliers!G65),(YEAR(EDATE(DATE(YEAR(TODAY()),MONTH(TODAY()),1),8))*12+MONTH(EDATE(DATE(YEAR(TODAY()),MONTH(TODAY()),1),8)))&gt;(YEAR(Suppliers!G65)*12+MONTH(Suppliers!G65))),"",1),IF(Suppliers!E65="Quarterly",IF(MOD((YEAR(EDATE(DATE(YEAR(TODAY()),MONTH(TODAY()),1),8))-YEAR(IF(ISNUMBER(Suppliers!F65),Suppliers!F65,DATE(YEAR(TODAY()),MONTH(TODAY()),1))))*12+MONTH(EDATE(DATE(YEAR(TODAY()),MONTH(TODAY()),1),8))-MONTH(IF(ISNUMBER(Suppliers!F65),Suppliers!F65,DATE(YEAR(TODAY()),MONTH(TODAY()),1))),3)=0,1,0),IF(Suppliers!E65="Semi-annual",IF(MOD((YEAR(EDATE(DATE(YEAR(TODAY()),MONTH(TODAY()),1),8))-YEAR(IF(ISNUMBER(Suppliers!F65),Suppliers!F65,DATE(YEAR(TODAY()),MONTH(TODAY()),1))))*12+MONTH(EDATE(DATE(YEAR(TODAY()),MONTH(TODAY()),1),8))-MONTH(IF(ISNUMBER(Suppliers!F65),Suppliers!F65,DATE(YEAR(TODAY()),MONTH(TODAY()),1))),6)=0,1,0),IF(Suppliers!E65="Annual",IF(MOD((YEAR(EDATE(DATE(YEAR(TODAY()),MONTH(TODAY()),1),8))-YEAR(IF(ISNUMBER(Suppliers!F65),Suppliers!F65,DATE(YEAR(TODAY()),MONTH(TODAY()),1))))*12+MONTH(EDATE(DATE(YEAR(TODAY()),MONTH(TODAY()),1),8))-MONTH(IF(ISNUMBER(Suppliers!F65),Suppliers!F65,DATE(YEAR(TODAY()),MONTH(TODAY()),1))),12)=0,1,0),IF(Suppliers!E65="One-time",IF(8=0,1,0),1)))))),"")</f>
        <v/>
      </c>
      <c r="O67" s="10" t="str">
        <f ca="1">IFERROR(IF(OR(9&gt;=$B$1,Suppliers!A65="",NOT(ISNUMBER(Suppliers!D65)),Suppliers!L65="Expired",Suppliers!L65="Terminate"),"",Suppliers!D65*-1*IF(Suppliers!E65="Monthly",IF(AND(ISNUMBER(Suppliers!G65),(YEAR(EDATE(DATE(YEAR(TODAY()),MONTH(TODAY()),1),9))*12+MONTH(EDATE(DATE(YEAR(TODAY()),MONTH(TODAY()),1),9)))&gt;(YEAR(Suppliers!G65)*12+MONTH(Suppliers!G65))),"",1),IF(Suppliers!E65="Quarterly",IF(MOD((YEAR(EDATE(DATE(YEAR(TODAY()),MONTH(TODAY()),1),9))-YEAR(IF(ISNUMBER(Suppliers!F65),Suppliers!F65,DATE(YEAR(TODAY()),MONTH(TODAY()),1))))*12+MONTH(EDATE(DATE(YEAR(TODAY()),MONTH(TODAY()),1),9))-MONTH(IF(ISNUMBER(Suppliers!F65),Suppliers!F65,DATE(YEAR(TODAY()),MONTH(TODAY()),1))),3)=0,1,0),IF(Suppliers!E65="Semi-annual",IF(MOD((YEAR(EDATE(DATE(YEAR(TODAY()),MONTH(TODAY()),1),9))-YEAR(IF(ISNUMBER(Suppliers!F65),Suppliers!F65,DATE(YEAR(TODAY()),MONTH(TODAY()),1))))*12+MONTH(EDATE(DATE(YEAR(TODAY()),MONTH(TODAY()),1),9))-MONTH(IF(ISNUMBER(Suppliers!F65),Suppliers!F65,DATE(YEAR(TODAY()),MONTH(TODAY()),1))),6)=0,1,0),IF(Suppliers!E65="Annual",IF(MOD((YEAR(EDATE(DATE(YEAR(TODAY()),MONTH(TODAY()),1),9))-YEAR(IF(ISNUMBER(Suppliers!F65),Suppliers!F65,DATE(YEAR(TODAY()),MONTH(TODAY()),1))))*12+MONTH(EDATE(DATE(YEAR(TODAY()),MONTH(TODAY()),1),9))-MONTH(IF(ISNUMBER(Suppliers!F65),Suppliers!F65,DATE(YEAR(TODAY()),MONTH(TODAY()),1))),12)=0,1,0),IF(Suppliers!E65="One-time",IF(9=0,1,0),1)))))),"")</f>
        <v/>
      </c>
      <c r="P67" s="10" t="str">
        <f ca="1">IFERROR(IF(OR(10&gt;=$B$1,Suppliers!A65="",NOT(ISNUMBER(Suppliers!D65)),Suppliers!L65="Expired",Suppliers!L65="Terminate"),"",Suppliers!D65*-1*IF(Suppliers!E65="Monthly",IF(AND(ISNUMBER(Suppliers!G65),(YEAR(EDATE(DATE(YEAR(TODAY()),MONTH(TODAY()),1),10))*12+MONTH(EDATE(DATE(YEAR(TODAY()),MONTH(TODAY()),1),10)))&gt;(YEAR(Suppliers!G65)*12+MONTH(Suppliers!G65))),"",1),IF(Suppliers!E65="Quarterly",IF(MOD((YEAR(EDATE(DATE(YEAR(TODAY()),MONTH(TODAY()),1),10))-YEAR(IF(ISNUMBER(Suppliers!F65),Suppliers!F65,DATE(YEAR(TODAY()),MONTH(TODAY()),1))))*12+MONTH(EDATE(DATE(YEAR(TODAY()),MONTH(TODAY()),1),10))-MONTH(IF(ISNUMBER(Suppliers!F65),Suppliers!F65,DATE(YEAR(TODAY()),MONTH(TODAY()),1))),3)=0,1,0),IF(Suppliers!E65="Semi-annual",IF(MOD((YEAR(EDATE(DATE(YEAR(TODAY()),MONTH(TODAY()),1),10))-YEAR(IF(ISNUMBER(Suppliers!F65),Suppliers!F65,DATE(YEAR(TODAY()),MONTH(TODAY()),1))))*12+MONTH(EDATE(DATE(YEAR(TODAY()),MONTH(TODAY()),1),10))-MONTH(IF(ISNUMBER(Suppliers!F65),Suppliers!F65,DATE(YEAR(TODAY()),MONTH(TODAY()),1))),6)=0,1,0),IF(Suppliers!E65="Annual",IF(MOD((YEAR(EDATE(DATE(YEAR(TODAY()),MONTH(TODAY()),1),10))-YEAR(IF(ISNUMBER(Suppliers!F65),Suppliers!F65,DATE(YEAR(TODAY()),MONTH(TODAY()),1))))*12+MONTH(EDATE(DATE(YEAR(TODAY()),MONTH(TODAY()),1),10))-MONTH(IF(ISNUMBER(Suppliers!F65),Suppliers!F65,DATE(YEAR(TODAY()),MONTH(TODAY()),1))),12)=0,1,0),IF(Suppliers!E65="One-time",IF(10=0,1,0),1)))))),"")</f>
        <v/>
      </c>
      <c r="Q67" s="10" t="str">
        <f ca="1">IFERROR(IF(OR(11&gt;=$B$1,Suppliers!A65="",NOT(ISNUMBER(Suppliers!D65)),Suppliers!L65="Expired",Suppliers!L65="Terminate"),"",Suppliers!D65*-1*IF(Suppliers!E65="Monthly",IF(AND(ISNUMBER(Suppliers!G65),(YEAR(EDATE(DATE(YEAR(TODAY()),MONTH(TODAY()),1),11))*12+MONTH(EDATE(DATE(YEAR(TODAY()),MONTH(TODAY()),1),11)))&gt;(YEAR(Suppliers!G65)*12+MONTH(Suppliers!G65))),"",1),IF(Suppliers!E65="Quarterly",IF(MOD((YEAR(EDATE(DATE(YEAR(TODAY()),MONTH(TODAY()),1),11))-YEAR(IF(ISNUMBER(Suppliers!F65),Suppliers!F65,DATE(YEAR(TODAY()),MONTH(TODAY()),1))))*12+MONTH(EDATE(DATE(YEAR(TODAY()),MONTH(TODAY()),1),11))-MONTH(IF(ISNUMBER(Suppliers!F65),Suppliers!F65,DATE(YEAR(TODAY()),MONTH(TODAY()),1))),3)=0,1,0),IF(Suppliers!E65="Semi-annual",IF(MOD((YEAR(EDATE(DATE(YEAR(TODAY()),MONTH(TODAY()),1),11))-YEAR(IF(ISNUMBER(Suppliers!F65),Suppliers!F65,DATE(YEAR(TODAY()),MONTH(TODAY()),1))))*12+MONTH(EDATE(DATE(YEAR(TODAY()),MONTH(TODAY()),1),11))-MONTH(IF(ISNUMBER(Suppliers!F65),Suppliers!F65,DATE(YEAR(TODAY()),MONTH(TODAY()),1))),6)=0,1,0),IF(Suppliers!E65="Annual",IF(MOD((YEAR(EDATE(DATE(YEAR(TODAY()),MONTH(TODAY()),1),11))-YEAR(IF(ISNUMBER(Suppliers!F65),Suppliers!F65,DATE(YEAR(TODAY()),MONTH(TODAY()),1))))*12+MONTH(EDATE(DATE(YEAR(TODAY()),MONTH(TODAY()),1),11))-MONTH(IF(ISNUMBER(Suppliers!F65),Suppliers!F65,DATE(YEAR(TODAY()),MONTH(TODAY()),1))),12)=0,1,0),IF(Suppliers!E65="One-time",IF(11=0,1,0),1)))))),"")</f>
        <v/>
      </c>
      <c r="R67" s="10" t="str">
        <f ca="1">IFERROR(IF(OR(12&gt;=$B$1,Suppliers!A65="",NOT(ISNUMBER(Suppliers!D65)),Suppliers!L65="Expired",Suppliers!L65="Terminate"),"",Suppliers!D65*-1*IF(Suppliers!E65="Monthly",IF(AND(ISNUMBER(Suppliers!G65),(YEAR(EDATE(DATE(YEAR(TODAY()),MONTH(TODAY()),1),12))*12+MONTH(EDATE(DATE(YEAR(TODAY()),MONTH(TODAY()),1),12)))&gt;(YEAR(Suppliers!G65)*12+MONTH(Suppliers!G65))),"",1),IF(Suppliers!E65="Quarterly",IF(MOD((YEAR(EDATE(DATE(YEAR(TODAY()),MONTH(TODAY()),1),12))-YEAR(IF(ISNUMBER(Suppliers!F65),Suppliers!F65,DATE(YEAR(TODAY()),MONTH(TODAY()),1))))*12+MONTH(EDATE(DATE(YEAR(TODAY()),MONTH(TODAY()),1),12))-MONTH(IF(ISNUMBER(Suppliers!F65),Suppliers!F65,DATE(YEAR(TODAY()),MONTH(TODAY()),1))),3)=0,1,0),IF(Suppliers!E65="Semi-annual",IF(MOD((YEAR(EDATE(DATE(YEAR(TODAY()),MONTH(TODAY()),1),12))-YEAR(IF(ISNUMBER(Suppliers!F65),Suppliers!F65,DATE(YEAR(TODAY()),MONTH(TODAY()),1))))*12+MONTH(EDATE(DATE(YEAR(TODAY()),MONTH(TODAY()),1),12))-MONTH(IF(ISNUMBER(Suppliers!F65),Suppliers!F65,DATE(YEAR(TODAY()),MONTH(TODAY()),1))),6)=0,1,0),IF(Suppliers!E65="Annual",IF(MOD((YEAR(EDATE(DATE(YEAR(TODAY()),MONTH(TODAY()),1),12))-YEAR(IF(ISNUMBER(Suppliers!F65),Suppliers!F65,DATE(YEAR(TODAY()),MONTH(TODAY()),1))))*12+MONTH(EDATE(DATE(YEAR(TODAY()),MONTH(TODAY()),1),12))-MONTH(IF(ISNUMBER(Suppliers!F65),Suppliers!F65,DATE(YEAR(TODAY()),MONTH(TODAY()),1))),12)=0,1,0),IF(Suppliers!E65="One-time",IF(12=0,1,0),1)))))),"")</f>
        <v/>
      </c>
      <c r="S67" s="10" t="str">
        <f ca="1">IFERROR(IF(OR(13&gt;=$B$1,Suppliers!A65="",NOT(ISNUMBER(Suppliers!D65)),Suppliers!L65="Expired",Suppliers!L65="Terminate"),"",Suppliers!D65*-1*IF(Suppliers!E65="Monthly",IF(AND(ISNUMBER(Suppliers!G65),(YEAR(EDATE(DATE(YEAR(TODAY()),MONTH(TODAY()),1),13))*12+MONTH(EDATE(DATE(YEAR(TODAY()),MONTH(TODAY()),1),13)))&gt;(YEAR(Suppliers!G65)*12+MONTH(Suppliers!G65))),"",1),IF(Suppliers!E65="Quarterly",IF(MOD((YEAR(EDATE(DATE(YEAR(TODAY()),MONTH(TODAY()),1),13))-YEAR(IF(ISNUMBER(Suppliers!F65),Suppliers!F65,DATE(YEAR(TODAY()),MONTH(TODAY()),1))))*12+MONTH(EDATE(DATE(YEAR(TODAY()),MONTH(TODAY()),1),13))-MONTH(IF(ISNUMBER(Suppliers!F65),Suppliers!F65,DATE(YEAR(TODAY()),MONTH(TODAY()),1))),3)=0,1,0),IF(Suppliers!E65="Semi-annual",IF(MOD((YEAR(EDATE(DATE(YEAR(TODAY()),MONTH(TODAY()),1),13))-YEAR(IF(ISNUMBER(Suppliers!F65),Suppliers!F65,DATE(YEAR(TODAY()),MONTH(TODAY()),1))))*12+MONTH(EDATE(DATE(YEAR(TODAY()),MONTH(TODAY()),1),13))-MONTH(IF(ISNUMBER(Suppliers!F65),Suppliers!F65,DATE(YEAR(TODAY()),MONTH(TODAY()),1))),6)=0,1,0),IF(Suppliers!E65="Annual",IF(MOD((YEAR(EDATE(DATE(YEAR(TODAY()),MONTH(TODAY()),1),13))-YEAR(IF(ISNUMBER(Suppliers!F65),Suppliers!F65,DATE(YEAR(TODAY()),MONTH(TODAY()),1))))*12+MONTH(EDATE(DATE(YEAR(TODAY()),MONTH(TODAY()),1),13))-MONTH(IF(ISNUMBER(Suppliers!F65),Suppliers!F65,DATE(YEAR(TODAY()),MONTH(TODAY()),1))),12)=0,1,0),IF(Suppliers!E65="One-time",IF(13=0,1,0),1)))))),"")</f>
        <v/>
      </c>
      <c r="T67" s="10" t="str">
        <f ca="1">IFERROR(IF(OR(14&gt;=$B$1,Suppliers!A65="",NOT(ISNUMBER(Suppliers!D65)),Suppliers!L65="Expired",Suppliers!L65="Terminate"),"",Suppliers!D65*-1*IF(Suppliers!E65="Monthly",IF(AND(ISNUMBER(Suppliers!G65),(YEAR(EDATE(DATE(YEAR(TODAY()),MONTH(TODAY()),1),14))*12+MONTH(EDATE(DATE(YEAR(TODAY()),MONTH(TODAY()),1),14)))&gt;(YEAR(Suppliers!G65)*12+MONTH(Suppliers!G65))),"",1),IF(Suppliers!E65="Quarterly",IF(MOD((YEAR(EDATE(DATE(YEAR(TODAY()),MONTH(TODAY()),1),14))-YEAR(IF(ISNUMBER(Suppliers!F65),Suppliers!F65,DATE(YEAR(TODAY()),MONTH(TODAY()),1))))*12+MONTH(EDATE(DATE(YEAR(TODAY()),MONTH(TODAY()),1),14))-MONTH(IF(ISNUMBER(Suppliers!F65),Suppliers!F65,DATE(YEAR(TODAY()),MONTH(TODAY()),1))),3)=0,1,0),IF(Suppliers!E65="Semi-annual",IF(MOD((YEAR(EDATE(DATE(YEAR(TODAY()),MONTH(TODAY()),1),14))-YEAR(IF(ISNUMBER(Suppliers!F65),Suppliers!F65,DATE(YEAR(TODAY()),MONTH(TODAY()),1))))*12+MONTH(EDATE(DATE(YEAR(TODAY()),MONTH(TODAY()),1),14))-MONTH(IF(ISNUMBER(Suppliers!F65),Suppliers!F65,DATE(YEAR(TODAY()),MONTH(TODAY()),1))),6)=0,1,0),IF(Suppliers!E65="Annual",IF(MOD((YEAR(EDATE(DATE(YEAR(TODAY()),MONTH(TODAY()),1),14))-YEAR(IF(ISNUMBER(Suppliers!F65),Suppliers!F65,DATE(YEAR(TODAY()),MONTH(TODAY()),1))))*12+MONTH(EDATE(DATE(YEAR(TODAY()),MONTH(TODAY()),1),14))-MONTH(IF(ISNUMBER(Suppliers!F65),Suppliers!F65,DATE(YEAR(TODAY()),MONTH(TODAY()),1))),12)=0,1,0),IF(Suppliers!E65="One-time",IF(14=0,1,0),1)))))),"")</f>
        <v/>
      </c>
      <c r="U67" s="10" t="str">
        <f ca="1">IFERROR(IF(OR(15&gt;=$B$1,Suppliers!A65="",NOT(ISNUMBER(Suppliers!D65)),Suppliers!L65="Expired",Suppliers!L65="Terminate"),"",Suppliers!D65*-1*IF(Suppliers!E65="Monthly",IF(AND(ISNUMBER(Suppliers!G65),(YEAR(EDATE(DATE(YEAR(TODAY()),MONTH(TODAY()),1),15))*12+MONTH(EDATE(DATE(YEAR(TODAY()),MONTH(TODAY()),1),15)))&gt;(YEAR(Suppliers!G65)*12+MONTH(Suppliers!G65))),"",1),IF(Suppliers!E65="Quarterly",IF(MOD((YEAR(EDATE(DATE(YEAR(TODAY()),MONTH(TODAY()),1),15))-YEAR(IF(ISNUMBER(Suppliers!F65),Suppliers!F65,DATE(YEAR(TODAY()),MONTH(TODAY()),1))))*12+MONTH(EDATE(DATE(YEAR(TODAY()),MONTH(TODAY()),1),15))-MONTH(IF(ISNUMBER(Suppliers!F65),Suppliers!F65,DATE(YEAR(TODAY()),MONTH(TODAY()),1))),3)=0,1,0),IF(Suppliers!E65="Semi-annual",IF(MOD((YEAR(EDATE(DATE(YEAR(TODAY()),MONTH(TODAY()),1),15))-YEAR(IF(ISNUMBER(Suppliers!F65),Suppliers!F65,DATE(YEAR(TODAY()),MONTH(TODAY()),1))))*12+MONTH(EDATE(DATE(YEAR(TODAY()),MONTH(TODAY()),1),15))-MONTH(IF(ISNUMBER(Suppliers!F65),Suppliers!F65,DATE(YEAR(TODAY()),MONTH(TODAY()),1))),6)=0,1,0),IF(Suppliers!E65="Annual",IF(MOD((YEAR(EDATE(DATE(YEAR(TODAY()),MONTH(TODAY()),1),15))-YEAR(IF(ISNUMBER(Suppliers!F65),Suppliers!F65,DATE(YEAR(TODAY()),MONTH(TODAY()),1))))*12+MONTH(EDATE(DATE(YEAR(TODAY()),MONTH(TODAY()),1),15))-MONTH(IF(ISNUMBER(Suppliers!F65),Suppliers!F65,DATE(YEAR(TODAY()),MONTH(TODAY()),1))),12)=0,1,0),IF(Suppliers!E65="One-time",IF(15=0,1,0),1)))))),"")</f>
        <v/>
      </c>
      <c r="V67" s="10" t="str">
        <f ca="1">IFERROR(IF(OR(16&gt;=$B$1,Suppliers!A65="",NOT(ISNUMBER(Suppliers!D65)),Suppliers!L65="Expired",Suppliers!L65="Terminate"),"",Suppliers!D65*-1*IF(Suppliers!E65="Monthly",IF(AND(ISNUMBER(Suppliers!G65),(YEAR(EDATE(DATE(YEAR(TODAY()),MONTH(TODAY()),1),16))*12+MONTH(EDATE(DATE(YEAR(TODAY()),MONTH(TODAY()),1),16)))&gt;(YEAR(Suppliers!G65)*12+MONTH(Suppliers!G65))),"",1),IF(Suppliers!E65="Quarterly",IF(MOD((YEAR(EDATE(DATE(YEAR(TODAY()),MONTH(TODAY()),1),16))-YEAR(IF(ISNUMBER(Suppliers!F65),Suppliers!F65,DATE(YEAR(TODAY()),MONTH(TODAY()),1))))*12+MONTH(EDATE(DATE(YEAR(TODAY()),MONTH(TODAY()),1),16))-MONTH(IF(ISNUMBER(Suppliers!F65),Suppliers!F65,DATE(YEAR(TODAY()),MONTH(TODAY()),1))),3)=0,1,0),IF(Suppliers!E65="Semi-annual",IF(MOD((YEAR(EDATE(DATE(YEAR(TODAY()),MONTH(TODAY()),1),16))-YEAR(IF(ISNUMBER(Suppliers!F65),Suppliers!F65,DATE(YEAR(TODAY()),MONTH(TODAY()),1))))*12+MONTH(EDATE(DATE(YEAR(TODAY()),MONTH(TODAY()),1),16))-MONTH(IF(ISNUMBER(Suppliers!F65),Suppliers!F65,DATE(YEAR(TODAY()),MONTH(TODAY()),1))),6)=0,1,0),IF(Suppliers!E65="Annual",IF(MOD((YEAR(EDATE(DATE(YEAR(TODAY()),MONTH(TODAY()),1),16))-YEAR(IF(ISNUMBER(Suppliers!F65),Suppliers!F65,DATE(YEAR(TODAY()),MONTH(TODAY()),1))))*12+MONTH(EDATE(DATE(YEAR(TODAY()),MONTH(TODAY()),1),16))-MONTH(IF(ISNUMBER(Suppliers!F65),Suppliers!F65,DATE(YEAR(TODAY()),MONTH(TODAY()),1))),12)=0,1,0),IF(Suppliers!E65="One-time",IF(16=0,1,0),1)))))),"")</f>
        <v/>
      </c>
      <c r="W67" s="10" t="str">
        <f ca="1">IFERROR(IF(OR(17&gt;=$B$1,Suppliers!A65="",NOT(ISNUMBER(Suppliers!D65)),Suppliers!L65="Expired",Suppliers!L65="Terminate"),"",Suppliers!D65*-1*IF(Suppliers!E65="Monthly",IF(AND(ISNUMBER(Suppliers!G65),(YEAR(EDATE(DATE(YEAR(TODAY()),MONTH(TODAY()),1),17))*12+MONTH(EDATE(DATE(YEAR(TODAY()),MONTH(TODAY()),1),17)))&gt;(YEAR(Suppliers!G65)*12+MONTH(Suppliers!G65))),"",1),IF(Suppliers!E65="Quarterly",IF(MOD((YEAR(EDATE(DATE(YEAR(TODAY()),MONTH(TODAY()),1),17))-YEAR(IF(ISNUMBER(Suppliers!F65),Suppliers!F65,DATE(YEAR(TODAY()),MONTH(TODAY()),1))))*12+MONTH(EDATE(DATE(YEAR(TODAY()),MONTH(TODAY()),1),17))-MONTH(IF(ISNUMBER(Suppliers!F65),Suppliers!F65,DATE(YEAR(TODAY()),MONTH(TODAY()),1))),3)=0,1,0),IF(Suppliers!E65="Semi-annual",IF(MOD((YEAR(EDATE(DATE(YEAR(TODAY()),MONTH(TODAY()),1),17))-YEAR(IF(ISNUMBER(Suppliers!F65),Suppliers!F65,DATE(YEAR(TODAY()),MONTH(TODAY()),1))))*12+MONTH(EDATE(DATE(YEAR(TODAY()),MONTH(TODAY()),1),17))-MONTH(IF(ISNUMBER(Suppliers!F65),Suppliers!F65,DATE(YEAR(TODAY()),MONTH(TODAY()),1))),6)=0,1,0),IF(Suppliers!E65="Annual",IF(MOD((YEAR(EDATE(DATE(YEAR(TODAY()),MONTH(TODAY()),1),17))-YEAR(IF(ISNUMBER(Suppliers!F65),Suppliers!F65,DATE(YEAR(TODAY()),MONTH(TODAY()),1))))*12+MONTH(EDATE(DATE(YEAR(TODAY()),MONTH(TODAY()),1),17))-MONTH(IF(ISNUMBER(Suppliers!F65),Suppliers!F65,DATE(YEAR(TODAY()),MONTH(TODAY()),1))),12)=0,1,0),IF(Suppliers!E65="One-time",IF(17=0,1,0),1)))))),"")</f>
        <v/>
      </c>
      <c r="X67" s="10" t="str">
        <f ca="1">IFERROR(IF(OR(18&gt;=$B$1,Suppliers!A65="",NOT(ISNUMBER(Suppliers!D65)),Suppliers!L65="Expired",Suppliers!L65="Terminate"),"",Suppliers!D65*-1*IF(Suppliers!E65="Monthly",IF(AND(ISNUMBER(Suppliers!G65),(YEAR(EDATE(DATE(YEAR(TODAY()),MONTH(TODAY()),1),18))*12+MONTH(EDATE(DATE(YEAR(TODAY()),MONTH(TODAY()),1),18)))&gt;(YEAR(Suppliers!G65)*12+MONTH(Suppliers!G65))),"",1),IF(Suppliers!E65="Quarterly",IF(MOD((YEAR(EDATE(DATE(YEAR(TODAY()),MONTH(TODAY()),1),18))-YEAR(IF(ISNUMBER(Suppliers!F65),Suppliers!F65,DATE(YEAR(TODAY()),MONTH(TODAY()),1))))*12+MONTH(EDATE(DATE(YEAR(TODAY()),MONTH(TODAY()),1),18))-MONTH(IF(ISNUMBER(Suppliers!F65),Suppliers!F65,DATE(YEAR(TODAY()),MONTH(TODAY()),1))),3)=0,1,0),IF(Suppliers!E65="Semi-annual",IF(MOD((YEAR(EDATE(DATE(YEAR(TODAY()),MONTH(TODAY()),1),18))-YEAR(IF(ISNUMBER(Suppliers!F65),Suppliers!F65,DATE(YEAR(TODAY()),MONTH(TODAY()),1))))*12+MONTH(EDATE(DATE(YEAR(TODAY()),MONTH(TODAY()),1),18))-MONTH(IF(ISNUMBER(Suppliers!F65),Suppliers!F65,DATE(YEAR(TODAY()),MONTH(TODAY()),1))),6)=0,1,0),IF(Suppliers!E65="Annual",IF(MOD((YEAR(EDATE(DATE(YEAR(TODAY()),MONTH(TODAY()),1),18))-YEAR(IF(ISNUMBER(Suppliers!F65),Suppliers!F65,DATE(YEAR(TODAY()),MONTH(TODAY()),1))))*12+MONTH(EDATE(DATE(YEAR(TODAY()),MONTH(TODAY()),1),18))-MONTH(IF(ISNUMBER(Suppliers!F65),Suppliers!F65,DATE(YEAR(TODAY()),MONTH(TODAY()),1))),12)=0,1,0),IF(Suppliers!E65="One-time",IF(18=0,1,0),1)))))),"")</f>
        <v/>
      </c>
      <c r="Y67" s="10" t="str">
        <f ca="1">IFERROR(IF(OR(19&gt;=$B$1,Suppliers!A65="",NOT(ISNUMBER(Suppliers!D65)),Suppliers!L65="Expired",Suppliers!L65="Terminate"),"",Suppliers!D65*-1*IF(Suppliers!E65="Monthly",IF(AND(ISNUMBER(Suppliers!G65),(YEAR(EDATE(DATE(YEAR(TODAY()),MONTH(TODAY()),1),19))*12+MONTH(EDATE(DATE(YEAR(TODAY()),MONTH(TODAY()),1),19)))&gt;(YEAR(Suppliers!G65)*12+MONTH(Suppliers!G65))),"",1),IF(Suppliers!E65="Quarterly",IF(MOD((YEAR(EDATE(DATE(YEAR(TODAY()),MONTH(TODAY()),1),19))-YEAR(IF(ISNUMBER(Suppliers!F65),Suppliers!F65,DATE(YEAR(TODAY()),MONTH(TODAY()),1))))*12+MONTH(EDATE(DATE(YEAR(TODAY()),MONTH(TODAY()),1),19))-MONTH(IF(ISNUMBER(Suppliers!F65),Suppliers!F65,DATE(YEAR(TODAY()),MONTH(TODAY()),1))),3)=0,1,0),IF(Suppliers!E65="Semi-annual",IF(MOD((YEAR(EDATE(DATE(YEAR(TODAY()),MONTH(TODAY()),1),19))-YEAR(IF(ISNUMBER(Suppliers!F65),Suppliers!F65,DATE(YEAR(TODAY()),MONTH(TODAY()),1))))*12+MONTH(EDATE(DATE(YEAR(TODAY()),MONTH(TODAY()),1),19))-MONTH(IF(ISNUMBER(Suppliers!F65),Suppliers!F65,DATE(YEAR(TODAY()),MONTH(TODAY()),1))),6)=0,1,0),IF(Suppliers!E65="Annual",IF(MOD((YEAR(EDATE(DATE(YEAR(TODAY()),MONTH(TODAY()),1),19))-YEAR(IF(ISNUMBER(Suppliers!F65),Suppliers!F65,DATE(YEAR(TODAY()),MONTH(TODAY()),1))))*12+MONTH(EDATE(DATE(YEAR(TODAY()),MONTH(TODAY()),1),19))-MONTH(IF(ISNUMBER(Suppliers!F65),Suppliers!F65,DATE(YEAR(TODAY()),MONTH(TODAY()),1))),12)=0,1,0),IF(Suppliers!E65="One-time",IF(19=0,1,0),1)))))),"")</f>
        <v/>
      </c>
      <c r="Z67" s="10" t="str">
        <f ca="1">IFERROR(IF(OR(20&gt;=$B$1,Suppliers!A65="",NOT(ISNUMBER(Suppliers!D65)),Suppliers!L65="Expired",Suppliers!L65="Terminate"),"",Suppliers!D65*-1*IF(Suppliers!E65="Monthly",IF(AND(ISNUMBER(Suppliers!G65),(YEAR(EDATE(DATE(YEAR(TODAY()),MONTH(TODAY()),1),20))*12+MONTH(EDATE(DATE(YEAR(TODAY()),MONTH(TODAY()),1),20)))&gt;(YEAR(Suppliers!G65)*12+MONTH(Suppliers!G65))),"",1),IF(Suppliers!E65="Quarterly",IF(MOD((YEAR(EDATE(DATE(YEAR(TODAY()),MONTH(TODAY()),1),20))-YEAR(IF(ISNUMBER(Suppliers!F65),Suppliers!F65,DATE(YEAR(TODAY()),MONTH(TODAY()),1))))*12+MONTH(EDATE(DATE(YEAR(TODAY()),MONTH(TODAY()),1),20))-MONTH(IF(ISNUMBER(Suppliers!F65),Suppliers!F65,DATE(YEAR(TODAY()),MONTH(TODAY()),1))),3)=0,1,0),IF(Suppliers!E65="Semi-annual",IF(MOD((YEAR(EDATE(DATE(YEAR(TODAY()),MONTH(TODAY()),1),20))-YEAR(IF(ISNUMBER(Suppliers!F65),Suppliers!F65,DATE(YEAR(TODAY()),MONTH(TODAY()),1))))*12+MONTH(EDATE(DATE(YEAR(TODAY()),MONTH(TODAY()),1),20))-MONTH(IF(ISNUMBER(Suppliers!F65),Suppliers!F65,DATE(YEAR(TODAY()),MONTH(TODAY()),1))),6)=0,1,0),IF(Suppliers!E65="Annual",IF(MOD((YEAR(EDATE(DATE(YEAR(TODAY()),MONTH(TODAY()),1),20))-YEAR(IF(ISNUMBER(Suppliers!F65),Suppliers!F65,DATE(YEAR(TODAY()),MONTH(TODAY()),1))))*12+MONTH(EDATE(DATE(YEAR(TODAY()),MONTH(TODAY()),1),20))-MONTH(IF(ISNUMBER(Suppliers!F65),Suppliers!F65,DATE(YEAR(TODAY()),MONTH(TODAY()),1))),12)=0,1,0),IF(Suppliers!E65="One-time",IF(20=0,1,0),1)))))),"")</f>
        <v/>
      </c>
      <c r="AA67" s="10" t="str">
        <f ca="1">IFERROR(IF(OR(21&gt;=$B$1,Suppliers!A65="",NOT(ISNUMBER(Suppliers!D65)),Suppliers!L65="Expired",Suppliers!L65="Terminate"),"",Suppliers!D65*-1*IF(Suppliers!E65="Monthly",IF(AND(ISNUMBER(Suppliers!G65),(YEAR(EDATE(DATE(YEAR(TODAY()),MONTH(TODAY()),1),21))*12+MONTH(EDATE(DATE(YEAR(TODAY()),MONTH(TODAY()),1),21)))&gt;(YEAR(Suppliers!G65)*12+MONTH(Suppliers!G65))),"",1),IF(Suppliers!E65="Quarterly",IF(MOD((YEAR(EDATE(DATE(YEAR(TODAY()),MONTH(TODAY()),1),21))-YEAR(IF(ISNUMBER(Suppliers!F65),Suppliers!F65,DATE(YEAR(TODAY()),MONTH(TODAY()),1))))*12+MONTH(EDATE(DATE(YEAR(TODAY()),MONTH(TODAY()),1),21))-MONTH(IF(ISNUMBER(Suppliers!F65),Suppliers!F65,DATE(YEAR(TODAY()),MONTH(TODAY()),1))),3)=0,1,0),IF(Suppliers!E65="Semi-annual",IF(MOD((YEAR(EDATE(DATE(YEAR(TODAY()),MONTH(TODAY()),1),21))-YEAR(IF(ISNUMBER(Suppliers!F65),Suppliers!F65,DATE(YEAR(TODAY()),MONTH(TODAY()),1))))*12+MONTH(EDATE(DATE(YEAR(TODAY()),MONTH(TODAY()),1),21))-MONTH(IF(ISNUMBER(Suppliers!F65),Suppliers!F65,DATE(YEAR(TODAY()),MONTH(TODAY()),1))),6)=0,1,0),IF(Suppliers!E65="Annual",IF(MOD((YEAR(EDATE(DATE(YEAR(TODAY()),MONTH(TODAY()),1),21))-YEAR(IF(ISNUMBER(Suppliers!F65),Suppliers!F65,DATE(YEAR(TODAY()),MONTH(TODAY()),1))))*12+MONTH(EDATE(DATE(YEAR(TODAY()),MONTH(TODAY()),1),21))-MONTH(IF(ISNUMBER(Suppliers!F65),Suppliers!F65,DATE(YEAR(TODAY()),MONTH(TODAY()),1))),12)=0,1,0),IF(Suppliers!E65="One-time",IF(21=0,1,0),1)))))),"")</f>
        <v/>
      </c>
      <c r="AB67" s="10" t="str">
        <f ca="1">IFERROR(IF(OR(22&gt;=$B$1,Suppliers!A65="",NOT(ISNUMBER(Suppliers!D65)),Suppliers!L65="Expired",Suppliers!L65="Terminate"),"",Suppliers!D65*-1*IF(Suppliers!E65="Monthly",IF(AND(ISNUMBER(Suppliers!G65),(YEAR(EDATE(DATE(YEAR(TODAY()),MONTH(TODAY()),1),22))*12+MONTH(EDATE(DATE(YEAR(TODAY()),MONTH(TODAY()),1),22)))&gt;(YEAR(Suppliers!G65)*12+MONTH(Suppliers!G65))),"",1),IF(Suppliers!E65="Quarterly",IF(MOD((YEAR(EDATE(DATE(YEAR(TODAY()),MONTH(TODAY()),1),22))-YEAR(IF(ISNUMBER(Suppliers!F65),Suppliers!F65,DATE(YEAR(TODAY()),MONTH(TODAY()),1))))*12+MONTH(EDATE(DATE(YEAR(TODAY()),MONTH(TODAY()),1),22))-MONTH(IF(ISNUMBER(Suppliers!F65),Suppliers!F65,DATE(YEAR(TODAY()),MONTH(TODAY()),1))),3)=0,1,0),IF(Suppliers!E65="Semi-annual",IF(MOD((YEAR(EDATE(DATE(YEAR(TODAY()),MONTH(TODAY()),1),22))-YEAR(IF(ISNUMBER(Suppliers!F65),Suppliers!F65,DATE(YEAR(TODAY()),MONTH(TODAY()),1))))*12+MONTH(EDATE(DATE(YEAR(TODAY()),MONTH(TODAY()),1),22))-MONTH(IF(ISNUMBER(Suppliers!F65),Suppliers!F65,DATE(YEAR(TODAY()),MONTH(TODAY()),1))),6)=0,1,0),IF(Suppliers!E65="Annual",IF(MOD((YEAR(EDATE(DATE(YEAR(TODAY()),MONTH(TODAY()),1),22))-YEAR(IF(ISNUMBER(Suppliers!F65),Suppliers!F65,DATE(YEAR(TODAY()),MONTH(TODAY()),1))))*12+MONTH(EDATE(DATE(YEAR(TODAY()),MONTH(TODAY()),1),22))-MONTH(IF(ISNUMBER(Suppliers!F65),Suppliers!F65,DATE(YEAR(TODAY()),MONTH(TODAY()),1))),12)=0,1,0),IF(Suppliers!E65="One-time",IF(22=0,1,0),1)))))),"")</f>
        <v/>
      </c>
      <c r="AC67" s="10" t="str">
        <f ca="1">IFERROR(IF(OR(23&gt;=$B$1,Suppliers!A65="",NOT(ISNUMBER(Suppliers!D65)),Suppliers!L65="Expired",Suppliers!L65="Terminate"),"",Suppliers!D65*-1*IF(Suppliers!E65="Monthly",IF(AND(ISNUMBER(Suppliers!G65),(YEAR(EDATE(DATE(YEAR(TODAY()),MONTH(TODAY()),1),23))*12+MONTH(EDATE(DATE(YEAR(TODAY()),MONTH(TODAY()),1),23)))&gt;(YEAR(Suppliers!G65)*12+MONTH(Suppliers!G65))),"",1),IF(Suppliers!E65="Quarterly",IF(MOD((YEAR(EDATE(DATE(YEAR(TODAY()),MONTH(TODAY()),1),23))-YEAR(IF(ISNUMBER(Suppliers!F65),Suppliers!F65,DATE(YEAR(TODAY()),MONTH(TODAY()),1))))*12+MONTH(EDATE(DATE(YEAR(TODAY()),MONTH(TODAY()),1),23))-MONTH(IF(ISNUMBER(Suppliers!F65),Suppliers!F65,DATE(YEAR(TODAY()),MONTH(TODAY()),1))),3)=0,1,0),IF(Suppliers!E65="Semi-annual",IF(MOD((YEAR(EDATE(DATE(YEAR(TODAY()),MONTH(TODAY()),1),23))-YEAR(IF(ISNUMBER(Suppliers!F65),Suppliers!F65,DATE(YEAR(TODAY()),MONTH(TODAY()),1))))*12+MONTH(EDATE(DATE(YEAR(TODAY()),MONTH(TODAY()),1),23))-MONTH(IF(ISNUMBER(Suppliers!F65),Suppliers!F65,DATE(YEAR(TODAY()),MONTH(TODAY()),1))),6)=0,1,0),IF(Suppliers!E65="Annual",IF(MOD((YEAR(EDATE(DATE(YEAR(TODAY()),MONTH(TODAY()),1),23))-YEAR(IF(ISNUMBER(Suppliers!F65),Suppliers!F65,DATE(YEAR(TODAY()),MONTH(TODAY()),1))))*12+MONTH(EDATE(DATE(YEAR(TODAY()),MONTH(TODAY()),1),23))-MONTH(IF(ISNUMBER(Suppliers!F65),Suppliers!F65,DATE(YEAR(TODAY()),MONTH(TODAY()),1))),12)=0,1,0),IF(Suppliers!E65="One-time",IF(23=0,1,0),1)))))),"")</f>
        <v/>
      </c>
    </row>
    <row r="68" spans="1:29" ht="15" customHeight="1" x14ac:dyDescent="0.35">
      <c r="A68" s="4" t="s">
        <v>80</v>
      </c>
      <c r="B68" s="4" t="str">
        <f>IF(Suppliers!A66="","",Suppliers!A66)</f>
        <v/>
      </c>
      <c r="C68" s="10" t="str">
        <f>IF(Suppliers!C66="","",Suppliers!C66)</f>
        <v/>
      </c>
      <c r="D68" s="10" t="str">
        <f>IF(Suppliers!D66="","",Suppliers!D66)</f>
        <v/>
      </c>
      <c r="E68" s="4" t="str">
        <f>IF(Suppliers!E66="","",Suppliers!E66)</f>
        <v/>
      </c>
      <c r="F68" s="10" t="str">
        <f ca="1">IFERROR(IF(OR(0&gt;=$B$1,Suppliers!A66="",NOT(ISNUMBER(Suppliers!D66)),Suppliers!L66="Expired",Suppliers!L66="Terminate"),"",Suppliers!D66*-1*IF(Suppliers!E66="Monthly",IF(AND(ISNUMBER(Suppliers!G66),(YEAR(EDATE(DATE(YEAR(TODAY()),MONTH(TODAY()),1),0))*12+MONTH(EDATE(DATE(YEAR(TODAY()),MONTH(TODAY()),1),0)))&gt;(YEAR(Suppliers!G66)*12+MONTH(Suppliers!G66))),"",1),IF(Suppliers!E66="Quarterly",IF(MOD((YEAR(EDATE(DATE(YEAR(TODAY()),MONTH(TODAY()),1),0))-YEAR(IF(ISNUMBER(Suppliers!F66),Suppliers!F66,DATE(YEAR(TODAY()),MONTH(TODAY()),1))))*12+MONTH(EDATE(DATE(YEAR(TODAY()),MONTH(TODAY()),1),0))-MONTH(IF(ISNUMBER(Suppliers!F66),Suppliers!F66,DATE(YEAR(TODAY()),MONTH(TODAY()),1))),3)=0,1,0),IF(Suppliers!E66="Semi-annual",IF(MOD((YEAR(EDATE(DATE(YEAR(TODAY()),MONTH(TODAY()),1),0))-YEAR(IF(ISNUMBER(Suppliers!F66),Suppliers!F66,DATE(YEAR(TODAY()),MONTH(TODAY()),1))))*12+MONTH(EDATE(DATE(YEAR(TODAY()),MONTH(TODAY()),1),0))-MONTH(IF(ISNUMBER(Suppliers!F66),Suppliers!F66,DATE(YEAR(TODAY()),MONTH(TODAY()),1))),6)=0,1,0),IF(Suppliers!E66="Annual",IF(MOD((YEAR(EDATE(DATE(YEAR(TODAY()),MONTH(TODAY()),1),0))-YEAR(IF(ISNUMBER(Suppliers!F66),Suppliers!F66,DATE(YEAR(TODAY()),MONTH(TODAY()),1))))*12+MONTH(EDATE(DATE(YEAR(TODAY()),MONTH(TODAY()),1),0))-MONTH(IF(ISNUMBER(Suppliers!F66),Suppliers!F66,DATE(YEAR(TODAY()),MONTH(TODAY()),1))),12)=0,1,0),IF(Suppliers!E66="One-time",IF(0=0,1,0),1)))))),"")</f>
        <v/>
      </c>
      <c r="G68" s="10" t="str">
        <f ca="1">IFERROR(IF(OR(1&gt;=$B$1,Suppliers!A66="",NOT(ISNUMBER(Suppliers!D66)),Suppliers!L66="Expired",Suppliers!L66="Terminate"),"",Suppliers!D66*-1*IF(Suppliers!E66="Monthly",IF(AND(ISNUMBER(Suppliers!G66),(YEAR(EDATE(DATE(YEAR(TODAY()),MONTH(TODAY()),1),1))*12+MONTH(EDATE(DATE(YEAR(TODAY()),MONTH(TODAY()),1),1)))&gt;(YEAR(Suppliers!G66)*12+MONTH(Suppliers!G66))),"",1),IF(Suppliers!E66="Quarterly",IF(MOD((YEAR(EDATE(DATE(YEAR(TODAY()),MONTH(TODAY()),1),1))-YEAR(IF(ISNUMBER(Suppliers!F66),Suppliers!F66,DATE(YEAR(TODAY()),MONTH(TODAY()),1))))*12+MONTH(EDATE(DATE(YEAR(TODAY()),MONTH(TODAY()),1),1))-MONTH(IF(ISNUMBER(Suppliers!F66),Suppliers!F66,DATE(YEAR(TODAY()),MONTH(TODAY()),1))),3)=0,1,0),IF(Suppliers!E66="Semi-annual",IF(MOD((YEAR(EDATE(DATE(YEAR(TODAY()),MONTH(TODAY()),1),1))-YEAR(IF(ISNUMBER(Suppliers!F66),Suppliers!F66,DATE(YEAR(TODAY()),MONTH(TODAY()),1))))*12+MONTH(EDATE(DATE(YEAR(TODAY()),MONTH(TODAY()),1),1))-MONTH(IF(ISNUMBER(Suppliers!F66),Suppliers!F66,DATE(YEAR(TODAY()),MONTH(TODAY()),1))),6)=0,1,0),IF(Suppliers!E66="Annual",IF(MOD((YEAR(EDATE(DATE(YEAR(TODAY()),MONTH(TODAY()),1),1))-YEAR(IF(ISNUMBER(Suppliers!F66),Suppliers!F66,DATE(YEAR(TODAY()),MONTH(TODAY()),1))))*12+MONTH(EDATE(DATE(YEAR(TODAY()),MONTH(TODAY()),1),1))-MONTH(IF(ISNUMBER(Suppliers!F66),Suppliers!F66,DATE(YEAR(TODAY()),MONTH(TODAY()),1))),12)=0,1,0),IF(Suppliers!E66="One-time",IF(1=0,1,0),1)))))),"")</f>
        <v/>
      </c>
      <c r="H68" s="10" t="str">
        <f ca="1">IFERROR(IF(OR(2&gt;=$B$1,Suppliers!A66="",NOT(ISNUMBER(Suppliers!D66)),Suppliers!L66="Expired",Suppliers!L66="Terminate"),"",Suppliers!D66*-1*IF(Suppliers!E66="Monthly",IF(AND(ISNUMBER(Suppliers!G66),(YEAR(EDATE(DATE(YEAR(TODAY()),MONTH(TODAY()),1),2))*12+MONTH(EDATE(DATE(YEAR(TODAY()),MONTH(TODAY()),1),2)))&gt;(YEAR(Suppliers!G66)*12+MONTH(Suppliers!G66))),"",1),IF(Suppliers!E66="Quarterly",IF(MOD((YEAR(EDATE(DATE(YEAR(TODAY()),MONTH(TODAY()),1),2))-YEAR(IF(ISNUMBER(Suppliers!F66),Suppliers!F66,DATE(YEAR(TODAY()),MONTH(TODAY()),1))))*12+MONTH(EDATE(DATE(YEAR(TODAY()),MONTH(TODAY()),1),2))-MONTH(IF(ISNUMBER(Suppliers!F66),Suppliers!F66,DATE(YEAR(TODAY()),MONTH(TODAY()),1))),3)=0,1,0),IF(Suppliers!E66="Semi-annual",IF(MOD((YEAR(EDATE(DATE(YEAR(TODAY()),MONTH(TODAY()),1),2))-YEAR(IF(ISNUMBER(Suppliers!F66),Suppliers!F66,DATE(YEAR(TODAY()),MONTH(TODAY()),1))))*12+MONTH(EDATE(DATE(YEAR(TODAY()),MONTH(TODAY()),1),2))-MONTH(IF(ISNUMBER(Suppliers!F66),Suppliers!F66,DATE(YEAR(TODAY()),MONTH(TODAY()),1))),6)=0,1,0),IF(Suppliers!E66="Annual",IF(MOD((YEAR(EDATE(DATE(YEAR(TODAY()),MONTH(TODAY()),1),2))-YEAR(IF(ISNUMBER(Suppliers!F66),Suppliers!F66,DATE(YEAR(TODAY()),MONTH(TODAY()),1))))*12+MONTH(EDATE(DATE(YEAR(TODAY()),MONTH(TODAY()),1),2))-MONTH(IF(ISNUMBER(Suppliers!F66),Suppliers!F66,DATE(YEAR(TODAY()),MONTH(TODAY()),1))),12)=0,1,0),IF(Suppliers!E66="One-time",IF(2=0,1,0),1)))))),"")</f>
        <v/>
      </c>
      <c r="I68" s="10" t="str">
        <f ca="1">IFERROR(IF(OR(3&gt;=$B$1,Suppliers!A66="",NOT(ISNUMBER(Suppliers!D66)),Suppliers!L66="Expired",Suppliers!L66="Terminate"),"",Suppliers!D66*-1*IF(Suppliers!E66="Monthly",IF(AND(ISNUMBER(Suppliers!G66),(YEAR(EDATE(DATE(YEAR(TODAY()),MONTH(TODAY()),1),3))*12+MONTH(EDATE(DATE(YEAR(TODAY()),MONTH(TODAY()),1),3)))&gt;(YEAR(Suppliers!G66)*12+MONTH(Suppliers!G66))),"",1),IF(Suppliers!E66="Quarterly",IF(MOD((YEAR(EDATE(DATE(YEAR(TODAY()),MONTH(TODAY()),1),3))-YEAR(IF(ISNUMBER(Suppliers!F66),Suppliers!F66,DATE(YEAR(TODAY()),MONTH(TODAY()),1))))*12+MONTH(EDATE(DATE(YEAR(TODAY()),MONTH(TODAY()),1),3))-MONTH(IF(ISNUMBER(Suppliers!F66),Suppliers!F66,DATE(YEAR(TODAY()),MONTH(TODAY()),1))),3)=0,1,0),IF(Suppliers!E66="Semi-annual",IF(MOD((YEAR(EDATE(DATE(YEAR(TODAY()),MONTH(TODAY()),1),3))-YEAR(IF(ISNUMBER(Suppliers!F66),Suppliers!F66,DATE(YEAR(TODAY()),MONTH(TODAY()),1))))*12+MONTH(EDATE(DATE(YEAR(TODAY()),MONTH(TODAY()),1),3))-MONTH(IF(ISNUMBER(Suppliers!F66),Suppliers!F66,DATE(YEAR(TODAY()),MONTH(TODAY()),1))),6)=0,1,0),IF(Suppliers!E66="Annual",IF(MOD((YEAR(EDATE(DATE(YEAR(TODAY()),MONTH(TODAY()),1),3))-YEAR(IF(ISNUMBER(Suppliers!F66),Suppliers!F66,DATE(YEAR(TODAY()),MONTH(TODAY()),1))))*12+MONTH(EDATE(DATE(YEAR(TODAY()),MONTH(TODAY()),1),3))-MONTH(IF(ISNUMBER(Suppliers!F66),Suppliers!F66,DATE(YEAR(TODAY()),MONTH(TODAY()),1))),12)=0,1,0),IF(Suppliers!E66="One-time",IF(3=0,1,0),1)))))),"")</f>
        <v/>
      </c>
      <c r="J68" s="10" t="str">
        <f ca="1">IFERROR(IF(OR(4&gt;=$B$1,Suppliers!A66="",NOT(ISNUMBER(Suppliers!D66)),Suppliers!L66="Expired",Suppliers!L66="Terminate"),"",Suppliers!D66*-1*IF(Suppliers!E66="Monthly",IF(AND(ISNUMBER(Suppliers!G66),(YEAR(EDATE(DATE(YEAR(TODAY()),MONTH(TODAY()),1),4))*12+MONTH(EDATE(DATE(YEAR(TODAY()),MONTH(TODAY()),1),4)))&gt;(YEAR(Suppliers!G66)*12+MONTH(Suppliers!G66))),"",1),IF(Suppliers!E66="Quarterly",IF(MOD((YEAR(EDATE(DATE(YEAR(TODAY()),MONTH(TODAY()),1),4))-YEAR(IF(ISNUMBER(Suppliers!F66),Suppliers!F66,DATE(YEAR(TODAY()),MONTH(TODAY()),1))))*12+MONTH(EDATE(DATE(YEAR(TODAY()),MONTH(TODAY()),1),4))-MONTH(IF(ISNUMBER(Suppliers!F66),Suppliers!F66,DATE(YEAR(TODAY()),MONTH(TODAY()),1))),3)=0,1,0),IF(Suppliers!E66="Semi-annual",IF(MOD((YEAR(EDATE(DATE(YEAR(TODAY()),MONTH(TODAY()),1),4))-YEAR(IF(ISNUMBER(Suppliers!F66),Suppliers!F66,DATE(YEAR(TODAY()),MONTH(TODAY()),1))))*12+MONTH(EDATE(DATE(YEAR(TODAY()),MONTH(TODAY()),1),4))-MONTH(IF(ISNUMBER(Suppliers!F66),Suppliers!F66,DATE(YEAR(TODAY()),MONTH(TODAY()),1))),6)=0,1,0),IF(Suppliers!E66="Annual",IF(MOD((YEAR(EDATE(DATE(YEAR(TODAY()),MONTH(TODAY()),1),4))-YEAR(IF(ISNUMBER(Suppliers!F66),Suppliers!F66,DATE(YEAR(TODAY()),MONTH(TODAY()),1))))*12+MONTH(EDATE(DATE(YEAR(TODAY()),MONTH(TODAY()),1),4))-MONTH(IF(ISNUMBER(Suppliers!F66),Suppliers!F66,DATE(YEAR(TODAY()),MONTH(TODAY()),1))),12)=0,1,0),IF(Suppliers!E66="One-time",IF(4=0,1,0),1)))))),"")</f>
        <v/>
      </c>
      <c r="K68" s="10" t="str">
        <f ca="1">IFERROR(IF(OR(5&gt;=$B$1,Suppliers!A66="",NOT(ISNUMBER(Suppliers!D66)),Suppliers!L66="Expired",Suppliers!L66="Terminate"),"",Suppliers!D66*-1*IF(Suppliers!E66="Monthly",IF(AND(ISNUMBER(Suppliers!G66),(YEAR(EDATE(DATE(YEAR(TODAY()),MONTH(TODAY()),1),5))*12+MONTH(EDATE(DATE(YEAR(TODAY()),MONTH(TODAY()),1),5)))&gt;(YEAR(Suppliers!G66)*12+MONTH(Suppliers!G66))),"",1),IF(Suppliers!E66="Quarterly",IF(MOD((YEAR(EDATE(DATE(YEAR(TODAY()),MONTH(TODAY()),1),5))-YEAR(IF(ISNUMBER(Suppliers!F66),Suppliers!F66,DATE(YEAR(TODAY()),MONTH(TODAY()),1))))*12+MONTH(EDATE(DATE(YEAR(TODAY()),MONTH(TODAY()),1),5))-MONTH(IF(ISNUMBER(Suppliers!F66),Suppliers!F66,DATE(YEAR(TODAY()),MONTH(TODAY()),1))),3)=0,1,0),IF(Suppliers!E66="Semi-annual",IF(MOD((YEAR(EDATE(DATE(YEAR(TODAY()),MONTH(TODAY()),1),5))-YEAR(IF(ISNUMBER(Suppliers!F66),Suppliers!F66,DATE(YEAR(TODAY()),MONTH(TODAY()),1))))*12+MONTH(EDATE(DATE(YEAR(TODAY()),MONTH(TODAY()),1),5))-MONTH(IF(ISNUMBER(Suppliers!F66),Suppliers!F66,DATE(YEAR(TODAY()),MONTH(TODAY()),1))),6)=0,1,0),IF(Suppliers!E66="Annual",IF(MOD((YEAR(EDATE(DATE(YEAR(TODAY()),MONTH(TODAY()),1),5))-YEAR(IF(ISNUMBER(Suppliers!F66),Suppliers!F66,DATE(YEAR(TODAY()),MONTH(TODAY()),1))))*12+MONTH(EDATE(DATE(YEAR(TODAY()),MONTH(TODAY()),1),5))-MONTH(IF(ISNUMBER(Suppliers!F66),Suppliers!F66,DATE(YEAR(TODAY()),MONTH(TODAY()),1))),12)=0,1,0),IF(Suppliers!E66="One-time",IF(5=0,1,0),1)))))),"")</f>
        <v/>
      </c>
      <c r="L68" s="10" t="str">
        <f ca="1">IFERROR(IF(OR(6&gt;=$B$1,Suppliers!A66="",NOT(ISNUMBER(Suppliers!D66)),Suppliers!L66="Expired",Suppliers!L66="Terminate"),"",Suppliers!D66*-1*IF(Suppliers!E66="Monthly",IF(AND(ISNUMBER(Suppliers!G66),(YEAR(EDATE(DATE(YEAR(TODAY()),MONTH(TODAY()),1),6))*12+MONTH(EDATE(DATE(YEAR(TODAY()),MONTH(TODAY()),1),6)))&gt;(YEAR(Suppliers!G66)*12+MONTH(Suppliers!G66))),"",1),IF(Suppliers!E66="Quarterly",IF(MOD((YEAR(EDATE(DATE(YEAR(TODAY()),MONTH(TODAY()),1),6))-YEAR(IF(ISNUMBER(Suppliers!F66),Suppliers!F66,DATE(YEAR(TODAY()),MONTH(TODAY()),1))))*12+MONTH(EDATE(DATE(YEAR(TODAY()),MONTH(TODAY()),1),6))-MONTH(IF(ISNUMBER(Suppliers!F66),Suppliers!F66,DATE(YEAR(TODAY()),MONTH(TODAY()),1))),3)=0,1,0),IF(Suppliers!E66="Semi-annual",IF(MOD((YEAR(EDATE(DATE(YEAR(TODAY()),MONTH(TODAY()),1),6))-YEAR(IF(ISNUMBER(Suppliers!F66),Suppliers!F66,DATE(YEAR(TODAY()),MONTH(TODAY()),1))))*12+MONTH(EDATE(DATE(YEAR(TODAY()),MONTH(TODAY()),1),6))-MONTH(IF(ISNUMBER(Suppliers!F66),Suppliers!F66,DATE(YEAR(TODAY()),MONTH(TODAY()),1))),6)=0,1,0),IF(Suppliers!E66="Annual",IF(MOD((YEAR(EDATE(DATE(YEAR(TODAY()),MONTH(TODAY()),1),6))-YEAR(IF(ISNUMBER(Suppliers!F66),Suppliers!F66,DATE(YEAR(TODAY()),MONTH(TODAY()),1))))*12+MONTH(EDATE(DATE(YEAR(TODAY()),MONTH(TODAY()),1),6))-MONTH(IF(ISNUMBER(Suppliers!F66),Suppliers!F66,DATE(YEAR(TODAY()),MONTH(TODAY()),1))),12)=0,1,0),IF(Suppliers!E66="One-time",IF(6=0,1,0),1)))))),"")</f>
        <v/>
      </c>
      <c r="M68" s="10" t="str">
        <f ca="1">IFERROR(IF(OR(7&gt;=$B$1,Suppliers!A66="",NOT(ISNUMBER(Suppliers!D66)),Suppliers!L66="Expired",Suppliers!L66="Terminate"),"",Suppliers!D66*-1*IF(Suppliers!E66="Monthly",IF(AND(ISNUMBER(Suppliers!G66),(YEAR(EDATE(DATE(YEAR(TODAY()),MONTH(TODAY()),1),7))*12+MONTH(EDATE(DATE(YEAR(TODAY()),MONTH(TODAY()),1),7)))&gt;(YEAR(Suppliers!G66)*12+MONTH(Suppliers!G66))),"",1),IF(Suppliers!E66="Quarterly",IF(MOD((YEAR(EDATE(DATE(YEAR(TODAY()),MONTH(TODAY()),1),7))-YEAR(IF(ISNUMBER(Suppliers!F66),Suppliers!F66,DATE(YEAR(TODAY()),MONTH(TODAY()),1))))*12+MONTH(EDATE(DATE(YEAR(TODAY()),MONTH(TODAY()),1),7))-MONTH(IF(ISNUMBER(Suppliers!F66),Suppliers!F66,DATE(YEAR(TODAY()),MONTH(TODAY()),1))),3)=0,1,0),IF(Suppliers!E66="Semi-annual",IF(MOD((YEAR(EDATE(DATE(YEAR(TODAY()),MONTH(TODAY()),1),7))-YEAR(IF(ISNUMBER(Suppliers!F66),Suppliers!F66,DATE(YEAR(TODAY()),MONTH(TODAY()),1))))*12+MONTH(EDATE(DATE(YEAR(TODAY()),MONTH(TODAY()),1),7))-MONTH(IF(ISNUMBER(Suppliers!F66),Suppliers!F66,DATE(YEAR(TODAY()),MONTH(TODAY()),1))),6)=0,1,0),IF(Suppliers!E66="Annual",IF(MOD((YEAR(EDATE(DATE(YEAR(TODAY()),MONTH(TODAY()),1),7))-YEAR(IF(ISNUMBER(Suppliers!F66),Suppliers!F66,DATE(YEAR(TODAY()),MONTH(TODAY()),1))))*12+MONTH(EDATE(DATE(YEAR(TODAY()),MONTH(TODAY()),1),7))-MONTH(IF(ISNUMBER(Suppliers!F66),Suppliers!F66,DATE(YEAR(TODAY()),MONTH(TODAY()),1))),12)=0,1,0),IF(Suppliers!E66="One-time",IF(7=0,1,0),1)))))),"")</f>
        <v/>
      </c>
      <c r="N68" s="10" t="str">
        <f ca="1">IFERROR(IF(OR(8&gt;=$B$1,Suppliers!A66="",NOT(ISNUMBER(Suppliers!D66)),Suppliers!L66="Expired",Suppliers!L66="Terminate"),"",Suppliers!D66*-1*IF(Suppliers!E66="Monthly",IF(AND(ISNUMBER(Suppliers!G66),(YEAR(EDATE(DATE(YEAR(TODAY()),MONTH(TODAY()),1),8))*12+MONTH(EDATE(DATE(YEAR(TODAY()),MONTH(TODAY()),1),8)))&gt;(YEAR(Suppliers!G66)*12+MONTH(Suppliers!G66))),"",1),IF(Suppliers!E66="Quarterly",IF(MOD((YEAR(EDATE(DATE(YEAR(TODAY()),MONTH(TODAY()),1),8))-YEAR(IF(ISNUMBER(Suppliers!F66),Suppliers!F66,DATE(YEAR(TODAY()),MONTH(TODAY()),1))))*12+MONTH(EDATE(DATE(YEAR(TODAY()),MONTH(TODAY()),1),8))-MONTH(IF(ISNUMBER(Suppliers!F66),Suppliers!F66,DATE(YEAR(TODAY()),MONTH(TODAY()),1))),3)=0,1,0),IF(Suppliers!E66="Semi-annual",IF(MOD((YEAR(EDATE(DATE(YEAR(TODAY()),MONTH(TODAY()),1),8))-YEAR(IF(ISNUMBER(Suppliers!F66),Suppliers!F66,DATE(YEAR(TODAY()),MONTH(TODAY()),1))))*12+MONTH(EDATE(DATE(YEAR(TODAY()),MONTH(TODAY()),1),8))-MONTH(IF(ISNUMBER(Suppliers!F66),Suppliers!F66,DATE(YEAR(TODAY()),MONTH(TODAY()),1))),6)=0,1,0),IF(Suppliers!E66="Annual",IF(MOD((YEAR(EDATE(DATE(YEAR(TODAY()),MONTH(TODAY()),1),8))-YEAR(IF(ISNUMBER(Suppliers!F66),Suppliers!F66,DATE(YEAR(TODAY()),MONTH(TODAY()),1))))*12+MONTH(EDATE(DATE(YEAR(TODAY()),MONTH(TODAY()),1),8))-MONTH(IF(ISNUMBER(Suppliers!F66),Suppliers!F66,DATE(YEAR(TODAY()),MONTH(TODAY()),1))),12)=0,1,0),IF(Suppliers!E66="One-time",IF(8=0,1,0),1)))))),"")</f>
        <v/>
      </c>
      <c r="O68" s="10" t="str">
        <f ca="1">IFERROR(IF(OR(9&gt;=$B$1,Suppliers!A66="",NOT(ISNUMBER(Suppliers!D66)),Suppliers!L66="Expired",Suppliers!L66="Terminate"),"",Suppliers!D66*-1*IF(Suppliers!E66="Monthly",IF(AND(ISNUMBER(Suppliers!G66),(YEAR(EDATE(DATE(YEAR(TODAY()),MONTH(TODAY()),1),9))*12+MONTH(EDATE(DATE(YEAR(TODAY()),MONTH(TODAY()),1),9)))&gt;(YEAR(Suppliers!G66)*12+MONTH(Suppliers!G66))),"",1),IF(Suppliers!E66="Quarterly",IF(MOD((YEAR(EDATE(DATE(YEAR(TODAY()),MONTH(TODAY()),1),9))-YEAR(IF(ISNUMBER(Suppliers!F66),Suppliers!F66,DATE(YEAR(TODAY()),MONTH(TODAY()),1))))*12+MONTH(EDATE(DATE(YEAR(TODAY()),MONTH(TODAY()),1),9))-MONTH(IF(ISNUMBER(Suppliers!F66),Suppliers!F66,DATE(YEAR(TODAY()),MONTH(TODAY()),1))),3)=0,1,0),IF(Suppliers!E66="Semi-annual",IF(MOD((YEAR(EDATE(DATE(YEAR(TODAY()),MONTH(TODAY()),1),9))-YEAR(IF(ISNUMBER(Suppliers!F66),Suppliers!F66,DATE(YEAR(TODAY()),MONTH(TODAY()),1))))*12+MONTH(EDATE(DATE(YEAR(TODAY()),MONTH(TODAY()),1),9))-MONTH(IF(ISNUMBER(Suppliers!F66),Suppliers!F66,DATE(YEAR(TODAY()),MONTH(TODAY()),1))),6)=0,1,0),IF(Suppliers!E66="Annual",IF(MOD((YEAR(EDATE(DATE(YEAR(TODAY()),MONTH(TODAY()),1),9))-YEAR(IF(ISNUMBER(Suppliers!F66),Suppliers!F66,DATE(YEAR(TODAY()),MONTH(TODAY()),1))))*12+MONTH(EDATE(DATE(YEAR(TODAY()),MONTH(TODAY()),1),9))-MONTH(IF(ISNUMBER(Suppliers!F66),Suppliers!F66,DATE(YEAR(TODAY()),MONTH(TODAY()),1))),12)=0,1,0),IF(Suppliers!E66="One-time",IF(9=0,1,0),1)))))),"")</f>
        <v/>
      </c>
      <c r="P68" s="10" t="str">
        <f ca="1">IFERROR(IF(OR(10&gt;=$B$1,Suppliers!A66="",NOT(ISNUMBER(Suppliers!D66)),Suppliers!L66="Expired",Suppliers!L66="Terminate"),"",Suppliers!D66*-1*IF(Suppliers!E66="Monthly",IF(AND(ISNUMBER(Suppliers!G66),(YEAR(EDATE(DATE(YEAR(TODAY()),MONTH(TODAY()),1),10))*12+MONTH(EDATE(DATE(YEAR(TODAY()),MONTH(TODAY()),1),10)))&gt;(YEAR(Suppliers!G66)*12+MONTH(Suppliers!G66))),"",1),IF(Suppliers!E66="Quarterly",IF(MOD((YEAR(EDATE(DATE(YEAR(TODAY()),MONTH(TODAY()),1),10))-YEAR(IF(ISNUMBER(Suppliers!F66),Suppliers!F66,DATE(YEAR(TODAY()),MONTH(TODAY()),1))))*12+MONTH(EDATE(DATE(YEAR(TODAY()),MONTH(TODAY()),1),10))-MONTH(IF(ISNUMBER(Suppliers!F66),Suppliers!F66,DATE(YEAR(TODAY()),MONTH(TODAY()),1))),3)=0,1,0),IF(Suppliers!E66="Semi-annual",IF(MOD((YEAR(EDATE(DATE(YEAR(TODAY()),MONTH(TODAY()),1),10))-YEAR(IF(ISNUMBER(Suppliers!F66),Suppliers!F66,DATE(YEAR(TODAY()),MONTH(TODAY()),1))))*12+MONTH(EDATE(DATE(YEAR(TODAY()),MONTH(TODAY()),1),10))-MONTH(IF(ISNUMBER(Suppliers!F66),Suppliers!F66,DATE(YEAR(TODAY()),MONTH(TODAY()),1))),6)=0,1,0),IF(Suppliers!E66="Annual",IF(MOD((YEAR(EDATE(DATE(YEAR(TODAY()),MONTH(TODAY()),1),10))-YEAR(IF(ISNUMBER(Suppliers!F66),Suppliers!F66,DATE(YEAR(TODAY()),MONTH(TODAY()),1))))*12+MONTH(EDATE(DATE(YEAR(TODAY()),MONTH(TODAY()),1),10))-MONTH(IF(ISNUMBER(Suppliers!F66),Suppliers!F66,DATE(YEAR(TODAY()),MONTH(TODAY()),1))),12)=0,1,0),IF(Suppliers!E66="One-time",IF(10=0,1,0),1)))))),"")</f>
        <v/>
      </c>
      <c r="Q68" s="10" t="str">
        <f ca="1">IFERROR(IF(OR(11&gt;=$B$1,Suppliers!A66="",NOT(ISNUMBER(Suppliers!D66)),Suppliers!L66="Expired",Suppliers!L66="Terminate"),"",Suppliers!D66*-1*IF(Suppliers!E66="Monthly",IF(AND(ISNUMBER(Suppliers!G66),(YEAR(EDATE(DATE(YEAR(TODAY()),MONTH(TODAY()),1),11))*12+MONTH(EDATE(DATE(YEAR(TODAY()),MONTH(TODAY()),1),11)))&gt;(YEAR(Suppliers!G66)*12+MONTH(Suppliers!G66))),"",1),IF(Suppliers!E66="Quarterly",IF(MOD((YEAR(EDATE(DATE(YEAR(TODAY()),MONTH(TODAY()),1),11))-YEAR(IF(ISNUMBER(Suppliers!F66),Suppliers!F66,DATE(YEAR(TODAY()),MONTH(TODAY()),1))))*12+MONTH(EDATE(DATE(YEAR(TODAY()),MONTH(TODAY()),1),11))-MONTH(IF(ISNUMBER(Suppliers!F66),Suppliers!F66,DATE(YEAR(TODAY()),MONTH(TODAY()),1))),3)=0,1,0),IF(Suppliers!E66="Semi-annual",IF(MOD((YEAR(EDATE(DATE(YEAR(TODAY()),MONTH(TODAY()),1),11))-YEAR(IF(ISNUMBER(Suppliers!F66),Suppliers!F66,DATE(YEAR(TODAY()),MONTH(TODAY()),1))))*12+MONTH(EDATE(DATE(YEAR(TODAY()),MONTH(TODAY()),1),11))-MONTH(IF(ISNUMBER(Suppliers!F66),Suppliers!F66,DATE(YEAR(TODAY()),MONTH(TODAY()),1))),6)=0,1,0),IF(Suppliers!E66="Annual",IF(MOD((YEAR(EDATE(DATE(YEAR(TODAY()),MONTH(TODAY()),1),11))-YEAR(IF(ISNUMBER(Suppliers!F66),Suppliers!F66,DATE(YEAR(TODAY()),MONTH(TODAY()),1))))*12+MONTH(EDATE(DATE(YEAR(TODAY()),MONTH(TODAY()),1),11))-MONTH(IF(ISNUMBER(Suppliers!F66),Suppliers!F66,DATE(YEAR(TODAY()),MONTH(TODAY()),1))),12)=0,1,0),IF(Suppliers!E66="One-time",IF(11=0,1,0),1)))))),"")</f>
        <v/>
      </c>
      <c r="R68" s="10" t="str">
        <f ca="1">IFERROR(IF(OR(12&gt;=$B$1,Suppliers!A66="",NOT(ISNUMBER(Suppliers!D66)),Suppliers!L66="Expired",Suppliers!L66="Terminate"),"",Suppliers!D66*-1*IF(Suppliers!E66="Monthly",IF(AND(ISNUMBER(Suppliers!G66),(YEAR(EDATE(DATE(YEAR(TODAY()),MONTH(TODAY()),1),12))*12+MONTH(EDATE(DATE(YEAR(TODAY()),MONTH(TODAY()),1),12)))&gt;(YEAR(Suppliers!G66)*12+MONTH(Suppliers!G66))),"",1),IF(Suppliers!E66="Quarterly",IF(MOD((YEAR(EDATE(DATE(YEAR(TODAY()),MONTH(TODAY()),1),12))-YEAR(IF(ISNUMBER(Suppliers!F66),Suppliers!F66,DATE(YEAR(TODAY()),MONTH(TODAY()),1))))*12+MONTH(EDATE(DATE(YEAR(TODAY()),MONTH(TODAY()),1),12))-MONTH(IF(ISNUMBER(Suppliers!F66),Suppliers!F66,DATE(YEAR(TODAY()),MONTH(TODAY()),1))),3)=0,1,0),IF(Suppliers!E66="Semi-annual",IF(MOD((YEAR(EDATE(DATE(YEAR(TODAY()),MONTH(TODAY()),1),12))-YEAR(IF(ISNUMBER(Suppliers!F66),Suppliers!F66,DATE(YEAR(TODAY()),MONTH(TODAY()),1))))*12+MONTH(EDATE(DATE(YEAR(TODAY()),MONTH(TODAY()),1),12))-MONTH(IF(ISNUMBER(Suppliers!F66),Suppliers!F66,DATE(YEAR(TODAY()),MONTH(TODAY()),1))),6)=0,1,0),IF(Suppliers!E66="Annual",IF(MOD((YEAR(EDATE(DATE(YEAR(TODAY()),MONTH(TODAY()),1),12))-YEAR(IF(ISNUMBER(Suppliers!F66),Suppliers!F66,DATE(YEAR(TODAY()),MONTH(TODAY()),1))))*12+MONTH(EDATE(DATE(YEAR(TODAY()),MONTH(TODAY()),1),12))-MONTH(IF(ISNUMBER(Suppliers!F66),Suppliers!F66,DATE(YEAR(TODAY()),MONTH(TODAY()),1))),12)=0,1,0),IF(Suppliers!E66="One-time",IF(12=0,1,0),1)))))),"")</f>
        <v/>
      </c>
      <c r="S68" s="10" t="str">
        <f ca="1">IFERROR(IF(OR(13&gt;=$B$1,Suppliers!A66="",NOT(ISNUMBER(Suppliers!D66)),Suppliers!L66="Expired",Suppliers!L66="Terminate"),"",Suppliers!D66*-1*IF(Suppliers!E66="Monthly",IF(AND(ISNUMBER(Suppliers!G66),(YEAR(EDATE(DATE(YEAR(TODAY()),MONTH(TODAY()),1),13))*12+MONTH(EDATE(DATE(YEAR(TODAY()),MONTH(TODAY()),1),13)))&gt;(YEAR(Suppliers!G66)*12+MONTH(Suppliers!G66))),"",1),IF(Suppliers!E66="Quarterly",IF(MOD((YEAR(EDATE(DATE(YEAR(TODAY()),MONTH(TODAY()),1),13))-YEAR(IF(ISNUMBER(Suppliers!F66),Suppliers!F66,DATE(YEAR(TODAY()),MONTH(TODAY()),1))))*12+MONTH(EDATE(DATE(YEAR(TODAY()),MONTH(TODAY()),1),13))-MONTH(IF(ISNUMBER(Suppliers!F66),Suppliers!F66,DATE(YEAR(TODAY()),MONTH(TODAY()),1))),3)=0,1,0),IF(Suppliers!E66="Semi-annual",IF(MOD((YEAR(EDATE(DATE(YEAR(TODAY()),MONTH(TODAY()),1),13))-YEAR(IF(ISNUMBER(Suppliers!F66),Suppliers!F66,DATE(YEAR(TODAY()),MONTH(TODAY()),1))))*12+MONTH(EDATE(DATE(YEAR(TODAY()),MONTH(TODAY()),1),13))-MONTH(IF(ISNUMBER(Suppliers!F66),Suppliers!F66,DATE(YEAR(TODAY()),MONTH(TODAY()),1))),6)=0,1,0),IF(Suppliers!E66="Annual",IF(MOD((YEAR(EDATE(DATE(YEAR(TODAY()),MONTH(TODAY()),1),13))-YEAR(IF(ISNUMBER(Suppliers!F66),Suppliers!F66,DATE(YEAR(TODAY()),MONTH(TODAY()),1))))*12+MONTH(EDATE(DATE(YEAR(TODAY()),MONTH(TODAY()),1),13))-MONTH(IF(ISNUMBER(Suppliers!F66),Suppliers!F66,DATE(YEAR(TODAY()),MONTH(TODAY()),1))),12)=0,1,0),IF(Suppliers!E66="One-time",IF(13=0,1,0),1)))))),"")</f>
        <v/>
      </c>
      <c r="T68" s="10" t="str">
        <f ca="1">IFERROR(IF(OR(14&gt;=$B$1,Suppliers!A66="",NOT(ISNUMBER(Suppliers!D66)),Suppliers!L66="Expired",Suppliers!L66="Terminate"),"",Suppliers!D66*-1*IF(Suppliers!E66="Monthly",IF(AND(ISNUMBER(Suppliers!G66),(YEAR(EDATE(DATE(YEAR(TODAY()),MONTH(TODAY()),1),14))*12+MONTH(EDATE(DATE(YEAR(TODAY()),MONTH(TODAY()),1),14)))&gt;(YEAR(Suppliers!G66)*12+MONTH(Suppliers!G66))),"",1),IF(Suppliers!E66="Quarterly",IF(MOD((YEAR(EDATE(DATE(YEAR(TODAY()),MONTH(TODAY()),1),14))-YEAR(IF(ISNUMBER(Suppliers!F66),Suppliers!F66,DATE(YEAR(TODAY()),MONTH(TODAY()),1))))*12+MONTH(EDATE(DATE(YEAR(TODAY()),MONTH(TODAY()),1),14))-MONTH(IF(ISNUMBER(Suppliers!F66),Suppliers!F66,DATE(YEAR(TODAY()),MONTH(TODAY()),1))),3)=0,1,0),IF(Suppliers!E66="Semi-annual",IF(MOD((YEAR(EDATE(DATE(YEAR(TODAY()),MONTH(TODAY()),1),14))-YEAR(IF(ISNUMBER(Suppliers!F66),Suppliers!F66,DATE(YEAR(TODAY()),MONTH(TODAY()),1))))*12+MONTH(EDATE(DATE(YEAR(TODAY()),MONTH(TODAY()),1),14))-MONTH(IF(ISNUMBER(Suppliers!F66),Suppliers!F66,DATE(YEAR(TODAY()),MONTH(TODAY()),1))),6)=0,1,0),IF(Suppliers!E66="Annual",IF(MOD((YEAR(EDATE(DATE(YEAR(TODAY()),MONTH(TODAY()),1),14))-YEAR(IF(ISNUMBER(Suppliers!F66),Suppliers!F66,DATE(YEAR(TODAY()),MONTH(TODAY()),1))))*12+MONTH(EDATE(DATE(YEAR(TODAY()),MONTH(TODAY()),1),14))-MONTH(IF(ISNUMBER(Suppliers!F66),Suppliers!F66,DATE(YEAR(TODAY()),MONTH(TODAY()),1))),12)=0,1,0),IF(Suppliers!E66="One-time",IF(14=0,1,0),1)))))),"")</f>
        <v/>
      </c>
      <c r="U68" s="10" t="str">
        <f ca="1">IFERROR(IF(OR(15&gt;=$B$1,Suppliers!A66="",NOT(ISNUMBER(Suppliers!D66)),Suppliers!L66="Expired",Suppliers!L66="Terminate"),"",Suppliers!D66*-1*IF(Suppliers!E66="Monthly",IF(AND(ISNUMBER(Suppliers!G66),(YEAR(EDATE(DATE(YEAR(TODAY()),MONTH(TODAY()),1),15))*12+MONTH(EDATE(DATE(YEAR(TODAY()),MONTH(TODAY()),1),15)))&gt;(YEAR(Suppliers!G66)*12+MONTH(Suppliers!G66))),"",1),IF(Suppliers!E66="Quarterly",IF(MOD((YEAR(EDATE(DATE(YEAR(TODAY()),MONTH(TODAY()),1),15))-YEAR(IF(ISNUMBER(Suppliers!F66),Suppliers!F66,DATE(YEAR(TODAY()),MONTH(TODAY()),1))))*12+MONTH(EDATE(DATE(YEAR(TODAY()),MONTH(TODAY()),1),15))-MONTH(IF(ISNUMBER(Suppliers!F66),Suppliers!F66,DATE(YEAR(TODAY()),MONTH(TODAY()),1))),3)=0,1,0),IF(Suppliers!E66="Semi-annual",IF(MOD((YEAR(EDATE(DATE(YEAR(TODAY()),MONTH(TODAY()),1),15))-YEAR(IF(ISNUMBER(Suppliers!F66),Suppliers!F66,DATE(YEAR(TODAY()),MONTH(TODAY()),1))))*12+MONTH(EDATE(DATE(YEAR(TODAY()),MONTH(TODAY()),1),15))-MONTH(IF(ISNUMBER(Suppliers!F66),Suppliers!F66,DATE(YEAR(TODAY()),MONTH(TODAY()),1))),6)=0,1,0),IF(Suppliers!E66="Annual",IF(MOD((YEAR(EDATE(DATE(YEAR(TODAY()),MONTH(TODAY()),1),15))-YEAR(IF(ISNUMBER(Suppliers!F66),Suppliers!F66,DATE(YEAR(TODAY()),MONTH(TODAY()),1))))*12+MONTH(EDATE(DATE(YEAR(TODAY()),MONTH(TODAY()),1),15))-MONTH(IF(ISNUMBER(Suppliers!F66),Suppliers!F66,DATE(YEAR(TODAY()),MONTH(TODAY()),1))),12)=0,1,0),IF(Suppliers!E66="One-time",IF(15=0,1,0),1)))))),"")</f>
        <v/>
      </c>
      <c r="V68" s="10" t="str">
        <f ca="1">IFERROR(IF(OR(16&gt;=$B$1,Suppliers!A66="",NOT(ISNUMBER(Suppliers!D66)),Suppliers!L66="Expired",Suppliers!L66="Terminate"),"",Suppliers!D66*-1*IF(Suppliers!E66="Monthly",IF(AND(ISNUMBER(Suppliers!G66),(YEAR(EDATE(DATE(YEAR(TODAY()),MONTH(TODAY()),1),16))*12+MONTH(EDATE(DATE(YEAR(TODAY()),MONTH(TODAY()),1),16)))&gt;(YEAR(Suppliers!G66)*12+MONTH(Suppliers!G66))),"",1),IF(Suppliers!E66="Quarterly",IF(MOD((YEAR(EDATE(DATE(YEAR(TODAY()),MONTH(TODAY()),1),16))-YEAR(IF(ISNUMBER(Suppliers!F66),Suppliers!F66,DATE(YEAR(TODAY()),MONTH(TODAY()),1))))*12+MONTH(EDATE(DATE(YEAR(TODAY()),MONTH(TODAY()),1),16))-MONTH(IF(ISNUMBER(Suppliers!F66),Suppliers!F66,DATE(YEAR(TODAY()),MONTH(TODAY()),1))),3)=0,1,0),IF(Suppliers!E66="Semi-annual",IF(MOD((YEAR(EDATE(DATE(YEAR(TODAY()),MONTH(TODAY()),1),16))-YEAR(IF(ISNUMBER(Suppliers!F66),Suppliers!F66,DATE(YEAR(TODAY()),MONTH(TODAY()),1))))*12+MONTH(EDATE(DATE(YEAR(TODAY()),MONTH(TODAY()),1),16))-MONTH(IF(ISNUMBER(Suppliers!F66),Suppliers!F66,DATE(YEAR(TODAY()),MONTH(TODAY()),1))),6)=0,1,0),IF(Suppliers!E66="Annual",IF(MOD((YEAR(EDATE(DATE(YEAR(TODAY()),MONTH(TODAY()),1),16))-YEAR(IF(ISNUMBER(Suppliers!F66),Suppliers!F66,DATE(YEAR(TODAY()),MONTH(TODAY()),1))))*12+MONTH(EDATE(DATE(YEAR(TODAY()),MONTH(TODAY()),1),16))-MONTH(IF(ISNUMBER(Suppliers!F66),Suppliers!F66,DATE(YEAR(TODAY()),MONTH(TODAY()),1))),12)=0,1,0),IF(Suppliers!E66="One-time",IF(16=0,1,0),1)))))),"")</f>
        <v/>
      </c>
      <c r="W68" s="10" t="str">
        <f ca="1">IFERROR(IF(OR(17&gt;=$B$1,Suppliers!A66="",NOT(ISNUMBER(Suppliers!D66)),Suppliers!L66="Expired",Suppliers!L66="Terminate"),"",Suppliers!D66*-1*IF(Suppliers!E66="Monthly",IF(AND(ISNUMBER(Suppliers!G66),(YEAR(EDATE(DATE(YEAR(TODAY()),MONTH(TODAY()),1),17))*12+MONTH(EDATE(DATE(YEAR(TODAY()),MONTH(TODAY()),1),17)))&gt;(YEAR(Suppliers!G66)*12+MONTH(Suppliers!G66))),"",1),IF(Suppliers!E66="Quarterly",IF(MOD((YEAR(EDATE(DATE(YEAR(TODAY()),MONTH(TODAY()),1),17))-YEAR(IF(ISNUMBER(Suppliers!F66),Suppliers!F66,DATE(YEAR(TODAY()),MONTH(TODAY()),1))))*12+MONTH(EDATE(DATE(YEAR(TODAY()),MONTH(TODAY()),1),17))-MONTH(IF(ISNUMBER(Suppliers!F66),Suppliers!F66,DATE(YEAR(TODAY()),MONTH(TODAY()),1))),3)=0,1,0),IF(Suppliers!E66="Semi-annual",IF(MOD((YEAR(EDATE(DATE(YEAR(TODAY()),MONTH(TODAY()),1),17))-YEAR(IF(ISNUMBER(Suppliers!F66),Suppliers!F66,DATE(YEAR(TODAY()),MONTH(TODAY()),1))))*12+MONTH(EDATE(DATE(YEAR(TODAY()),MONTH(TODAY()),1),17))-MONTH(IF(ISNUMBER(Suppliers!F66),Suppliers!F66,DATE(YEAR(TODAY()),MONTH(TODAY()),1))),6)=0,1,0),IF(Suppliers!E66="Annual",IF(MOD((YEAR(EDATE(DATE(YEAR(TODAY()),MONTH(TODAY()),1),17))-YEAR(IF(ISNUMBER(Suppliers!F66),Suppliers!F66,DATE(YEAR(TODAY()),MONTH(TODAY()),1))))*12+MONTH(EDATE(DATE(YEAR(TODAY()),MONTH(TODAY()),1),17))-MONTH(IF(ISNUMBER(Suppliers!F66),Suppliers!F66,DATE(YEAR(TODAY()),MONTH(TODAY()),1))),12)=0,1,0),IF(Suppliers!E66="One-time",IF(17=0,1,0),1)))))),"")</f>
        <v/>
      </c>
      <c r="X68" s="10" t="str">
        <f ca="1">IFERROR(IF(OR(18&gt;=$B$1,Suppliers!A66="",NOT(ISNUMBER(Suppliers!D66)),Suppliers!L66="Expired",Suppliers!L66="Terminate"),"",Suppliers!D66*-1*IF(Suppliers!E66="Monthly",IF(AND(ISNUMBER(Suppliers!G66),(YEAR(EDATE(DATE(YEAR(TODAY()),MONTH(TODAY()),1),18))*12+MONTH(EDATE(DATE(YEAR(TODAY()),MONTH(TODAY()),1),18)))&gt;(YEAR(Suppliers!G66)*12+MONTH(Suppliers!G66))),"",1),IF(Suppliers!E66="Quarterly",IF(MOD((YEAR(EDATE(DATE(YEAR(TODAY()),MONTH(TODAY()),1),18))-YEAR(IF(ISNUMBER(Suppliers!F66),Suppliers!F66,DATE(YEAR(TODAY()),MONTH(TODAY()),1))))*12+MONTH(EDATE(DATE(YEAR(TODAY()),MONTH(TODAY()),1),18))-MONTH(IF(ISNUMBER(Suppliers!F66),Suppliers!F66,DATE(YEAR(TODAY()),MONTH(TODAY()),1))),3)=0,1,0),IF(Suppliers!E66="Semi-annual",IF(MOD((YEAR(EDATE(DATE(YEAR(TODAY()),MONTH(TODAY()),1),18))-YEAR(IF(ISNUMBER(Suppliers!F66),Suppliers!F66,DATE(YEAR(TODAY()),MONTH(TODAY()),1))))*12+MONTH(EDATE(DATE(YEAR(TODAY()),MONTH(TODAY()),1),18))-MONTH(IF(ISNUMBER(Suppliers!F66),Suppliers!F66,DATE(YEAR(TODAY()),MONTH(TODAY()),1))),6)=0,1,0),IF(Suppliers!E66="Annual",IF(MOD((YEAR(EDATE(DATE(YEAR(TODAY()),MONTH(TODAY()),1),18))-YEAR(IF(ISNUMBER(Suppliers!F66),Suppliers!F66,DATE(YEAR(TODAY()),MONTH(TODAY()),1))))*12+MONTH(EDATE(DATE(YEAR(TODAY()),MONTH(TODAY()),1),18))-MONTH(IF(ISNUMBER(Suppliers!F66),Suppliers!F66,DATE(YEAR(TODAY()),MONTH(TODAY()),1))),12)=0,1,0),IF(Suppliers!E66="One-time",IF(18=0,1,0),1)))))),"")</f>
        <v/>
      </c>
      <c r="Y68" s="10" t="str">
        <f ca="1">IFERROR(IF(OR(19&gt;=$B$1,Suppliers!A66="",NOT(ISNUMBER(Suppliers!D66)),Suppliers!L66="Expired",Suppliers!L66="Terminate"),"",Suppliers!D66*-1*IF(Suppliers!E66="Monthly",IF(AND(ISNUMBER(Suppliers!G66),(YEAR(EDATE(DATE(YEAR(TODAY()),MONTH(TODAY()),1),19))*12+MONTH(EDATE(DATE(YEAR(TODAY()),MONTH(TODAY()),1),19)))&gt;(YEAR(Suppliers!G66)*12+MONTH(Suppliers!G66))),"",1),IF(Suppliers!E66="Quarterly",IF(MOD((YEAR(EDATE(DATE(YEAR(TODAY()),MONTH(TODAY()),1),19))-YEAR(IF(ISNUMBER(Suppliers!F66),Suppliers!F66,DATE(YEAR(TODAY()),MONTH(TODAY()),1))))*12+MONTH(EDATE(DATE(YEAR(TODAY()),MONTH(TODAY()),1),19))-MONTH(IF(ISNUMBER(Suppliers!F66),Suppliers!F66,DATE(YEAR(TODAY()),MONTH(TODAY()),1))),3)=0,1,0),IF(Suppliers!E66="Semi-annual",IF(MOD((YEAR(EDATE(DATE(YEAR(TODAY()),MONTH(TODAY()),1),19))-YEAR(IF(ISNUMBER(Suppliers!F66),Suppliers!F66,DATE(YEAR(TODAY()),MONTH(TODAY()),1))))*12+MONTH(EDATE(DATE(YEAR(TODAY()),MONTH(TODAY()),1),19))-MONTH(IF(ISNUMBER(Suppliers!F66),Suppliers!F66,DATE(YEAR(TODAY()),MONTH(TODAY()),1))),6)=0,1,0),IF(Suppliers!E66="Annual",IF(MOD((YEAR(EDATE(DATE(YEAR(TODAY()),MONTH(TODAY()),1),19))-YEAR(IF(ISNUMBER(Suppliers!F66),Suppliers!F66,DATE(YEAR(TODAY()),MONTH(TODAY()),1))))*12+MONTH(EDATE(DATE(YEAR(TODAY()),MONTH(TODAY()),1),19))-MONTH(IF(ISNUMBER(Suppliers!F66),Suppliers!F66,DATE(YEAR(TODAY()),MONTH(TODAY()),1))),12)=0,1,0),IF(Suppliers!E66="One-time",IF(19=0,1,0),1)))))),"")</f>
        <v/>
      </c>
      <c r="Z68" s="10" t="str">
        <f ca="1">IFERROR(IF(OR(20&gt;=$B$1,Suppliers!A66="",NOT(ISNUMBER(Suppliers!D66)),Suppliers!L66="Expired",Suppliers!L66="Terminate"),"",Suppliers!D66*-1*IF(Suppliers!E66="Monthly",IF(AND(ISNUMBER(Suppliers!G66),(YEAR(EDATE(DATE(YEAR(TODAY()),MONTH(TODAY()),1),20))*12+MONTH(EDATE(DATE(YEAR(TODAY()),MONTH(TODAY()),1),20)))&gt;(YEAR(Suppliers!G66)*12+MONTH(Suppliers!G66))),"",1),IF(Suppliers!E66="Quarterly",IF(MOD((YEAR(EDATE(DATE(YEAR(TODAY()),MONTH(TODAY()),1),20))-YEAR(IF(ISNUMBER(Suppliers!F66),Suppliers!F66,DATE(YEAR(TODAY()),MONTH(TODAY()),1))))*12+MONTH(EDATE(DATE(YEAR(TODAY()),MONTH(TODAY()),1),20))-MONTH(IF(ISNUMBER(Suppliers!F66),Suppliers!F66,DATE(YEAR(TODAY()),MONTH(TODAY()),1))),3)=0,1,0),IF(Suppliers!E66="Semi-annual",IF(MOD((YEAR(EDATE(DATE(YEAR(TODAY()),MONTH(TODAY()),1),20))-YEAR(IF(ISNUMBER(Suppliers!F66),Suppliers!F66,DATE(YEAR(TODAY()),MONTH(TODAY()),1))))*12+MONTH(EDATE(DATE(YEAR(TODAY()),MONTH(TODAY()),1),20))-MONTH(IF(ISNUMBER(Suppliers!F66),Suppliers!F66,DATE(YEAR(TODAY()),MONTH(TODAY()),1))),6)=0,1,0),IF(Suppliers!E66="Annual",IF(MOD((YEAR(EDATE(DATE(YEAR(TODAY()),MONTH(TODAY()),1),20))-YEAR(IF(ISNUMBER(Suppliers!F66),Suppliers!F66,DATE(YEAR(TODAY()),MONTH(TODAY()),1))))*12+MONTH(EDATE(DATE(YEAR(TODAY()),MONTH(TODAY()),1),20))-MONTH(IF(ISNUMBER(Suppliers!F66),Suppliers!F66,DATE(YEAR(TODAY()),MONTH(TODAY()),1))),12)=0,1,0),IF(Suppliers!E66="One-time",IF(20=0,1,0),1)))))),"")</f>
        <v/>
      </c>
      <c r="AA68" s="10" t="str">
        <f ca="1">IFERROR(IF(OR(21&gt;=$B$1,Suppliers!A66="",NOT(ISNUMBER(Suppliers!D66)),Suppliers!L66="Expired",Suppliers!L66="Terminate"),"",Suppliers!D66*-1*IF(Suppliers!E66="Monthly",IF(AND(ISNUMBER(Suppliers!G66),(YEAR(EDATE(DATE(YEAR(TODAY()),MONTH(TODAY()),1),21))*12+MONTH(EDATE(DATE(YEAR(TODAY()),MONTH(TODAY()),1),21)))&gt;(YEAR(Suppliers!G66)*12+MONTH(Suppliers!G66))),"",1),IF(Suppliers!E66="Quarterly",IF(MOD((YEAR(EDATE(DATE(YEAR(TODAY()),MONTH(TODAY()),1),21))-YEAR(IF(ISNUMBER(Suppliers!F66),Suppliers!F66,DATE(YEAR(TODAY()),MONTH(TODAY()),1))))*12+MONTH(EDATE(DATE(YEAR(TODAY()),MONTH(TODAY()),1),21))-MONTH(IF(ISNUMBER(Suppliers!F66),Suppliers!F66,DATE(YEAR(TODAY()),MONTH(TODAY()),1))),3)=0,1,0),IF(Suppliers!E66="Semi-annual",IF(MOD((YEAR(EDATE(DATE(YEAR(TODAY()),MONTH(TODAY()),1),21))-YEAR(IF(ISNUMBER(Suppliers!F66),Suppliers!F66,DATE(YEAR(TODAY()),MONTH(TODAY()),1))))*12+MONTH(EDATE(DATE(YEAR(TODAY()),MONTH(TODAY()),1),21))-MONTH(IF(ISNUMBER(Suppliers!F66),Suppliers!F66,DATE(YEAR(TODAY()),MONTH(TODAY()),1))),6)=0,1,0),IF(Suppliers!E66="Annual",IF(MOD((YEAR(EDATE(DATE(YEAR(TODAY()),MONTH(TODAY()),1),21))-YEAR(IF(ISNUMBER(Suppliers!F66),Suppliers!F66,DATE(YEAR(TODAY()),MONTH(TODAY()),1))))*12+MONTH(EDATE(DATE(YEAR(TODAY()),MONTH(TODAY()),1),21))-MONTH(IF(ISNUMBER(Suppliers!F66),Suppliers!F66,DATE(YEAR(TODAY()),MONTH(TODAY()),1))),12)=0,1,0),IF(Suppliers!E66="One-time",IF(21=0,1,0),1)))))),"")</f>
        <v/>
      </c>
      <c r="AB68" s="10" t="str">
        <f ca="1">IFERROR(IF(OR(22&gt;=$B$1,Suppliers!A66="",NOT(ISNUMBER(Suppliers!D66)),Suppliers!L66="Expired",Suppliers!L66="Terminate"),"",Suppliers!D66*-1*IF(Suppliers!E66="Monthly",IF(AND(ISNUMBER(Suppliers!G66),(YEAR(EDATE(DATE(YEAR(TODAY()),MONTH(TODAY()),1),22))*12+MONTH(EDATE(DATE(YEAR(TODAY()),MONTH(TODAY()),1),22)))&gt;(YEAR(Suppliers!G66)*12+MONTH(Suppliers!G66))),"",1),IF(Suppliers!E66="Quarterly",IF(MOD((YEAR(EDATE(DATE(YEAR(TODAY()),MONTH(TODAY()),1),22))-YEAR(IF(ISNUMBER(Suppliers!F66),Suppliers!F66,DATE(YEAR(TODAY()),MONTH(TODAY()),1))))*12+MONTH(EDATE(DATE(YEAR(TODAY()),MONTH(TODAY()),1),22))-MONTH(IF(ISNUMBER(Suppliers!F66),Suppliers!F66,DATE(YEAR(TODAY()),MONTH(TODAY()),1))),3)=0,1,0),IF(Suppliers!E66="Semi-annual",IF(MOD((YEAR(EDATE(DATE(YEAR(TODAY()),MONTH(TODAY()),1),22))-YEAR(IF(ISNUMBER(Suppliers!F66),Suppliers!F66,DATE(YEAR(TODAY()),MONTH(TODAY()),1))))*12+MONTH(EDATE(DATE(YEAR(TODAY()),MONTH(TODAY()),1),22))-MONTH(IF(ISNUMBER(Suppliers!F66),Suppliers!F66,DATE(YEAR(TODAY()),MONTH(TODAY()),1))),6)=0,1,0),IF(Suppliers!E66="Annual",IF(MOD((YEAR(EDATE(DATE(YEAR(TODAY()),MONTH(TODAY()),1),22))-YEAR(IF(ISNUMBER(Suppliers!F66),Suppliers!F66,DATE(YEAR(TODAY()),MONTH(TODAY()),1))))*12+MONTH(EDATE(DATE(YEAR(TODAY()),MONTH(TODAY()),1),22))-MONTH(IF(ISNUMBER(Suppliers!F66),Suppliers!F66,DATE(YEAR(TODAY()),MONTH(TODAY()),1))),12)=0,1,0),IF(Suppliers!E66="One-time",IF(22=0,1,0),1)))))),"")</f>
        <v/>
      </c>
      <c r="AC68" s="10" t="str">
        <f ca="1">IFERROR(IF(OR(23&gt;=$B$1,Suppliers!A66="",NOT(ISNUMBER(Suppliers!D66)),Suppliers!L66="Expired",Suppliers!L66="Terminate"),"",Suppliers!D66*-1*IF(Suppliers!E66="Monthly",IF(AND(ISNUMBER(Suppliers!G66),(YEAR(EDATE(DATE(YEAR(TODAY()),MONTH(TODAY()),1),23))*12+MONTH(EDATE(DATE(YEAR(TODAY()),MONTH(TODAY()),1),23)))&gt;(YEAR(Suppliers!G66)*12+MONTH(Suppliers!G66))),"",1),IF(Suppliers!E66="Quarterly",IF(MOD((YEAR(EDATE(DATE(YEAR(TODAY()),MONTH(TODAY()),1),23))-YEAR(IF(ISNUMBER(Suppliers!F66),Suppliers!F66,DATE(YEAR(TODAY()),MONTH(TODAY()),1))))*12+MONTH(EDATE(DATE(YEAR(TODAY()),MONTH(TODAY()),1),23))-MONTH(IF(ISNUMBER(Suppliers!F66),Suppliers!F66,DATE(YEAR(TODAY()),MONTH(TODAY()),1))),3)=0,1,0),IF(Suppliers!E66="Semi-annual",IF(MOD((YEAR(EDATE(DATE(YEAR(TODAY()),MONTH(TODAY()),1),23))-YEAR(IF(ISNUMBER(Suppliers!F66),Suppliers!F66,DATE(YEAR(TODAY()),MONTH(TODAY()),1))))*12+MONTH(EDATE(DATE(YEAR(TODAY()),MONTH(TODAY()),1),23))-MONTH(IF(ISNUMBER(Suppliers!F66),Suppliers!F66,DATE(YEAR(TODAY()),MONTH(TODAY()),1))),6)=0,1,0),IF(Suppliers!E66="Annual",IF(MOD((YEAR(EDATE(DATE(YEAR(TODAY()),MONTH(TODAY()),1),23))-YEAR(IF(ISNUMBER(Suppliers!F66),Suppliers!F66,DATE(YEAR(TODAY()),MONTH(TODAY()),1))))*12+MONTH(EDATE(DATE(YEAR(TODAY()),MONTH(TODAY()),1),23))-MONTH(IF(ISNUMBER(Suppliers!F66),Suppliers!F66,DATE(YEAR(TODAY()),MONTH(TODAY()),1))),12)=0,1,0),IF(Suppliers!E66="One-time",IF(23=0,1,0),1)))))),"")</f>
        <v/>
      </c>
    </row>
    <row r="69" spans="1:29" ht="15" customHeight="1" x14ac:dyDescent="0.35">
      <c r="A69" s="4" t="s">
        <v>80</v>
      </c>
      <c r="B69" s="4" t="str">
        <f>IF(Suppliers!A67="","",Suppliers!A67)</f>
        <v/>
      </c>
      <c r="C69" s="10" t="str">
        <f>IF(Suppliers!C67="","",Suppliers!C67)</f>
        <v/>
      </c>
      <c r="D69" s="10" t="str">
        <f>IF(Suppliers!D67="","",Suppliers!D67)</f>
        <v/>
      </c>
      <c r="E69" s="4" t="str">
        <f>IF(Suppliers!E67="","",Suppliers!E67)</f>
        <v/>
      </c>
      <c r="F69" s="10" t="str">
        <f ca="1">IFERROR(IF(OR(0&gt;=$B$1,Suppliers!A67="",NOT(ISNUMBER(Suppliers!D67)),Suppliers!L67="Expired",Suppliers!L67="Terminate"),"",Suppliers!D67*-1*IF(Suppliers!E67="Monthly",IF(AND(ISNUMBER(Suppliers!G67),(YEAR(EDATE(DATE(YEAR(TODAY()),MONTH(TODAY()),1),0))*12+MONTH(EDATE(DATE(YEAR(TODAY()),MONTH(TODAY()),1),0)))&gt;(YEAR(Suppliers!G67)*12+MONTH(Suppliers!G67))),"",1),IF(Suppliers!E67="Quarterly",IF(MOD((YEAR(EDATE(DATE(YEAR(TODAY()),MONTH(TODAY()),1),0))-YEAR(IF(ISNUMBER(Suppliers!F67),Suppliers!F67,DATE(YEAR(TODAY()),MONTH(TODAY()),1))))*12+MONTH(EDATE(DATE(YEAR(TODAY()),MONTH(TODAY()),1),0))-MONTH(IF(ISNUMBER(Suppliers!F67),Suppliers!F67,DATE(YEAR(TODAY()),MONTH(TODAY()),1))),3)=0,1,0),IF(Suppliers!E67="Semi-annual",IF(MOD((YEAR(EDATE(DATE(YEAR(TODAY()),MONTH(TODAY()),1),0))-YEAR(IF(ISNUMBER(Suppliers!F67),Suppliers!F67,DATE(YEAR(TODAY()),MONTH(TODAY()),1))))*12+MONTH(EDATE(DATE(YEAR(TODAY()),MONTH(TODAY()),1),0))-MONTH(IF(ISNUMBER(Suppliers!F67),Suppliers!F67,DATE(YEAR(TODAY()),MONTH(TODAY()),1))),6)=0,1,0),IF(Suppliers!E67="Annual",IF(MOD((YEAR(EDATE(DATE(YEAR(TODAY()),MONTH(TODAY()),1),0))-YEAR(IF(ISNUMBER(Suppliers!F67),Suppliers!F67,DATE(YEAR(TODAY()),MONTH(TODAY()),1))))*12+MONTH(EDATE(DATE(YEAR(TODAY()),MONTH(TODAY()),1),0))-MONTH(IF(ISNUMBER(Suppliers!F67),Suppliers!F67,DATE(YEAR(TODAY()),MONTH(TODAY()),1))),12)=0,1,0),IF(Suppliers!E67="One-time",IF(0=0,1,0),1)))))),"")</f>
        <v/>
      </c>
      <c r="G69" s="10" t="str">
        <f ca="1">IFERROR(IF(OR(1&gt;=$B$1,Suppliers!A67="",NOT(ISNUMBER(Suppliers!D67)),Suppliers!L67="Expired",Suppliers!L67="Terminate"),"",Suppliers!D67*-1*IF(Suppliers!E67="Monthly",IF(AND(ISNUMBER(Suppliers!G67),(YEAR(EDATE(DATE(YEAR(TODAY()),MONTH(TODAY()),1),1))*12+MONTH(EDATE(DATE(YEAR(TODAY()),MONTH(TODAY()),1),1)))&gt;(YEAR(Suppliers!G67)*12+MONTH(Suppliers!G67))),"",1),IF(Suppliers!E67="Quarterly",IF(MOD((YEAR(EDATE(DATE(YEAR(TODAY()),MONTH(TODAY()),1),1))-YEAR(IF(ISNUMBER(Suppliers!F67),Suppliers!F67,DATE(YEAR(TODAY()),MONTH(TODAY()),1))))*12+MONTH(EDATE(DATE(YEAR(TODAY()),MONTH(TODAY()),1),1))-MONTH(IF(ISNUMBER(Suppliers!F67),Suppliers!F67,DATE(YEAR(TODAY()),MONTH(TODAY()),1))),3)=0,1,0),IF(Suppliers!E67="Semi-annual",IF(MOD((YEAR(EDATE(DATE(YEAR(TODAY()),MONTH(TODAY()),1),1))-YEAR(IF(ISNUMBER(Suppliers!F67),Suppliers!F67,DATE(YEAR(TODAY()),MONTH(TODAY()),1))))*12+MONTH(EDATE(DATE(YEAR(TODAY()),MONTH(TODAY()),1),1))-MONTH(IF(ISNUMBER(Suppliers!F67),Suppliers!F67,DATE(YEAR(TODAY()),MONTH(TODAY()),1))),6)=0,1,0),IF(Suppliers!E67="Annual",IF(MOD((YEAR(EDATE(DATE(YEAR(TODAY()),MONTH(TODAY()),1),1))-YEAR(IF(ISNUMBER(Suppliers!F67),Suppliers!F67,DATE(YEAR(TODAY()),MONTH(TODAY()),1))))*12+MONTH(EDATE(DATE(YEAR(TODAY()),MONTH(TODAY()),1),1))-MONTH(IF(ISNUMBER(Suppliers!F67),Suppliers!F67,DATE(YEAR(TODAY()),MONTH(TODAY()),1))),12)=0,1,0),IF(Suppliers!E67="One-time",IF(1=0,1,0),1)))))),"")</f>
        <v/>
      </c>
      <c r="H69" s="10" t="str">
        <f ca="1">IFERROR(IF(OR(2&gt;=$B$1,Suppliers!A67="",NOT(ISNUMBER(Suppliers!D67)),Suppliers!L67="Expired",Suppliers!L67="Terminate"),"",Suppliers!D67*-1*IF(Suppliers!E67="Monthly",IF(AND(ISNUMBER(Suppliers!G67),(YEAR(EDATE(DATE(YEAR(TODAY()),MONTH(TODAY()),1),2))*12+MONTH(EDATE(DATE(YEAR(TODAY()),MONTH(TODAY()),1),2)))&gt;(YEAR(Suppliers!G67)*12+MONTH(Suppliers!G67))),"",1),IF(Suppliers!E67="Quarterly",IF(MOD((YEAR(EDATE(DATE(YEAR(TODAY()),MONTH(TODAY()),1),2))-YEAR(IF(ISNUMBER(Suppliers!F67),Suppliers!F67,DATE(YEAR(TODAY()),MONTH(TODAY()),1))))*12+MONTH(EDATE(DATE(YEAR(TODAY()),MONTH(TODAY()),1),2))-MONTH(IF(ISNUMBER(Suppliers!F67),Suppliers!F67,DATE(YEAR(TODAY()),MONTH(TODAY()),1))),3)=0,1,0),IF(Suppliers!E67="Semi-annual",IF(MOD((YEAR(EDATE(DATE(YEAR(TODAY()),MONTH(TODAY()),1),2))-YEAR(IF(ISNUMBER(Suppliers!F67),Suppliers!F67,DATE(YEAR(TODAY()),MONTH(TODAY()),1))))*12+MONTH(EDATE(DATE(YEAR(TODAY()),MONTH(TODAY()),1),2))-MONTH(IF(ISNUMBER(Suppliers!F67),Suppliers!F67,DATE(YEAR(TODAY()),MONTH(TODAY()),1))),6)=0,1,0),IF(Suppliers!E67="Annual",IF(MOD((YEAR(EDATE(DATE(YEAR(TODAY()),MONTH(TODAY()),1),2))-YEAR(IF(ISNUMBER(Suppliers!F67),Suppliers!F67,DATE(YEAR(TODAY()),MONTH(TODAY()),1))))*12+MONTH(EDATE(DATE(YEAR(TODAY()),MONTH(TODAY()),1),2))-MONTH(IF(ISNUMBER(Suppliers!F67),Suppliers!F67,DATE(YEAR(TODAY()),MONTH(TODAY()),1))),12)=0,1,0),IF(Suppliers!E67="One-time",IF(2=0,1,0),1)))))),"")</f>
        <v/>
      </c>
      <c r="I69" s="10" t="str">
        <f ca="1">IFERROR(IF(OR(3&gt;=$B$1,Suppliers!A67="",NOT(ISNUMBER(Suppliers!D67)),Suppliers!L67="Expired",Suppliers!L67="Terminate"),"",Suppliers!D67*-1*IF(Suppliers!E67="Monthly",IF(AND(ISNUMBER(Suppliers!G67),(YEAR(EDATE(DATE(YEAR(TODAY()),MONTH(TODAY()),1),3))*12+MONTH(EDATE(DATE(YEAR(TODAY()),MONTH(TODAY()),1),3)))&gt;(YEAR(Suppliers!G67)*12+MONTH(Suppliers!G67))),"",1),IF(Suppliers!E67="Quarterly",IF(MOD((YEAR(EDATE(DATE(YEAR(TODAY()),MONTH(TODAY()),1),3))-YEAR(IF(ISNUMBER(Suppliers!F67),Suppliers!F67,DATE(YEAR(TODAY()),MONTH(TODAY()),1))))*12+MONTH(EDATE(DATE(YEAR(TODAY()),MONTH(TODAY()),1),3))-MONTH(IF(ISNUMBER(Suppliers!F67),Suppliers!F67,DATE(YEAR(TODAY()),MONTH(TODAY()),1))),3)=0,1,0),IF(Suppliers!E67="Semi-annual",IF(MOD((YEAR(EDATE(DATE(YEAR(TODAY()),MONTH(TODAY()),1),3))-YEAR(IF(ISNUMBER(Suppliers!F67),Suppliers!F67,DATE(YEAR(TODAY()),MONTH(TODAY()),1))))*12+MONTH(EDATE(DATE(YEAR(TODAY()),MONTH(TODAY()),1),3))-MONTH(IF(ISNUMBER(Suppliers!F67),Suppliers!F67,DATE(YEAR(TODAY()),MONTH(TODAY()),1))),6)=0,1,0),IF(Suppliers!E67="Annual",IF(MOD((YEAR(EDATE(DATE(YEAR(TODAY()),MONTH(TODAY()),1),3))-YEAR(IF(ISNUMBER(Suppliers!F67),Suppliers!F67,DATE(YEAR(TODAY()),MONTH(TODAY()),1))))*12+MONTH(EDATE(DATE(YEAR(TODAY()),MONTH(TODAY()),1),3))-MONTH(IF(ISNUMBER(Suppliers!F67),Suppliers!F67,DATE(YEAR(TODAY()),MONTH(TODAY()),1))),12)=0,1,0),IF(Suppliers!E67="One-time",IF(3=0,1,0),1)))))),"")</f>
        <v/>
      </c>
      <c r="J69" s="10" t="str">
        <f ca="1">IFERROR(IF(OR(4&gt;=$B$1,Suppliers!A67="",NOT(ISNUMBER(Suppliers!D67)),Suppliers!L67="Expired",Suppliers!L67="Terminate"),"",Suppliers!D67*-1*IF(Suppliers!E67="Monthly",IF(AND(ISNUMBER(Suppliers!G67),(YEAR(EDATE(DATE(YEAR(TODAY()),MONTH(TODAY()),1),4))*12+MONTH(EDATE(DATE(YEAR(TODAY()),MONTH(TODAY()),1),4)))&gt;(YEAR(Suppliers!G67)*12+MONTH(Suppliers!G67))),"",1),IF(Suppliers!E67="Quarterly",IF(MOD((YEAR(EDATE(DATE(YEAR(TODAY()),MONTH(TODAY()),1),4))-YEAR(IF(ISNUMBER(Suppliers!F67),Suppliers!F67,DATE(YEAR(TODAY()),MONTH(TODAY()),1))))*12+MONTH(EDATE(DATE(YEAR(TODAY()),MONTH(TODAY()),1),4))-MONTH(IF(ISNUMBER(Suppliers!F67),Suppliers!F67,DATE(YEAR(TODAY()),MONTH(TODAY()),1))),3)=0,1,0),IF(Suppliers!E67="Semi-annual",IF(MOD((YEAR(EDATE(DATE(YEAR(TODAY()),MONTH(TODAY()),1),4))-YEAR(IF(ISNUMBER(Suppliers!F67),Suppliers!F67,DATE(YEAR(TODAY()),MONTH(TODAY()),1))))*12+MONTH(EDATE(DATE(YEAR(TODAY()),MONTH(TODAY()),1),4))-MONTH(IF(ISNUMBER(Suppliers!F67),Suppliers!F67,DATE(YEAR(TODAY()),MONTH(TODAY()),1))),6)=0,1,0),IF(Suppliers!E67="Annual",IF(MOD((YEAR(EDATE(DATE(YEAR(TODAY()),MONTH(TODAY()),1),4))-YEAR(IF(ISNUMBER(Suppliers!F67),Suppliers!F67,DATE(YEAR(TODAY()),MONTH(TODAY()),1))))*12+MONTH(EDATE(DATE(YEAR(TODAY()),MONTH(TODAY()),1),4))-MONTH(IF(ISNUMBER(Suppliers!F67),Suppliers!F67,DATE(YEAR(TODAY()),MONTH(TODAY()),1))),12)=0,1,0),IF(Suppliers!E67="One-time",IF(4=0,1,0),1)))))),"")</f>
        <v/>
      </c>
      <c r="K69" s="10" t="str">
        <f ca="1">IFERROR(IF(OR(5&gt;=$B$1,Suppliers!A67="",NOT(ISNUMBER(Suppliers!D67)),Suppliers!L67="Expired",Suppliers!L67="Terminate"),"",Suppliers!D67*-1*IF(Suppliers!E67="Monthly",IF(AND(ISNUMBER(Suppliers!G67),(YEAR(EDATE(DATE(YEAR(TODAY()),MONTH(TODAY()),1),5))*12+MONTH(EDATE(DATE(YEAR(TODAY()),MONTH(TODAY()),1),5)))&gt;(YEAR(Suppliers!G67)*12+MONTH(Suppliers!G67))),"",1),IF(Suppliers!E67="Quarterly",IF(MOD((YEAR(EDATE(DATE(YEAR(TODAY()),MONTH(TODAY()),1),5))-YEAR(IF(ISNUMBER(Suppliers!F67),Suppliers!F67,DATE(YEAR(TODAY()),MONTH(TODAY()),1))))*12+MONTH(EDATE(DATE(YEAR(TODAY()),MONTH(TODAY()),1),5))-MONTH(IF(ISNUMBER(Suppliers!F67),Suppliers!F67,DATE(YEAR(TODAY()),MONTH(TODAY()),1))),3)=0,1,0),IF(Suppliers!E67="Semi-annual",IF(MOD((YEAR(EDATE(DATE(YEAR(TODAY()),MONTH(TODAY()),1),5))-YEAR(IF(ISNUMBER(Suppliers!F67),Suppliers!F67,DATE(YEAR(TODAY()),MONTH(TODAY()),1))))*12+MONTH(EDATE(DATE(YEAR(TODAY()),MONTH(TODAY()),1),5))-MONTH(IF(ISNUMBER(Suppliers!F67),Suppliers!F67,DATE(YEAR(TODAY()),MONTH(TODAY()),1))),6)=0,1,0),IF(Suppliers!E67="Annual",IF(MOD((YEAR(EDATE(DATE(YEAR(TODAY()),MONTH(TODAY()),1),5))-YEAR(IF(ISNUMBER(Suppliers!F67),Suppliers!F67,DATE(YEAR(TODAY()),MONTH(TODAY()),1))))*12+MONTH(EDATE(DATE(YEAR(TODAY()),MONTH(TODAY()),1),5))-MONTH(IF(ISNUMBER(Suppliers!F67),Suppliers!F67,DATE(YEAR(TODAY()),MONTH(TODAY()),1))),12)=0,1,0),IF(Suppliers!E67="One-time",IF(5=0,1,0),1)))))),"")</f>
        <v/>
      </c>
      <c r="L69" s="10" t="str">
        <f ca="1">IFERROR(IF(OR(6&gt;=$B$1,Suppliers!A67="",NOT(ISNUMBER(Suppliers!D67)),Suppliers!L67="Expired",Suppliers!L67="Terminate"),"",Suppliers!D67*-1*IF(Suppliers!E67="Monthly",IF(AND(ISNUMBER(Suppliers!G67),(YEAR(EDATE(DATE(YEAR(TODAY()),MONTH(TODAY()),1),6))*12+MONTH(EDATE(DATE(YEAR(TODAY()),MONTH(TODAY()),1),6)))&gt;(YEAR(Suppliers!G67)*12+MONTH(Suppliers!G67))),"",1),IF(Suppliers!E67="Quarterly",IF(MOD((YEAR(EDATE(DATE(YEAR(TODAY()),MONTH(TODAY()),1),6))-YEAR(IF(ISNUMBER(Suppliers!F67),Suppliers!F67,DATE(YEAR(TODAY()),MONTH(TODAY()),1))))*12+MONTH(EDATE(DATE(YEAR(TODAY()),MONTH(TODAY()),1),6))-MONTH(IF(ISNUMBER(Suppliers!F67),Suppliers!F67,DATE(YEAR(TODAY()),MONTH(TODAY()),1))),3)=0,1,0),IF(Suppliers!E67="Semi-annual",IF(MOD((YEAR(EDATE(DATE(YEAR(TODAY()),MONTH(TODAY()),1),6))-YEAR(IF(ISNUMBER(Suppliers!F67),Suppliers!F67,DATE(YEAR(TODAY()),MONTH(TODAY()),1))))*12+MONTH(EDATE(DATE(YEAR(TODAY()),MONTH(TODAY()),1),6))-MONTH(IF(ISNUMBER(Suppliers!F67),Suppliers!F67,DATE(YEAR(TODAY()),MONTH(TODAY()),1))),6)=0,1,0),IF(Suppliers!E67="Annual",IF(MOD((YEAR(EDATE(DATE(YEAR(TODAY()),MONTH(TODAY()),1),6))-YEAR(IF(ISNUMBER(Suppliers!F67),Suppliers!F67,DATE(YEAR(TODAY()),MONTH(TODAY()),1))))*12+MONTH(EDATE(DATE(YEAR(TODAY()),MONTH(TODAY()),1),6))-MONTH(IF(ISNUMBER(Suppliers!F67),Suppliers!F67,DATE(YEAR(TODAY()),MONTH(TODAY()),1))),12)=0,1,0),IF(Suppliers!E67="One-time",IF(6=0,1,0),1)))))),"")</f>
        <v/>
      </c>
      <c r="M69" s="10" t="str">
        <f ca="1">IFERROR(IF(OR(7&gt;=$B$1,Suppliers!A67="",NOT(ISNUMBER(Suppliers!D67)),Suppliers!L67="Expired",Suppliers!L67="Terminate"),"",Suppliers!D67*-1*IF(Suppliers!E67="Monthly",IF(AND(ISNUMBER(Suppliers!G67),(YEAR(EDATE(DATE(YEAR(TODAY()),MONTH(TODAY()),1),7))*12+MONTH(EDATE(DATE(YEAR(TODAY()),MONTH(TODAY()),1),7)))&gt;(YEAR(Suppliers!G67)*12+MONTH(Suppliers!G67))),"",1),IF(Suppliers!E67="Quarterly",IF(MOD((YEAR(EDATE(DATE(YEAR(TODAY()),MONTH(TODAY()),1),7))-YEAR(IF(ISNUMBER(Suppliers!F67),Suppliers!F67,DATE(YEAR(TODAY()),MONTH(TODAY()),1))))*12+MONTH(EDATE(DATE(YEAR(TODAY()),MONTH(TODAY()),1),7))-MONTH(IF(ISNUMBER(Suppliers!F67),Suppliers!F67,DATE(YEAR(TODAY()),MONTH(TODAY()),1))),3)=0,1,0),IF(Suppliers!E67="Semi-annual",IF(MOD((YEAR(EDATE(DATE(YEAR(TODAY()),MONTH(TODAY()),1),7))-YEAR(IF(ISNUMBER(Suppliers!F67),Suppliers!F67,DATE(YEAR(TODAY()),MONTH(TODAY()),1))))*12+MONTH(EDATE(DATE(YEAR(TODAY()),MONTH(TODAY()),1),7))-MONTH(IF(ISNUMBER(Suppliers!F67),Suppliers!F67,DATE(YEAR(TODAY()),MONTH(TODAY()),1))),6)=0,1,0),IF(Suppliers!E67="Annual",IF(MOD((YEAR(EDATE(DATE(YEAR(TODAY()),MONTH(TODAY()),1),7))-YEAR(IF(ISNUMBER(Suppliers!F67),Suppliers!F67,DATE(YEAR(TODAY()),MONTH(TODAY()),1))))*12+MONTH(EDATE(DATE(YEAR(TODAY()),MONTH(TODAY()),1),7))-MONTH(IF(ISNUMBER(Suppliers!F67),Suppliers!F67,DATE(YEAR(TODAY()),MONTH(TODAY()),1))),12)=0,1,0),IF(Suppliers!E67="One-time",IF(7=0,1,0),1)))))),"")</f>
        <v/>
      </c>
      <c r="N69" s="10" t="str">
        <f ca="1">IFERROR(IF(OR(8&gt;=$B$1,Suppliers!A67="",NOT(ISNUMBER(Suppliers!D67)),Suppliers!L67="Expired",Suppliers!L67="Terminate"),"",Suppliers!D67*-1*IF(Suppliers!E67="Monthly",IF(AND(ISNUMBER(Suppliers!G67),(YEAR(EDATE(DATE(YEAR(TODAY()),MONTH(TODAY()),1),8))*12+MONTH(EDATE(DATE(YEAR(TODAY()),MONTH(TODAY()),1),8)))&gt;(YEAR(Suppliers!G67)*12+MONTH(Suppliers!G67))),"",1),IF(Suppliers!E67="Quarterly",IF(MOD((YEAR(EDATE(DATE(YEAR(TODAY()),MONTH(TODAY()),1),8))-YEAR(IF(ISNUMBER(Suppliers!F67),Suppliers!F67,DATE(YEAR(TODAY()),MONTH(TODAY()),1))))*12+MONTH(EDATE(DATE(YEAR(TODAY()),MONTH(TODAY()),1),8))-MONTH(IF(ISNUMBER(Suppliers!F67),Suppliers!F67,DATE(YEAR(TODAY()),MONTH(TODAY()),1))),3)=0,1,0),IF(Suppliers!E67="Semi-annual",IF(MOD((YEAR(EDATE(DATE(YEAR(TODAY()),MONTH(TODAY()),1),8))-YEAR(IF(ISNUMBER(Suppliers!F67),Suppliers!F67,DATE(YEAR(TODAY()),MONTH(TODAY()),1))))*12+MONTH(EDATE(DATE(YEAR(TODAY()),MONTH(TODAY()),1),8))-MONTH(IF(ISNUMBER(Suppliers!F67),Suppliers!F67,DATE(YEAR(TODAY()),MONTH(TODAY()),1))),6)=0,1,0),IF(Suppliers!E67="Annual",IF(MOD((YEAR(EDATE(DATE(YEAR(TODAY()),MONTH(TODAY()),1),8))-YEAR(IF(ISNUMBER(Suppliers!F67),Suppliers!F67,DATE(YEAR(TODAY()),MONTH(TODAY()),1))))*12+MONTH(EDATE(DATE(YEAR(TODAY()),MONTH(TODAY()),1),8))-MONTH(IF(ISNUMBER(Suppliers!F67),Suppliers!F67,DATE(YEAR(TODAY()),MONTH(TODAY()),1))),12)=0,1,0),IF(Suppliers!E67="One-time",IF(8=0,1,0),1)))))),"")</f>
        <v/>
      </c>
      <c r="O69" s="10" t="str">
        <f ca="1">IFERROR(IF(OR(9&gt;=$B$1,Suppliers!A67="",NOT(ISNUMBER(Suppliers!D67)),Suppliers!L67="Expired",Suppliers!L67="Terminate"),"",Suppliers!D67*-1*IF(Suppliers!E67="Monthly",IF(AND(ISNUMBER(Suppliers!G67),(YEAR(EDATE(DATE(YEAR(TODAY()),MONTH(TODAY()),1),9))*12+MONTH(EDATE(DATE(YEAR(TODAY()),MONTH(TODAY()),1),9)))&gt;(YEAR(Suppliers!G67)*12+MONTH(Suppliers!G67))),"",1),IF(Suppliers!E67="Quarterly",IF(MOD((YEAR(EDATE(DATE(YEAR(TODAY()),MONTH(TODAY()),1),9))-YEAR(IF(ISNUMBER(Suppliers!F67),Suppliers!F67,DATE(YEAR(TODAY()),MONTH(TODAY()),1))))*12+MONTH(EDATE(DATE(YEAR(TODAY()),MONTH(TODAY()),1),9))-MONTH(IF(ISNUMBER(Suppliers!F67),Suppliers!F67,DATE(YEAR(TODAY()),MONTH(TODAY()),1))),3)=0,1,0),IF(Suppliers!E67="Semi-annual",IF(MOD((YEAR(EDATE(DATE(YEAR(TODAY()),MONTH(TODAY()),1),9))-YEAR(IF(ISNUMBER(Suppliers!F67),Suppliers!F67,DATE(YEAR(TODAY()),MONTH(TODAY()),1))))*12+MONTH(EDATE(DATE(YEAR(TODAY()),MONTH(TODAY()),1),9))-MONTH(IF(ISNUMBER(Suppliers!F67),Suppliers!F67,DATE(YEAR(TODAY()),MONTH(TODAY()),1))),6)=0,1,0),IF(Suppliers!E67="Annual",IF(MOD((YEAR(EDATE(DATE(YEAR(TODAY()),MONTH(TODAY()),1),9))-YEAR(IF(ISNUMBER(Suppliers!F67),Suppliers!F67,DATE(YEAR(TODAY()),MONTH(TODAY()),1))))*12+MONTH(EDATE(DATE(YEAR(TODAY()),MONTH(TODAY()),1),9))-MONTH(IF(ISNUMBER(Suppliers!F67),Suppliers!F67,DATE(YEAR(TODAY()),MONTH(TODAY()),1))),12)=0,1,0),IF(Suppliers!E67="One-time",IF(9=0,1,0),1)))))),"")</f>
        <v/>
      </c>
      <c r="P69" s="10" t="str">
        <f ca="1">IFERROR(IF(OR(10&gt;=$B$1,Suppliers!A67="",NOT(ISNUMBER(Suppliers!D67)),Suppliers!L67="Expired",Suppliers!L67="Terminate"),"",Suppliers!D67*-1*IF(Suppliers!E67="Monthly",IF(AND(ISNUMBER(Suppliers!G67),(YEAR(EDATE(DATE(YEAR(TODAY()),MONTH(TODAY()),1),10))*12+MONTH(EDATE(DATE(YEAR(TODAY()),MONTH(TODAY()),1),10)))&gt;(YEAR(Suppliers!G67)*12+MONTH(Suppliers!G67))),"",1),IF(Suppliers!E67="Quarterly",IF(MOD((YEAR(EDATE(DATE(YEAR(TODAY()),MONTH(TODAY()),1),10))-YEAR(IF(ISNUMBER(Suppliers!F67),Suppliers!F67,DATE(YEAR(TODAY()),MONTH(TODAY()),1))))*12+MONTH(EDATE(DATE(YEAR(TODAY()),MONTH(TODAY()),1),10))-MONTH(IF(ISNUMBER(Suppliers!F67),Suppliers!F67,DATE(YEAR(TODAY()),MONTH(TODAY()),1))),3)=0,1,0),IF(Suppliers!E67="Semi-annual",IF(MOD((YEAR(EDATE(DATE(YEAR(TODAY()),MONTH(TODAY()),1),10))-YEAR(IF(ISNUMBER(Suppliers!F67),Suppliers!F67,DATE(YEAR(TODAY()),MONTH(TODAY()),1))))*12+MONTH(EDATE(DATE(YEAR(TODAY()),MONTH(TODAY()),1),10))-MONTH(IF(ISNUMBER(Suppliers!F67),Suppliers!F67,DATE(YEAR(TODAY()),MONTH(TODAY()),1))),6)=0,1,0),IF(Suppliers!E67="Annual",IF(MOD((YEAR(EDATE(DATE(YEAR(TODAY()),MONTH(TODAY()),1),10))-YEAR(IF(ISNUMBER(Suppliers!F67),Suppliers!F67,DATE(YEAR(TODAY()),MONTH(TODAY()),1))))*12+MONTH(EDATE(DATE(YEAR(TODAY()),MONTH(TODAY()),1),10))-MONTH(IF(ISNUMBER(Suppliers!F67),Suppliers!F67,DATE(YEAR(TODAY()),MONTH(TODAY()),1))),12)=0,1,0),IF(Suppliers!E67="One-time",IF(10=0,1,0),1)))))),"")</f>
        <v/>
      </c>
      <c r="Q69" s="10" t="str">
        <f ca="1">IFERROR(IF(OR(11&gt;=$B$1,Suppliers!A67="",NOT(ISNUMBER(Suppliers!D67)),Suppliers!L67="Expired",Suppliers!L67="Terminate"),"",Suppliers!D67*-1*IF(Suppliers!E67="Monthly",IF(AND(ISNUMBER(Suppliers!G67),(YEAR(EDATE(DATE(YEAR(TODAY()),MONTH(TODAY()),1),11))*12+MONTH(EDATE(DATE(YEAR(TODAY()),MONTH(TODAY()),1),11)))&gt;(YEAR(Suppliers!G67)*12+MONTH(Suppliers!G67))),"",1),IF(Suppliers!E67="Quarterly",IF(MOD((YEAR(EDATE(DATE(YEAR(TODAY()),MONTH(TODAY()),1),11))-YEAR(IF(ISNUMBER(Suppliers!F67),Suppliers!F67,DATE(YEAR(TODAY()),MONTH(TODAY()),1))))*12+MONTH(EDATE(DATE(YEAR(TODAY()),MONTH(TODAY()),1),11))-MONTH(IF(ISNUMBER(Suppliers!F67),Suppliers!F67,DATE(YEAR(TODAY()),MONTH(TODAY()),1))),3)=0,1,0),IF(Suppliers!E67="Semi-annual",IF(MOD((YEAR(EDATE(DATE(YEAR(TODAY()),MONTH(TODAY()),1),11))-YEAR(IF(ISNUMBER(Suppliers!F67),Suppliers!F67,DATE(YEAR(TODAY()),MONTH(TODAY()),1))))*12+MONTH(EDATE(DATE(YEAR(TODAY()),MONTH(TODAY()),1),11))-MONTH(IF(ISNUMBER(Suppliers!F67),Suppliers!F67,DATE(YEAR(TODAY()),MONTH(TODAY()),1))),6)=0,1,0),IF(Suppliers!E67="Annual",IF(MOD((YEAR(EDATE(DATE(YEAR(TODAY()),MONTH(TODAY()),1),11))-YEAR(IF(ISNUMBER(Suppliers!F67),Suppliers!F67,DATE(YEAR(TODAY()),MONTH(TODAY()),1))))*12+MONTH(EDATE(DATE(YEAR(TODAY()),MONTH(TODAY()),1),11))-MONTH(IF(ISNUMBER(Suppliers!F67),Suppliers!F67,DATE(YEAR(TODAY()),MONTH(TODAY()),1))),12)=0,1,0),IF(Suppliers!E67="One-time",IF(11=0,1,0),1)))))),"")</f>
        <v/>
      </c>
      <c r="R69" s="10" t="str">
        <f ca="1">IFERROR(IF(OR(12&gt;=$B$1,Suppliers!A67="",NOT(ISNUMBER(Suppliers!D67)),Suppliers!L67="Expired",Suppliers!L67="Terminate"),"",Suppliers!D67*-1*IF(Suppliers!E67="Monthly",IF(AND(ISNUMBER(Suppliers!G67),(YEAR(EDATE(DATE(YEAR(TODAY()),MONTH(TODAY()),1),12))*12+MONTH(EDATE(DATE(YEAR(TODAY()),MONTH(TODAY()),1),12)))&gt;(YEAR(Suppliers!G67)*12+MONTH(Suppliers!G67))),"",1),IF(Suppliers!E67="Quarterly",IF(MOD((YEAR(EDATE(DATE(YEAR(TODAY()),MONTH(TODAY()),1),12))-YEAR(IF(ISNUMBER(Suppliers!F67),Suppliers!F67,DATE(YEAR(TODAY()),MONTH(TODAY()),1))))*12+MONTH(EDATE(DATE(YEAR(TODAY()),MONTH(TODAY()),1),12))-MONTH(IF(ISNUMBER(Suppliers!F67),Suppliers!F67,DATE(YEAR(TODAY()),MONTH(TODAY()),1))),3)=0,1,0),IF(Suppliers!E67="Semi-annual",IF(MOD((YEAR(EDATE(DATE(YEAR(TODAY()),MONTH(TODAY()),1),12))-YEAR(IF(ISNUMBER(Suppliers!F67),Suppliers!F67,DATE(YEAR(TODAY()),MONTH(TODAY()),1))))*12+MONTH(EDATE(DATE(YEAR(TODAY()),MONTH(TODAY()),1),12))-MONTH(IF(ISNUMBER(Suppliers!F67),Suppliers!F67,DATE(YEAR(TODAY()),MONTH(TODAY()),1))),6)=0,1,0),IF(Suppliers!E67="Annual",IF(MOD((YEAR(EDATE(DATE(YEAR(TODAY()),MONTH(TODAY()),1),12))-YEAR(IF(ISNUMBER(Suppliers!F67),Suppliers!F67,DATE(YEAR(TODAY()),MONTH(TODAY()),1))))*12+MONTH(EDATE(DATE(YEAR(TODAY()),MONTH(TODAY()),1),12))-MONTH(IF(ISNUMBER(Suppliers!F67),Suppliers!F67,DATE(YEAR(TODAY()),MONTH(TODAY()),1))),12)=0,1,0),IF(Suppliers!E67="One-time",IF(12=0,1,0),1)))))),"")</f>
        <v/>
      </c>
      <c r="S69" s="10" t="str">
        <f ca="1">IFERROR(IF(OR(13&gt;=$B$1,Suppliers!A67="",NOT(ISNUMBER(Suppliers!D67)),Suppliers!L67="Expired",Suppliers!L67="Terminate"),"",Suppliers!D67*-1*IF(Suppliers!E67="Monthly",IF(AND(ISNUMBER(Suppliers!G67),(YEAR(EDATE(DATE(YEAR(TODAY()),MONTH(TODAY()),1),13))*12+MONTH(EDATE(DATE(YEAR(TODAY()),MONTH(TODAY()),1),13)))&gt;(YEAR(Suppliers!G67)*12+MONTH(Suppliers!G67))),"",1),IF(Suppliers!E67="Quarterly",IF(MOD((YEAR(EDATE(DATE(YEAR(TODAY()),MONTH(TODAY()),1),13))-YEAR(IF(ISNUMBER(Suppliers!F67),Suppliers!F67,DATE(YEAR(TODAY()),MONTH(TODAY()),1))))*12+MONTH(EDATE(DATE(YEAR(TODAY()),MONTH(TODAY()),1),13))-MONTH(IF(ISNUMBER(Suppliers!F67),Suppliers!F67,DATE(YEAR(TODAY()),MONTH(TODAY()),1))),3)=0,1,0),IF(Suppliers!E67="Semi-annual",IF(MOD((YEAR(EDATE(DATE(YEAR(TODAY()),MONTH(TODAY()),1),13))-YEAR(IF(ISNUMBER(Suppliers!F67),Suppliers!F67,DATE(YEAR(TODAY()),MONTH(TODAY()),1))))*12+MONTH(EDATE(DATE(YEAR(TODAY()),MONTH(TODAY()),1),13))-MONTH(IF(ISNUMBER(Suppliers!F67),Suppliers!F67,DATE(YEAR(TODAY()),MONTH(TODAY()),1))),6)=0,1,0),IF(Suppliers!E67="Annual",IF(MOD((YEAR(EDATE(DATE(YEAR(TODAY()),MONTH(TODAY()),1),13))-YEAR(IF(ISNUMBER(Suppliers!F67),Suppliers!F67,DATE(YEAR(TODAY()),MONTH(TODAY()),1))))*12+MONTH(EDATE(DATE(YEAR(TODAY()),MONTH(TODAY()),1),13))-MONTH(IF(ISNUMBER(Suppliers!F67),Suppliers!F67,DATE(YEAR(TODAY()),MONTH(TODAY()),1))),12)=0,1,0),IF(Suppliers!E67="One-time",IF(13=0,1,0),1)))))),"")</f>
        <v/>
      </c>
      <c r="T69" s="10" t="str">
        <f ca="1">IFERROR(IF(OR(14&gt;=$B$1,Suppliers!A67="",NOT(ISNUMBER(Suppliers!D67)),Suppliers!L67="Expired",Suppliers!L67="Terminate"),"",Suppliers!D67*-1*IF(Suppliers!E67="Monthly",IF(AND(ISNUMBER(Suppliers!G67),(YEAR(EDATE(DATE(YEAR(TODAY()),MONTH(TODAY()),1),14))*12+MONTH(EDATE(DATE(YEAR(TODAY()),MONTH(TODAY()),1),14)))&gt;(YEAR(Suppliers!G67)*12+MONTH(Suppliers!G67))),"",1),IF(Suppliers!E67="Quarterly",IF(MOD((YEAR(EDATE(DATE(YEAR(TODAY()),MONTH(TODAY()),1),14))-YEAR(IF(ISNUMBER(Suppliers!F67),Suppliers!F67,DATE(YEAR(TODAY()),MONTH(TODAY()),1))))*12+MONTH(EDATE(DATE(YEAR(TODAY()),MONTH(TODAY()),1),14))-MONTH(IF(ISNUMBER(Suppliers!F67),Suppliers!F67,DATE(YEAR(TODAY()),MONTH(TODAY()),1))),3)=0,1,0),IF(Suppliers!E67="Semi-annual",IF(MOD((YEAR(EDATE(DATE(YEAR(TODAY()),MONTH(TODAY()),1),14))-YEAR(IF(ISNUMBER(Suppliers!F67),Suppliers!F67,DATE(YEAR(TODAY()),MONTH(TODAY()),1))))*12+MONTH(EDATE(DATE(YEAR(TODAY()),MONTH(TODAY()),1),14))-MONTH(IF(ISNUMBER(Suppliers!F67),Suppliers!F67,DATE(YEAR(TODAY()),MONTH(TODAY()),1))),6)=0,1,0),IF(Suppliers!E67="Annual",IF(MOD((YEAR(EDATE(DATE(YEAR(TODAY()),MONTH(TODAY()),1),14))-YEAR(IF(ISNUMBER(Suppliers!F67),Suppliers!F67,DATE(YEAR(TODAY()),MONTH(TODAY()),1))))*12+MONTH(EDATE(DATE(YEAR(TODAY()),MONTH(TODAY()),1),14))-MONTH(IF(ISNUMBER(Suppliers!F67),Suppliers!F67,DATE(YEAR(TODAY()),MONTH(TODAY()),1))),12)=0,1,0),IF(Suppliers!E67="One-time",IF(14=0,1,0),1)))))),"")</f>
        <v/>
      </c>
      <c r="U69" s="10" t="str">
        <f ca="1">IFERROR(IF(OR(15&gt;=$B$1,Suppliers!A67="",NOT(ISNUMBER(Suppliers!D67)),Suppliers!L67="Expired",Suppliers!L67="Terminate"),"",Suppliers!D67*-1*IF(Suppliers!E67="Monthly",IF(AND(ISNUMBER(Suppliers!G67),(YEAR(EDATE(DATE(YEAR(TODAY()),MONTH(TODAY()),1),15))*12+MONTH(EDATE(DATE(YEAR(TODAY()),MONTH(TODAY()),1),15)))&gt;(YEAR(Suppliers!G67)*12+MONTH(Suppliers!G67))),"",1),IF(Suppliers!E67="Quarterly",IF(MOD((YEAR(EDATE(DATE(YEAR(TODAY()),MONTH(TODAY()),1),15))-YEAR(IF(ISNUMBER(Suppliers!F67),Suppliers!F67,DATE(YEAR(TODAY()),MONTH(TODAY()),1))))*12+MONTH(EDATE(DATE(YEAR(TODAY()),MONTH(TODAY()),1),15))-MONTH(IF(ISNUMBER(Suppliers!F67),Suppliers!F67,DATE(YEAR(TODAY()),MONTH(TODAY()),1))),3)=0,1,0),IF(Suppliers!E67="Semi-annual",IF(MOD((YEAR(EDATE(DATE(YEAR(TODAY()),MONTH(TODAY()),1),15))-YEAR(IF(ISNUMBER(Suppliers!F67),Suppliers!F67,DATE(YEAR(TODAY()),MONTH(TODAY()),1))))*12+MONTH(EDATE(DATE(YEAR(TODAY()),MONTH(TODAY()),1),15))-MONTH(IF(ISNUMBER(Suppliers!F67),Suppliers!F67,DATE(YEAR(TODAY()),MONTH(TODAY()),1))),6)=0,1,0),IF(Suppliers!E67="Annual",IF(MOD((YEAR(EDATE(DATE(YEAR(TODAY()),MONTH(TODAY()),1),15))-YEAR(IF(ISNUMBER(Suppliers!F67),Suppliers!F67,DATE(YEAR(TODAY()),MONTH(TODAY()),1))))*12+MONTH(EDATE(DATE(YEAR(TODAY()),MONTH(TODAY()),1),15))-MONTH(IF(ISNUMBER(Suppliers!F67),Suppliers!F67,DATE(YEAR(TODAY()),MONTH(TODAY()),1))),12)=0,1,0),IF(Suppliers!E67="One-time",IF(15=0,1,0),1)))))),"")</f>
        <v/>
      </c>
      <c r="V69" s="10" t="str">
        <f ca="1">IFERROR(IF(OR(16&gt;=$B$1,Suppliers!A67="",NOT(ISNUMBER(Suppliers!D67)),Suppliers!L67="Expired",Suppliers!L67="Terminate"),"",Suppliers!D67*-1*IF(Suppliers!E67="Monthly",IF(AND(ISNUMBER(Suppliers!G67),(YEAR(EDATE(DATE(YEAR(TODAY()),MONTH(TODAY()),1),16))*12+MONTH(EDATE(DATE(YEAR(TODAY()),MONTH(TODAY()),1),16)))&gt;(YEAR(Suppliers!G67)*12+MONTH(Suppliers!G67))),"",1),IF(Suppliers!E67="Quarterly",IF(MOD((YEAR(EDATE(DATE(YEAR(TODAY()),MONTH(TODAY()),1),16))-YEAR(IF(ISNUMBER(Suppliers!F67),Suppliers!F67,DATE(YEAR(TODAY()),MONTH(TODAY()),1))))*12+MONTH(EDATE(DATE(YEAR(TODAY()),MONTH(TODAY()),1),16))-MONTH(IF(ISNUMBER(Suppliers!F67),Suppliers!F67,DATE(YEAR(TODAY()),MONTH(TODAY()),1))),3)=0,1,0),IF(Suppliers!E67="Semi-annual",IF(MOD((YEAR(EDATE(DATE(YEAR(TODAY()),MONTH(TODAY()),1),16))-YEAR(IF(ISNUMBER(Suppliers!F67),Suppliers!F67,DATE(YEAR(TODAY()),MONTH(TODAY()),1))))*12+MONTH(EDATE(DATE(YEAR(TODAY()),MONTH(TODAY()),1),16))-MONTH(IF(ISNUMBER(Suppliers!F67),Suppliers!F67,DATE(YEAR(TODAY()),MONTH(TODAY()),1))),6)=0,1,0),IF(Suppliers!E67="Annual",IF(MOD((YEAR(EDATE(DATE(YEAR(TODAY()),MONTH(TODAY()),1),16))-YEAR(IF(ISNUMBER(Suppliers!F67),Suppliers!F67,DATE(YEAR(TODAY()),MONTH(TODAY()),1))))*12+MONTH(EDATE(DATE(YEAR(TODAY()),MONTH(TODAY()),1),16))-MONTH(IF(ISNUMBER(Suppliers!F67),Suppliers!F67,DATE(YEAR(TODAY()),MONTH(TODAY()),1))),12)=0,1,0),IF(Suppliers!E67="One-time",IF(16=0,1,0),1)))))),"")</f>
        <v/>
      </c>
      <c r="W69" s="10" t="str">
        <f ca="1">IFERROR(IF(OR(17&gt;=$B$1,Suppliers!A67="",NOT(ISNUMBER(Suppliers!D67)),Suppliers!L67="Expired",Suppliers!L67="Terminate"),"",Suppliers!D67*-1*IF(Suppliers!E67="Monthly",IF(AND(ISNUMBER(Suppliers!G67),(YEAR(EDATE(DATE(YEAR(TODAY()),MONTH(TODAY()),1),17))*12+MONTH(EDATE(DATE(YEAR(TODAY()),MONTH(TODAY()),1),17)))&gt;(YEAR(Suppliers!G67)*12+MONTH(Suppliers!G67))),"",1),IF(Suppliers!E67="Quarterly",IF(MOD((YEAR(EDATE(DATE(YEAR(TODAY()),MONTH(TODAY()),1),17))-YEAR(IF(ISNUMBER(Suppliers!F67),Suppliers!F67,DATE(YEAR(TODAY()),MONTH(TODAY()),1))))*12+MONTH(EDATE(DATE(YEAR(TODAY()),MONTH(TODAY()),1),17))-MONTH(IF(ISNUMBER(Suppliers!F67),Suppliers!F67,DATE(YEAR(TODAY()),MONTH(TODAY()),1))),3)=0,1,0),IF(Suppliers!E67="Semi-annual",IF(MOD((YEAR(EDATE(DATE(YEAR(TODAY()),MONTH(TODAY()),1),17))-YEAR(IF(ISNUMBER(Suppliers!F67),Suppliers!F67,DATE(YEAR(TODAY()),MONTH(TODAY()),1))))*12+MONTH(EDATE(DATE(YEAR(TODAY()),MONTH(TODAY()),1),17))-MONTH(IF(ISNUMBER(Suppliers!F67),Suppliers!F67,DATE(YEAR(TODAY()),MONTH(TODAY()),1))),6)=0,1,0),IF(Suppliers!E67="Annual",IF(MOD((YEAR(EDATE(DATE(YEAR(TODAY()),MONTH(TODAY()),1),17))-YEAR(IF(ISNUMBER(Suppliers!F67),Suppliers!F67,DATE(YEAR(TODAY()),MONTH(TODAY()),1))))*12+MONTH(EDATE(DATE(YEAR(TODAY()),MONTH(TODAY()),1),17))-MONTH(IF(ISNUMBER(Suppliers!F67),Suppliers!F67,DATE(YEAR(TODAY()),MONTH(TODAY()),1))),12)=0,1,0),IF(Suppliers!E67="One-time",IF(17=0,1,0),1)))))),"")</f>
        <v/>
      </c>
      <c r="X69" s="10" t="str">
        <f ca="1">IFERROR(IF(OR(18&gt;=$B$1,Suppliers!A67="",NOT(ISNUMBER(Suppliers!D67)),Suppliers!L67="Expired",Suppliers!L67="Terminate"),"",Suppliers!D67*-1*IF(Suppliers!E67="Monthly",IF(AND(ISNUMBER(Suppliers!G67),(YEAR(EDATE(DATE(YEAR(TODAY()),MONTH(TODAY()),1),18))*12+MONTH(EDATE(DATE(YEAR(TODAY()),MONTH(TODAY()),1),18)))&gt;(YEAR(Suppliers!G67)*12+MONTH(Suppliers!G67))),"",1),IF(Suppliers!E67="Quarterly",IF(MOD((YEAR(EDATE(DATE(YEAR(TODAY()),MONTH(TODAY()),1),18))-YEAR(IF(ISNUMBER(Suppliers!F67),Suppliers!F67,DATE(YEAR(TODAY()),MONTH(TODAY()),1))))*12+MONTH(EDATE(DATE(YEAR(TODAY()),MONTH(TODAY()),1),18))-MONTH(IF(ISNUMBER(Suppliers!F67),Suppliers!F67,DATE(YEAR(TODAY()),MONTH(TODAY()),1))),3)=0,1,0),IF(Suppliers!E67="Semi-annual",IF(MOD((YEAR(EDATE(DATE(YEAR(TODAY()),MONTH(TODAY()),1),18))-YEAR(IF(ISNUMBER(Suppliers!F67),Suppliers!F67,DATE(YEAR(TODAY()),MONTH(TODAY()),1))))*12+MONTH(EDATE(DATE(YEAR(TODAY()),MONTH(TODAY()),1),18))-MONTH(IF(ISNUMBER(Suppliers!F67),Suppliers!F67,DATE(YEAR(TODAY()),MONTH(TODAY()),1))),6)=0,1,0),IF(Suppliers!E67="Annual",IF(MOD((YEAR(EDATE(DATE(YEAR(TODAY()),MONTH(TODAY()),1),18))-YEAR(IF(ISNUMBER(Suppliers!F67),Suppliers!F67,DATE(YEAR(TODAY()),MONTH(TODAY()),1))))*12+MONTH(EDATE(DATE(YEAR(TODAY()),MONTH(TODAY()),1),18))-MONTH(IF(ISNUMBER(Suppliers!F67),Suppliers!F67,DATE(YEAR(TODAY()),MONTH(TODAY()),1))),12)=0,1,0),IF(Suppliers!E67="One-time",IF(18=0,1,0),1)))))),"")</f>
        <v/>
      </c>
      <c r="Y69" s="10" t="str">
        <f ca="1">IFERROR(IF(OR(19&gt;=$B$1,Suppliers!A67="",NOT(ISNUMBER(Suppliers!D67)),Suppliers!L67="Expired",Suppliers!L67="Terminate"),"",Suppliers!D67*-1*IF(Suppliers!E67="Monthly",IF(AND(ISNUMBER(Suppliers!G67),(YEAR(EDATE(DATE(YEAR(TODAY()),MONTH(TODAY()),1),19))*12+MONTH(EDATE(DATE(YEAR(TODAY()),MONTH(TODAY()),1),19)))&gt;(YEAR(Suppliers!G67)*12+MONTH(Suppliers!G67))),"",1),IF(Suppliers!E67="Quarterly",IF(MOD((YEAR(EDATE(DATE(YEAR(TODAY()),MONTH(TODAY()),1),19))-YEAR(IF(ISNUMBER(Suppliers!F67),Suppliers!F67,DATE(YEAR(TODAY()),MONTH(TODAY()),1))))*12+MONTH(EDATE(DATE(YEAR(TODAY()),MONTH(TODAY()),1),19))-MONTH(IF(ISNUMBER(Suppliers!F67),Suppliers!F67,DATE(YEAR(TODAY()),MONTH(TODAY()),1))),3)=0,1,0),IF(Suppliers!E67="Semi-annual",IF(MOD((YEAR(EDATE(DATE(YEAR(TODAY()),MONTH(TODAY()),1),19))-YEAR(IF(ISNUMBER(Suppliers!F67),Suppliers!F67,DATE(YEAR(TODAY()),MONTH(TODAY()),1))))*12+MONTH(EDATE(DATE(YEAR(TODAY()),MONTH(TODAY()),1),19))-MONTH(IF(ISNUMBER(Suppliers!F67),Suppliers!F67,DATE(YEAR(TODAY()),MONTH(TODAY()),1))),6)=0,1,0),IF(Suppliers!E67="Annual",IF(MOD((YEAR(EDATE(DATE(YEAR(TODAY()),MONTH(TODAY()),1),19))-YEAR(IF(ISNUMBER(Suppliers!F67),Suppliers!F67,DATE(YEAR(TODAY()),MONTH(TODAY()),1))))*12+MONTH(EDATE(DATE(YEAR(TODAY()),MONTH(TODAY()),1),19))-MONTH(IF(ISNUMBER(Suppliers!F67),Suppliers!F67,DATE(YEAR(TODAY()),MONTH(TODAY()),1))),12)=0,1,0),IF(Suppliers!E67="One-time",IF(19=0,1,0),1)))))),"")</f>
        <v/>
      </c>
      <c r="Z69" s="10" t="str">
        <f ca="1">IFERROR(IF(OR(20&gt;=$B$1,Suppliers!A67="",NOT(ISNUMBER(Suppliers!D67)),Suppliers!L67="Expired",Suppliers!L67="Terminate"),"",Suppliers!D67*-1*IF(Suppliers!E67="Monthly",IF(AND(ISNUMBER(Suppliers!G67),(YEAR(EDATE(DATE(YEAR(TODAY()),MONTH(TODAY()),1),20))*12+MONTH(EDATE(DATE(YEAR(TODAY()),MONTH(TODAY()),1),20)))&gt;(YEAR(Suppliers!G67)*12+MONTH(Suppliers!G67))),"",1),IF(Suppliers!E67="Quarterly",IF(MOD((YEAR(EDATE(DATE(YEAR(TODAY()),MONTH(TODAY()),1),20))-YEAR(IF(ISNUMBER(Suppliers!F67),Suppliers!F67,DATE(YEAR(TODAY()),MONTH(TODAY()),1))))*12+MONTH(EDATE(DATE(YEAR(TODAY()),MONTH(TODAY()),1),20))-MONTH(IF(ISNUMBER(Suppliers!F67),Suppliers!F67,DATE(YEAR(TODAY()),MONTH(TODAY()),1))),3)=0,1,0),IF(Suppliers!E67="Semi-annual",IF(MOD((YEAR(EDATE(DATE(YEAR(TODAY()),MONTH(TODAY()),1),20))-YEAR(IF(ISNUMBER(Suppliers!F67),Suppliers!F67,DATE(YEAR(TODAY()),MONTH(TODAY()),1))))*12+MONTH(EDATE(DATE(YEAR(TODAY()),MONTH(TODAY()),1),20))-MONTH(IF(ISNUMBER(Suppliers!F67),Suppliers!F67,DATE(YEAR(TODAY()),MONTH(TODAY()),1))),6)=0,1,0),IF(Suppliers!E67="Annual",IF(MOD((YEAR(EDATE(DATE(YEAR(TODAY()),MONTH(TODAY()),1),20))-YEAR(IF(ISNUMBER(Suppliers!F67),Suppliers!F67,DATE(YEAR(TODAY()),MONTH(TODAY()),1))))*12+MONTH(EDATE(DATE(YEAR(TODAY()),MONTH(TODAY()),1),20))-MONTH(IF(ISNUMBER(Suppliers!F67),Suppliers!F67,DATE(YEAR(TODAY()),MONTH(TODAY()),1))),12)=0,1,0),IF(Suppliers!E67="One-time",IF(20=0,1,0),1)))))),"")</f>
        <v/>
      </c>
      <c r="AA69" s="10" t="str">
        <f ca="1">IFERROR(IF(OR(21&gt;=$B$1,Suppliers!A67="",NOT(ISNUMBER(Suppliers!D67)),Suppliers!L67="Expired",Suppliers!L67="Terminate"),"",Suppliers!D67*-1*IF(Suppliers!E67="Monthly",IF(AND(ISNUMBER(Suppliers!G67),(YEAR(EDATE(DATE(YEAR(TODAY()),MONTH(TODAY()),1),21))*12+MONTH(EDATE(DATE(YEAR(TODAY()),MONTH(TODAY()),1),21)))&gt;(YEAR(Suppliers!G67)*12+MONTH(Suppliers!G67))),"",1),IF(Suppliers!E67="Quarterly",IF(MOD((YEAR(EDATE(DATE(YEAR(TODAY()),MONTH(TODAY()),1),21))-YEAR(IF(ISNUMBER(Suppliers!F67),Suppliers!F67,DATE(YEAR(TODAY()),MONTH(TODAY()),1))))*12+MONTH(EDATE(DATE(YEAR(TODAY()),MONTH(TODAY()),1),21))-MONTH(IF(ISNUMBER(Suppliers!F67),Suppliers!F67,DATE(YEAR(TODAY()),MONTH(TODAY()),1))),3)=0,1,0),IF(Suppliers!E67="Semi-annual",IF(MOD((YEAR(EDATE(DATE(YEAR(TODAY()),MONTH(TODAY()),1),21))-YEAR(IF(ISNUMBER(Suppliers!F67),Suppliers!F67,DATE(YEAR(TODAY()),MONTH(TODAY()),1))))*12+MONTH(EDATE(DATE(YEAR(TODAY()),MONTH(TODAY()),1),21))-MONTH(IF(ISNUMBER(Suppliers!F67),Suppliers!F67,DATE(YEAR(TODAY()),MONTH(TODAY()),1))),6)=0,1,0),IF(Suppliers!E67="Annual",IF(MOD((YEAR(EDATE(DATE(YEAR(TODAY()),MONTH(TODAY()),1),21))-YEAR(IF(ISNUMBER(Suppliers!F67),Suppliers!F67,DATE(YEAR(TODAY()),MONTH(TODAY()),1))))*12+MONTH(EDATE(DATE(YEAR(TODAY()),MONTH(TODAY()),1),21))-MONTH(IF(ISNUMBER(Suppliers!F67),Suppliers!F67,DATE(YEAR(TODAY()),MONTH(TODAY()),1))),12)=0,1,0),IF(Suppliers!E67="One-time",IF(21=0,1,0),1)))))),"")</f>
        <v/>
      </c>
      <c r="AB69" s="10" t="str">
        <f ca="1">IFERROR(IF(OR(22&gt;=$B$1,Suppliers!A67="",NOT(ISNUMBER(Suppliers!D67)),Suppliers!L67="Expired",Suppliers!L67="Terminate"),"",Suppliers!D67*-1*IF(Suppliers!E67="Monthly",IF(AND(ISNUMBER(Suppliers!G67),(YEAR(EDATE(DATE(YEAR(TODAY()),MONTH(TODAY()),1),22))*12+MONTH(EDATE(DATE(YEAR(TODAY()),MONTH(TODAY()),1),22)))&gt;(YEAR(Suppliers!G67)*12+MONTH(Suppliers!G67))),"",1),IF(Suppliers!E67="Quarterly",IF(MOD((YEAR(EDATE(DATE(YEAR(TODAY()),MONTH(TODAY()),1),22))-YEAR(IF(ISNUMBER(Suppliers!F67),Suppliers!F67,DATE(YEAR(TODAY()),MONTH(TODAY()),1))))*12+MONTH(EDATE(DATE(YEAR(TODAY()),MONTH(TODAY()),1),22))-MONTH(IF(ISNUMBER(Suppliers!F67),Suppliers!F67,DATE(YEAR(TODAY()),MONTH(TODAY()),1))),3)=0,1,0),IF(Suppliers!E67="Semi-annual",IF(MOD((YEAR(EDATE(DATE(YEAR(TODAY()),MONTH(TODAY()),1),22))-YEAR(IF(ISNUMBER(Suppliers!F67),Suppliers!F67,DATE(YEAR(TODAY()),MONTH(TODAY()),1))))*12+MONTH(EDATE(DATE(YEAR(TODAY()),MONTH(TODAY()),1),22))-MONTH(IF(ISNUMBER(Suppliers!F67),Suppliers!F67,DATE(YEAR(TODAY()),MONTH(TODAY()),1))),6)=0,1,0),IF(Suppliers!E67="Annual",IF(MOD((YEAR(EDATE(DATE(YEAR(TODAY()),MONTH(TODAY()),1),22))-YEAR(IF(ISNUMBER(Suppliers!F67),Suppliers!F67,DATE(YEAR(TODAY()),MONTH(TODAY()),1))))*12+MONTH(EDATE(DATE(YEAR(TODAY()),MONTH(TODAY()),1),22))-MONTH(IF(ISNUMBER(Suppliers!F67),Suppliers!F67,DATE(YEAR(TODAY()),MONTH(TODAY()),1))),12)=0,1,0),IF(Suppliers!E67="One-time",IF(22=0,1,0),1)))))),"")</f>
        <v/>
      </c>
      <c r="AC69" s="10" t="str">
        <f ca="1">IFERROR(IF(OR(23&gt;=$B$1,Suppliers!A67="",NOT(ISNUMBER(Suppliers!D67)),Suppliers!L67="Expired",Suppliers!L67="Terminate"),"",Suppliers!D67*-1*IF(Suppliers!E67="Monthly",IF(AND(ISNUMBER(Suppliers!G67),(YEAR(EDATE(DATE(YEAR(TODAY()),MONTH(TODAY()),1),23))*12+MONTH(EDATE(DATE(YEAR(TODAY()),MONTH(TODAY()),1),23)))&gt;(YEAR(Suppliers!G67)*12+MONTH(Suppliers!G67))),"",1),IF(Suppliers!E67="Quarterly",IF(MOD((YEAR(EDATE(DATE(YEAR(TODAY()),MONTH(TODAY()),1),23))-YEAR(IF(ISNUMBER(Suppliers!F67),Suppliers!F67,DATE(YEAR(TODAY()),MONTH(TODAY()),1))))*12+MONTH(EDATE(DATE(YEAR(TODAY()),MONTH(TODAY()),1),23))-MONTH(IF(ISNUMBER(Suppliers!F67),Suppliers!F67,DATE(YEAR(TODAY()),MONTH(TODAY()),1))),3)=0,1,0),IF(Suppliers!E67="Semi-annual",IF(MOD((YEAR(EDATE(DATE(YEAR(TODAY()),MONTH(TODAY()),1),23))-YEAR(IF(ISNUMBER(Suppliers!F67),Suppliers!F67,DATE(YEAR(TODAY()),MONTH(TODAY()),1))))*12+MONTH(EDATE(DATE(YEAR(TODAY()),MONTH(TODAY()),1),23))-MONTH(IF(ISNUMBER(Suppliers!F67),Suppliers!F67,DATE(YEAR(TODAY()),MONTH(TODAY()),1))),6)=0,1,0),IF(Suppliers!E67="Annual",IF(MOD((YEAR(EDATE(DATE(YEAR(TODAY()),MONTH(TODAY()),1),23))-YEAR(IF(ISNUMBER(Suppliers!F67),Suppliers!F67,DATE(YEAR(TODAY()),MONTH(TODAY()),1))))*12+MONTH(EDATE(DATE(YEAR(TODAY()),MONTH(TODAY()),1),23))-MONTH(IF(ISNUMBER(Suppliers!F67),Suppliers!F67,DATE(YEAR(TODAY()),MONTH(TODAY()),1))),12)=0,1,0),IF(Suppliers!E67="One-time",IF(23=0,1,0),1)))))),"")</f>
        <v/>
      </c>
    </row>
    <row r="70" spans="1:29" ht="15" customHeight="1" x14ac:dyDescent="0.35">
      <c r="A70" s="4" t="s">
        <v>80</v>
      </c>
      <c r="B70" s="4" t="str">
        <f>IF(Suppliers!A68="","",Suppliers!A68)</f>
        <v/>
      </c>
      <c r="C70" s="10" t="str">
        <f>IF(Suppliers!C68="","",Suppliers!C68)</f>
        <v/>
      </c>
      <c r="D70" s="10" t="str">
        <f>IF(Suppliers!D68="","",Suppliers!D68)</f>
        <v/>
      </c>
      <c r="E70" s="4" t="str">
        <f>IF(Suppliers!E68="","",Suppliers!E68)</f>
        <v/>
      </c>
      <c r="F70" s="10" t="str">
        <f ca="1">IFERROR(IF(OR(0&gt;=$B$1,Suppliers!A68="",NOT(ISNUMBER(Suppliers!D68)),Suppliers!L68="Expired",Suppliers!L68="Terminate"),"",Suppliers!D68*-1*IF(Suppliers!E68="Monthly",IF(AND(ISNUMBER(Suppliers!G68),(YEAR(EDATE(DATE(YEAR(TODAY()),MONTH(TODAY()),1),0))*12+MONTH(EDATE(DATE(YEAR(TODAY()),MONTH(TODAY()),1),0)))&gt;(YEAR(Suppliers!G68)*12+MONTH(Suppliers!G68))),"",1),IF(Suppliers!E68="Quarterly",IF(MOD((YEAR(EDATE(DATE(YEAR(TODAY()),MONTH(TODAY()),1),0))-YEAR(IF(ISNUMBER(Suppliers!F68),Suppliers!F68,DATE(YEAR(TODAY()),MONTH(TODAY()),1))))*12+MONTH(EDATE(DATE(YEAR(TODAY()),MONTH(TODAY()),1),0))-MONTH(IF(ISNUMBER(Suppliers!F68),Suppliers!F68,DATE(YEAR(TODAY()),MONTH(TODAY()),1))),3)=0,1,0),IF(Suppliers!E68="Semi-annual",IF(MOD((YEAR(EDATE(DATE(YEAR(TODAY()),MONTH(TODAY()),1),0))-YEAR(IF(ISNUMBER(Suppliers!F68),Suppliers!F68,DATE(YEAR(TODAY()),MONTH(TODAY()),1))))*12+MONTH(EDATE(DATE(YEAR(TODAY()),MONTH(TODAY()),1),0))-MONTH(IF(ISNUMBER(Suppliers!F68),Suppliers!F68,DATE(YEAR(TODAY()),MONTH(TODAY()),1))),6)=0,1,0),IF(Suppliers!E68="Annual",IF(MOD((YEAR(EDATE(DATE(YEAR(TODAY()),MONTH(TODAY()),1),0))-YEAR(IF(ISNUMBER(Suppliers!F68),Suppliers!F68,DATE(YEAR(TODAY()),MONTH(TODAY()),1))))*12+MONTH(EDATE(DATE(YEAR(TODAY()),MONTH(TODAY()),1),0))-MONTH(IF(ISNUMBER(Suppliers!F68),Suppliers!F68,DATE(YEAR(TODAY()),MONTH(TODAY()),1))),12)=0,1,0),IF(Suppliers!E68="One-time",IF(0=0,1,0),1)))))),"")</f>
        <v/>
      </c>
      <c r="G70" s="10" t="str">
        <f ca="1">IFERROR(IF(OR(1&gt;=$B$1,Suppliers!A68="",NOT(ISNUMBER(Suppliers!D68)),Suppliers!L68="Expired",Suppliers!L68="Terminate"),"",Suppliers!D68*-1*IF(Suppliers!E68="Monthly",IF(AND(ISNUMBER(Suppliers!G68),(YEAR(EDATE(DATE(YEAR(TODAY()),MONTH(TODAY()),1),1))*12+MONTH(EDATE(DATE(YEAR(TODAY()),MONTH(TODAY()),1),1)))&gt;(YEAR(Suppliers!G68)*12+MONTH(Suppliers!G68))),"",1),IF(Suppliers!E68="Quarterly",IF(MOD((YEAR(EDATE(DATE(YEAR(TODAY()),MONTH(TODAY()),1),1))-YEAR(IF(ISNUMBER(Suppliers!F68),Suppliers!F68,DATE(YEAR(TODAY()),MONTH(TODAY()),1))))*12+MONTH(EDATE(DATE(YEAR(TODAY()),MONTH(TODAY()),1),1))-MONTH(IF(ISNUMBER(Suppliers!F68),Suppliers!F68,DATE(YEAR(TODAY()),MONTH(TODAY()),1))),3)=0,1,0),IF(Suppliers!E68="Semi-annual",IF(MOD((YEAR(EDATE(DATE(YEAR(TODAY()),MONTH(TODAY()),1),1))-YEAR(IF(ISNUMBER(Suppliers!F68),Suppliers!F68,DATE(YEAR(TODAY()),MONTH(TODAY()),1))))*12+MONTH(EDATE(DATE(YEAR(TODAY()),MONTH(TODAY()),1),1))-MONTH(IF(ISNUMBER(Suppliers!F68),Suppliers!F68,DATE(YEAR(TODAY()),MONTH(TODAY()),1))),6)=0,1,0),IF(Suppliers!E68="Annual",IF(MOD((YEAR(EDATE(DATE(YEAR(TODAY()),MONTH(TODAY()),1),1))-YEAR(IF(ISNUMBER(Suppliers!F68),Suppliers!F68,DATE(YEAR(TODAY()),MONTH(TODAY()),1))))*12+MONTH(EDATE(DATE(YEAR(TODAY()),MONTH(TODAY()),1),1))-MONTH(IF(ISNUMBER(Suppliers!F68),Suppliers!F68,DATE(YEAR(TODAY()),MONTH(TODAY()),1))),12)=0,1,0),IF(Suppliers!E68="One-time",IF(1=0,1,0),1)))))),"")</f>
        <v/>
      </c>
      <c r="H70" s="10" t="str">
        <f ca="1">IFERROR(IF(OR(2&gt;=$B$1,Suppliers!A68="",NOT(ISNUMBER(Suppliers!D68)),Suppliers!L68="Expired",Suppliers!L68="Terminate"),"",Suppliers!D68*-1*IF(Suppliers!E68="Monthly",IF(AND(ISNUMBER(Suppliers!G68),(YEAR(EDATE(DATE(YEAR(TODAY()),MONTH(TODAY()),1),2))*12+MONTH(EDATE(DATE(YEAR(TODAY()),MONTH(TODAY()),1),2)))&gt;(YEAR(Suppliers!G68)*12+MONTH(Suppliers!G68))),"",1),IF(Suppliers!E68="Quarterly",IF(MOD((YEAR(EDATE(DATE(YEAR(TODAY()),MONTH(TODAY()),1),2))-YEAR(IF(ISNUMBER(Suppliers!F68),Suppliers!F68,DATE(YEAR(TODAY()),MONTH(TODAY()),1))))*12+MONTH(EDATE(DATE(YEAR(TODAY()),MONTH(TODAY()),1),2))-MONTH(IF(ISNUMBER(Suppliers!F68),Suppliers!F68,DATE(YEAR(TODAY()),MONTH(TODAY()),1))),3)=0,1,0),IF(Suppliers!E68="Semi-annual",IF(MOD((YEAR(EDATE(DATE(YEAR(TODAY()),MONTH(TODAY()),1),2))-YEAR(IF(ISNUMBER(Suppliers!F68),Suppliers!F68,DATE(YEAR(TODAY()),MONTH(TODAY()),1))))*12+MONTH(EDATE(DATE(YEAR(TODAY()),MONTH(TODAY()),1),2))-MONTH(IF(ISNUMBER(Suppliers!F68),Suppliers!F68,DATE(YEAR(TODAY()),MONTH(TODAY()),1))),6)=0,1,0),IF(Suppliers!E68="Annual",IF(MOD((YEAR(EDATE(DATE(YEAR(TODAY()),MONTH(TODAY()),1),2))-YEAR(IF(ISNUMBER(Suppliers!F68),Suppliers!F68,DATE(YEAR(TODAY()),MONTH(TODAY()),1))))*12+MONTH(EDATE(DATE(YEAR(TODAY()),MONTH(TODAY()),1),2))-MONTH(IF(ISNUMBER(Suppliers!F68),Suppliers!F68,DATE(YEAR(TODAY()),MONTH(TODAY()),1))),12)=0,1,0),IF(Suppliers!E68="One-time",IF(2=0,1,0),1)))))),"")</f>
        <v/>
      </c>
      <c r="I70" s="10" t="str">
        <f ca="1">IFERROR(IF(OR(3&gt;=$B$1,Suppliers!A68="",NOT(ISNUMBER(Suppliers!D68)),Suppliers!L68="Expired",Suppliers!L68="Terminate"),"",Suppliers!D68*-1*IF(Suppliers!E68="Monthly",IF(AND(ISNUMBER(Suppliers!G68),(YEAR(EDATE(DATE(YEAR(TODAY()),MONTH(TODAY()),1),3))*12+MONTH(EDATE(DATE(YEAR(TODAY()),MONTH(TODAY()),1),3)))&gt;(YEAR(Suppliers!G68)*12+MONTH(Suppliers!G68))),"",1),IF(Suppliers!E68="Quarterly",IF(MOD((YEAR(EDATE(DATE(YEAR(TODAY()),MONTH(TODAY()),1),3))-YEAR(IF(ISNUMBER(Suppliers!F68),Suppliers!F68,DATE(YEAR(TODAY()),MONTH(TODAY()),1))))*12+MONTH(EDATE(DATE(YEAR(TODAY()),MONTH(TODAY()),1),3))-MONTH(IF(ISNUMBER(Suppliers!F68),Suppliers!F68,DATE(YEAR(TODAY()),MONTH(TODAY()),1))),3)=0,1,0),IF(Suppliers!E68="Semi-annual",IF(MOD((YEAR(EDATE(DATE(YEAR(TODAY()),MONTH(TODAY()),1),3))-YEAR(IF(ISNUMBER(Suppliers!F68),Suppliers!F68,DATE(YEAR(TODAY()),MONTH(TODAY()),1))))*12+MONTH(EDATE(DATE(YEAR(TODAY()),MONTH(TODAY()),1),3))-MONTH(IF(ISNUMBER(Suppliers!F68),Suppliers!F68,DATE(YEAR(TODAY()),MONTH(TODAY()),1))),6)=0,1,0),IF(Suppliers!E68="Annual",IF(MOD((YEAR(EDATE(DATE(YEAR(TODAY()),MONTH(TODAY()),1),3))-YEAR(IF(ISNUMBER(Suppliers!F68),Suppliers!F68,DATE(YEAR(TODAY()),MONTH(TODAY()),1))))*12+MONTH(EDATE(DATE(YEAR(TODAY()),MONTH(TODAY()),1),3))-MONTH(IF(ISNUMBER(Suppliers!F68),Suppliers!F68,DATE(YEAR(TODAY()),MONTH(TODAY()),1))),12)=0,1,0),IF(Suppliers!E68="One-time",IF(3=0,1,0),1)))))),"")</f>
        <v/>
      </c>
      <c r="J70" s="10" t="str">
        <f ca="1">IFERROR(IF(OR(4&gt;=$B$1,Suppliers!A68="",NOT(ISNUMBER(Suppliers!D68)),Suppliers!L68="Expired",Suppliers!L68="Terminate"),"",Suppliers!D68*-1*IF(Suppliers!E68="Monthly",IF(AND(ISNUMBER(Suppliers!G68),(YEAR(EDATE(DATE(YEAR(TODAY()),MONTH(TODAY()),1),4))*12+MONTH(EDATE(DATE(YEAR(TODAY()),MONTH(TODAY()),1),4)))&gt;(YEAR(Suppliers!G68)*12+MONTH(Suppliers!G68))),"",1),IF(Suppliers!E68="Quarterly",IF(MOD((YEAR(EDATE(DATE(YEAR(TODAY()),MONTH(TODAY()),1),4))-YEAR(IF(ISNUMBER(Suppliers!F68),Suppliers!F68,DATE(YEAR(TODAY()),MONTH(TODAY()),1))))*12+MONTH(EDATE(DATE(YEAR(TODAY()),MONTH(TODAY()),1),4))-MONTH(IF(ISNUMBER(Suppliers!F68),Suppliers!F68,DATE(YEAR(TODAY()),MONTH(TODAY()),1))),3)=0,1,0),IF(Suppliers!E68="Semi-annual",IF(MOD((YEAR(EDATE(DATE(YEAR(TODAY()),MONTH(TODAY()),1),4))-YEAR(IF(ISNUMBER(Suppliers!F68),Suppliers!F68,DATE(YEAR(TODAY()),MONTH(TODAY()),1))))*12+MONTH(EDATE(DATE(YEAR(TODAY()),MONTH(TODAY()),1),4))-MONTH(IF(ISNUMBER(Suppliers!F68),Suppliers!F68,DATE(YEAR(TODAY()),MONTH(TODAY()),1))),6)=0,1,0),IF(Suppliers!E68="Annual",IF(MOD((YEAR(EDATE(DATE(YEAR(TODAY()),MONTH(TODAY()),1),4))-YEAR(IF(ISNUMBER(Suppliers!F68),Suppliers!F68,DATE(YEAR(TODAY()),MONTH(TODAY()),1))))*12+MONTH(EDATE(DATE(YEAR(TODAY()),MONTH(TODAY()),1),4))-MONTH(IF(ISNUMBER(Suppliers!F68),Suppliers!F68,DATE(YEAR(TODAY()),MONTH(TODAY()),1))),12)=0,1,0),IF(Suppliers!E68="One-time",IF(4=0,1,0),1)))))),"")</f>
        <v/>
      </c>
      <c r="K70" s="10" t="str">
        <f ca="1">IFERROR(IF(OR(5&gt;=$B$1,Suppliers!A68="",NOT(ISNUMBER(Suppliers!D68)),Suppliers!L68="Expired",Suppliers!L68="Terminate"),"",Suppliers!D68*-1*IF(Suppliers!E68="Monthly",IF(AND(ISNUMBER(Suppliers!G68),(YEAR(EDATE(DATE(YEAR(TODAY()),MONTH(TODAY()),1),5))*12+MONTH(EDATE(DATE(YEAR(TODAY()),MONTH(TODAY()),1),5)))&gt;(YEAR(Suppliers!G68)*12+MONTH(Suppliers!G68))),"",1),IF(Suppliers!E68="Quarterly",IF(MOD((YEAR(EDATE(DATE(YEAR(TODAY()),MONTH(TODAY()),1),5))-YEAR(IF(ISNUMBER(Suppliers!F68),Suppliers!F68,DATE(YEAR(TODAY()),MONTH(TODAY()),1))))*12+MONTH(EDATE(DATE(YEAR(TODAY()),MONTH(TODAY()),1),5))-MONTH(IF(ISNUMBER(Suppliers!F68),Suppliers!F68,DATE(YEAR(TODAY()),MONTH(TODAY()),1))),3)=0,1,0),IF(Suppliers!E68="Semi-annual",IF(MOD((YEAR(EDATE(DATE(YEAR(TODAY()),MONTH(TODAY()),1),5))-YEAR(IF(ISNUMBER(Suppliers!F68),Suppliers!F68,DATE(YEAR(TODAY()),MONTH(TODAY()),1))))*12+MONTH(EDATE(DATE(YEAR(TODAY()),MONTH(TODAY()),1),5))-MONTH(IF(ISNUMBER(Suppliers!F68),Suppliers!F68,DATE(YEAR(TODAY()),MONTH(TODAY()),1))),6)=0,1,0),IF(Suppliers!E68="Annual",IF(MOD((YEAR(EDATE(DATE(YEAR(TODAY()),MONTH(TODAY()),1),5))-YEAR(IF(ISNUMBER(Suppliers!F68),Suppliers!F68,DATE(YEAR(TODAY()),MONTH(TODAY()),1))))*12+MONTH(EDATE(DATE(YEAR(TODAY()),MONTH(TODAY()),1),5))-MONTH(IF(ISNUMBER(Suppliers!F68),Suppliers!F68,DATE(YEAR(TODAY()),MONTH(TODAY()),1))),12)=0,1,0),IF(Suppliers!E68="One-time",IF(5=0,1,0),1)))))),"")</f>
        <v/>
      </c>
      <c r="L70" s="10" t="str">
        <f ca="1">IFERROR(IF(OR(6&gt;=$B$1,Suppliers!A68="",NOT(ISNUMBER(Suppliers!D68)),Suppliers!L68="Expired",Suppliers!L68="Terminate"),"",Suppliers!D68*-1*IF(Suppliers!E68="Monthly",IF(AND(ISNUMBER(Suppliers!G68),(YEAR(EDATE(DATE(YEAR(TODAY()),MONTH(TODAY()),1),6))*12+MONTH(EDATE(DATE(YEAR(TODAY()),MONTH(TODAY()),1),6)))&gt;(YEAR(Suppliers!G68)*12+MONTH(Suppliers!G68))),"",1),IF(Suppliers!E68="Quarterly",IF(MOD((YEAR(EDATE(DATE(YEAR(TODAY()),MONTH(TODAY()),1),6))-YEAR(IF(ISNUMBER(Suppliers!F68),Suppliers!F68,DATE(YEAR(TODAY()),MONTH(TODAY()),1))))*12+MONTH(EDATE(DATE(YEAR(TODAY()),MONTH(TODAY()),1),6))-MONTH(IF(ISNUMBER(Suppliers!F68),Suppliers!F68,DATE(YEAR(TODAY()),MONTH(TODAY()),1))),3)=0,1,0),IF(Suppliers!E68="Semi-annual",IF(MOD((YEAR(EDATE(DATE(YEAR(TODAY()),MONTH(TODAY()),1),6))-YEAR(IF(ISNUMBER(Suppliers!F68),Suppliers!F68,DATE(YEAR(TODAY()),MONTH(TODAY()),1))))*12+MONTH(EDATE(DATE(YEAR(TODAY()),MONTH(TODAY()),1),6))-MONTH(IF(ISNUMBER(Suppliers!F68),Suppliers!F68,DATE(YEAR(TODAY()),MONTH(TODAY()),1))),6)=0,1,0),IF(Suppliers!E68="Annual",IF(MOD((YEAR(EDATE(DATE(YEAR(TODAY()),MONTH(TODAY()),1),6))-YEAR(IF(ISNUMBER(Suppliers!F68),Suppliers!F68,DATE(YEAR(TODAY()),MONTH(TODAY()),1))))*12+MONTH(EDATE(DATE(YEAR(TODAY()),MONTH(TODAY()),1),6))-MONTH(IF(ISNUMBER(Suppliers!F68),Suppliers!F68,DATE(YEAR(TODAY()),MONTH(TODAY()),1))),12)=0,1,0),IF(Suppliers!E68="One-time",IF(6=0,1,0),1)))))),"")</f>
        <v/>
      </c>
      <c r="M70" s="10" t="str">
        <f ca="1">IFERROR(IF(OR(7&gt;=$B$1,Suppliers!A68="",NOT(ISNUMBER(Suppliers!D68)),Suppliers!L68="Expired",Suppliers!L68="Terminate"),"",Suppliers!D68*-1*IF(Suppliers!E68="Monthly",IF(AND(ISNUMBER(Suppliers!G68),(YEAR(EDATE(DATE(YEAR(TODAY()),MONTH(TODAY()),1),7))*12+MONTH(EDATE(DATE(YEAR(TODAY()),MONTH(TODAY()),1),7)))&gt;(YEAR(Suppliers!G68)*12+MONTH(Suppliers!G68))),"",1),IF(Suppliers!E68="Quarterly",IF(MOD((YEAR(EDATE(DATE(YEAR(TODAY()),MONTH(TODAY()),1),7))-YEAR(IF(ISNUMBER(Suppliers!F68),Suppliers!F68,DATE(YEAR(TODAY()),MONTH(TODAY()),1))))*12+MONTH(EDATE(DATE(YEAR(TODAY()),MONTH(TODAY()),1),7))-MONTH(IF(ISNUMBER(Suppliers!F68),Suppliers!F68,DATE(YEAR(TODAY()),MONTH(TODAY()),1))),3)=0,1,0),IF(Suppliers!E68="Semi-annual",IF(MOD((YEAR(EDATE(DATE(YEAR(TODAY()),MONTH(TODAY()),1),7))-YEAR(IF(ISNUMBER(Suppliers!F68),Suppliers!F68,DATE(YEAR(TODAY()),MONTH(TODAY()),1))))*12+MONTH(EDATE(DATE(YEAR(TODAY()),MONTH(TODAY()),1),7))-MONTH(IF(ISNUMBER(Suppliers!F68),Suppliers!F68,DATE(YEAR(TODAY()),MONTH(TODAY()),1))),6)=0,1,0),IF(Suppliers!E68="Annual",IF(MOD((YEAR(EDATE(DATE(YEAR(TODAY()),MONTH(TODAY()),1),7))-YEAR(IF(ISNUMBER(Suppliers!F68),Suppliers!F68,DATE(YEAR(TODAY()),MONTH(TODAY()),1))))*12+MONTH(EDATE(DATE(YEAR(TODAY()),MONTH(TODAY()),1),7))-MONTH(IF(ISNUMBER(Suppliers!F68),Suppliers!F68,DATE(YEAR(TODAY()),MONTH(TODAY()),1))),12)=0,1,0),IF(Suppliers!E68="One-time",IF(7=0,1,0),1)))))),"")</f>
        <v/>
      </c>
      <c r="N70" s="10" t="str">
        <f ca="1">IFERROR(IF(OR(8&gt;=$B$1,Suppliers!A68="",NOT(ISNUMBER(Suppliers!D68)),Suppliers!L68="Expired",Suppliers!L68="Terminate"),"",Suppliers!D68*-1*IF(Suppliers!E68="Monthly",IF(AND(ISNUMBER(Suppliers!G68),(YEAR(EDATE(DATE(YEAR(TODAY()),MONTH(TODAY()),1),8))*12+MONTH(EDATE(DATE(YEAR(TODAY()),MONTH(TODAY()),1),8)))&gt;(YEAR(Suppliers!G68)*12+MONTH(Suppliers!G68))),"",1),IF(Suppliers!E68="Quarterly",IF(MOD((YEAR(EDATE(DATE(YEAR(TODAY()),MONTH(TODAY()),1),8))-YEAR(IF(ISNUMBER(Suppliers!F68),Suppliers!F68,DATE(YEAR(TODAY()),MONTH(TODAY()),1))))*12+MONTH(EDATE(DATE(YEAR(TODAY()),MONTH(TODAY()),1),8))-MONTH(IF(ISNUMBER(Suppliers!F68),Suppliers!F68,DATE(YEAR(TODAY()),MONTH(TODAY()),1))),3)=0,1,0),IF(Suppliers!E68="Semi-annual",IF(MOD((YEAR(EDATE(DATE(YEAR(TODAY()),MONTH(TODAY()),1),8))-YEAR(IF(ISNUMBER(Suppliers!F68),Suppliers!F68,DATE(YEAR(TODAY()),MONTH(TODAY()),1))))*12+MONTH(EDATE(DATE(YEAR(TODAY()),MONTH(TODAY()),1),8))-MONTH(IF(ISNUMBER(Suppliers!F68),Suppliers!F68,DATE(YEAR(TODAY()),MONTH(TODAY()),1))),6)=0,1,0),IF(Suppliers!E68="Annual",IF(MOD((YEAR(EDATE(DATE(YEAR(TODAY()),MONTH(TODAY()),1),8))-YEAR(IF(ISNUMBER(Suppliers!F68),Suppliers!F68,DATE(YEAR(TODAY()),MONTH(TODAY()),1))))*12+MONTH(EDATE(DATE(YEAR(TODAY()),MONTH(TODAY()),1),8))-MONTH(IF(ISNUMBER(Suppliers!F68),Suppliers!F68,DATE(YEAR(TODAY()),MONTH(TODAY()),1))),12)=0,1,0),IF(Suppliers!E68="One-time",IF(8=0,1,0),1)))))),"")</f>
        <v/>
      </c>
      <c r="O70" s="10" t="str">
        <f ca="1">IFERROR(IF(OR(9&gt;=$B$1,Suppliers!A68="",NOT(ISNUMBER(Suppliers!D68)),Suppliers!L68="Expired",Suppliers!L68="Terminate"),"",Suppliers!D68*-1*IF(Suppliers!E68="Monthly",IF(AND(ISNUMBER(Suppliers!G68),(YEAR(EDATE(DATE(YEAR(TODAY()),MONTH(TODAY()),1),9))*12+MONTH(EDATE(DATE(YEAR(TODAY()),MONTH(TODAY()),1),9)))&gt;(YEAR(Suppliers!G68)*12+MONTH(Suppliers!G68))),"",1),IF(Suppliers!E68="Quarterly",IF(MOD((YEAR(EDATE(DATE(YEAR(TODAY()),MONTH(TODAY()),1),9))-YEAR(IF(ISNUMBER(Suppliers!F68),Suppliers!F68,DATE(YEAR(TODAY()),MONTH(TODAY()),1))))*12+MONTH(EDATE(DATE(YEAR(TODAY()),MONTH(TODAY()),1),9))-MONTH(IF(ISNUMBER(Suppliers!F68),Suppliers!F68,DATE(YEAR(TODAY()),MONTH(TODAY()),1))),3)=0,1,0),IF(Suppliers!E68="Semi-annual",IF(MOD((YEAR(EDATE(DATE(YEAR(TODAY()),MONTH(TODAY()),1),9))-YEAR(IF(ISNUMBER(Suppliers!F68),Suppliers!F68,DATE(YEAR(TODAY()),MONTH(TODAY()),1))))*12+MONTH(EDATE(DATE(YEAR(TODAY()),MONTH(TODAY()),1),9))-MONTH(IF(ISNUMBER(Suppliers!F68),Suppliers!F68,DATE(YEAR(TODAY()),MONTH(TODAY()),1))),6)=0,1,0),IF(Suppliers!E68="Annual",IF(MOD((YEAR(EDATE(DATE(YEAR(TODAY()),MONTH(TODAY()),1),9))-YEAR(IF(ISNUMBER(Suppliers!F68),Suppliers!F68,DATE(YEAR(TODAY()),MONTH(TODAY()),1))))*12+MONTH(EDATE(DATE(YEAR(TODAY()),MONTH(TODAY()),1),9))-MONTH(IF(ISNUMBER(Suppliers!F68),Suppliers!F68,DATE(YEAR(TODAY()),MONTH(TODAY()),1))),12)=0,1,0),IF(Suppliers!E68="One-time",IF(9=0,1,0),1)))))),"")</f>
        <v/>
      </c>
      <c r="P70" s="10" t="str">
        <f ca="1">IFERROR(IF(OR(10&gt;=$B$1,Suppliers!A68="",NOT(ISNUMBER(Suppliers!D68)),Suppliers!L68="Expired",Suppliers!L68="Terminate"),"",Suppliers!D68*-1*IF(Suppliers!E68="Monthly",IF(AND(ISNUMBER(Suppliers!G68),(YEAR(EDATE(DATE(YEAR(TODAY()),MONTH(TODAY()),1),10))*12+MONTH(EDATE(DATE(YEAR(TODAY()),MONTH(TODAY()),1),10)))&gt;(YEAR(Suppliers!G68)*12+MONTH(Suppliers!G68))),"",1),IF(Suppliers!E68="Quarterly",IF(MOD((YEAR(EDATE(DATE(YEAR(TODAY()),MONTH(TODAY()),1),10))-YEAR(IF(ISNUMBER(Suppliers!F68),Suppliers!F68,DATE(YEAR(TODAY()),MONTH(TODAY()),1))))*12+MONTH(EDATE(DATE(YEAR(TODAY()),MONTH(TODAY()),1),10))-MONTH(IF(ISNUMBER(Suppliers!F68),Suppliers!F68,DATE(YEAR(TODAY()),MONTH(TODAY()),1))),3)=0,1,0),IF(Suppliers!E68="Semi-annual",IF(MOD((YEAR(EDATE(DATE(YEAR(TODAY()),MONTH(TODAY()),1),10))-YEAR(IF(ISNUMBER(Suppliers!F68),Suppliers!F68,DATE(YEAR(TODAY()),MONTH(TODAY()),1))))*12+MONTH(EDATE(DATE(YEAR(TODAY()),MONTH(TODAY()),1),10))-MONTH(IF(ISNUMBER(Suppliers!F68),Suppliers!F68,DATE(YEAR(TODAY()),MONTH(TODAY()),1))),6)=0,1,0),IF(Suppliers!E68="Annual",IF(MOD((YEAR(EDATE(DATE(YEAR(TODAY()),MONTH(TODAY()),1),10))-YEAR(IF(ISNUMBER(Suppliers!F68),Suppliers!F68,DATE(YEAR(TODAY()),MONTH(TODAY()),1))))*12+MONTH(EDATE(DATE(YEAR(TODAY()),MONTH(TODAY()),1),10))-MONTH(IF(ISNUMBER(Suppliers!F68),Suppliers!F68,DATE(YEAR(TODAY()),MONTH(TODAY()),1))),12)=0,1,0),IF(Suppliers!E68="One-time",IF(10=0,1,0),1)))))),"")</f>
        <v/>
      </c>
      <c r="Q70" s="10" t="str">
        <f ca="1">IFERROR(IF(OR(11&gt;=$B$1,Suppliers!A68="",NOT(ISNUMBER(Suppliers!D68)),Suppliers!L68="Expired",Suppliers!L68="Terminate"),"",Suppliers!D68*-1*IF(Suppliers!E68="Monthly",IF(AND(ISNUMBER(Suppliers!G68),(YEAR(EDATE(DATE(YEAR(TODAY()),MONTH(TODAY()),1),11))*12+MONTH(EDATE(DATE(YEAR(TODAY()),MONTH(TODAY()),1),11)))&gt;(YEAR(Suppliers!G68)*12+MONTH(Suppliers!G68))),"",1),IF(Suppliers!E68="Quarterly",IF(MOD((YEAR(EDATE(DATE(YEAR(TODAY()),MONTH(TODAY()),1),11))-YEAR(IF(ISNUMBER(Suppliers!F68),Suppliers!F68,DATE(YEAR(TODAY()),MONTH(TODAY()),1))))*12+MONTH(EDATE(DATE(YEAR(TODAY()),MONTH(TODAY()),1),11))-MONTH(IF(ISNUMBER(Suppliers!F68),Suppliers!F68,DATE(YEAR(TODAY()),MONTH(TODAY()),1))),3)=0,1,0),IF(Suppliers!E68="Semi-annual",IF(MOD((YEAR(EDATE(DATE(YEAR(TODAY()),MONTH(TODAY()),1),11))-YEAR(IF(ISNUMBER(Suppliers!F68),Suppliers!F68,DATE(YEAR(TODAY()),MONTH(TODAY()),1))))*12+MONTH(EDATE(DATE(YEAR(TODAY()),MONTH(TODAY()),1),11))-MONTH(IF(ISNUMBER(Suppliers!F68),Suppliers!F68,DATE(YEAR(TODAY()),MONTH(TODAY()),1))),6)=0,1,0),IF(Suppliers!E68="Annual",IF(MOD((YEAR(EDATE(DATE(YEAR(TODAY()),MONTH(TODAY()),1),11))-YEAR(IF(ISNUMBER(Suppliers!F68),Suppliers!F68,DATE(YEAR(TODAY()),MONTH(TODAY()),1))))*12+MONTH(EDATE(DATE(YEAR(TODAY()),MONTH(TODAY()),1),11))-MONTH(IF(ISNUMBER(Suppliers!F68),Suppliers!F68,DATE(YEAR(TODAY()),MONTH(TODAY()),1))),12)=0,1,0),IF(Suppliers!E68="One-time",IF(11=0,1,0),1)))))),"")</f>
        <v/>
      </c>
      <c r="R70" s="10" t="str">
        <f ca="1">IFERROR(IF(OR(12&gt;=$B$1,Suppliers!A68="",NOT(ISNUMBER(Suppliers!D68)),Suppliers!L68="Expired",Suppliers!L68="Terminate"),"",Suppliers!D68*-1*IF(Suppliers!E68="Monthly",IF(AND(ISNUMBER(Suppliers!G68),(YEAR(EDATE(DATE(YEAR(TODAY()),MONTH(TODAY()),1),12))*12+MONTH(EDATE(DATE(YEAR(TODAY()),MONTH(TODAY()),1),12)))&gt;(YEAR(Suppliers!G68)*12+MONTH(Suppliers!G68))),"",1),IF(Suppliers!E68="Quarterly",IF(MOD((YEAR(EDATE(DATE(YEAR(TODAY()),MONTH(TODAY()),1),12))-YEAR(IF(ISNUMBER(Suppliers!F68),Suppliers!F68,DATE(YEAR(TODAY()),MONTH(TODAY()),1))))*12+MONTH(EDATE(DATE(YEAR(TODAY()),MONTH(TODAY()),1),12))-MONTH(IF(ISNUMBER(Suppliers!F68),Suppliers!F68,DATE(YEAR(TODAY()),MONTH(TODAY()),1))),3)=0,1,0),IF(Suppliers!E68="Semi-annual",IF(MOD((YEAR(EDATE(DATE(YEAR(TODAY()),MONTH(TODAY()),1),12))-YEAR(IF(ISNUMBER(Suppliers!F68),Suppliers!F68,DATE(YEAR(TODAY()),MONTH(TODAY()),1))))*12+MONTH(EDATE(DATE(YEAR(TODAY()),MONTH(TODAY()),1),12))-MONTH(IF(ISNUMBER(Suppliers!F68),Suppliers!F68,DATE(YEAR(TODAY()),MONTH(TODAY()),1))),6)=0,1,0),IF(Suppliers!E68="Annual",IF(MOD((YEAR(EDATE(DATE(YEAR(TODAY()),MONTH(TODAY()),1),12))-YEAR(IF(ISNUMBER(Suppliers!F68),Suppliers!F68,DATE(YEAR(TODAY()),MONTH(TODAY()),1))))*12+MONTH(EDATE(DATE(YEAR(TODAY()),MONTH(TODAY()),1),12))-MONTH(IF(ISNUMBER(Suppliers!F68),Suppliers!F68,DATE(YEAR(TODAY()),MONTH(TODAY()),1))),12)=0,1,0),IF(Suppliers!E68="One-time",IF(12=0,1,0),1)))))),"")</f>
        <v/>
      </c>
      <c r="S70" s="10" t="str">
        <f ca="1">IFERROR(IF(OR(13&gt;=$B$1,Suppliers!A68="",NOT(ISNUMBER(Suppliers!D68)),Suppliers!L68="Expired",Suppliers!L68="Terminate"),"",Suppliers!D68*-1*IF(Suppliers!E68="Monthly",IF(AND(ISNUMBER(Suppliers!G68),(YEAR(EDATE(DATE(YEAR(TODAY()),MONTH(TODAY()),1),13))*12+MONTH(EDATE(DATE(YEAR(TODAY()),MONTH(TODAY()),1),13)))&gt;(YEAR(Suppliers!G68)*12+MONTH(Suppliers!G68))),"",1),IF(Suppliers!E68="Quarterly",IF(MOD((YEAR(EDATE(DATE(YEAR(TODAY()),MONTH(TODAY()),1),13))-YEAR(IF(ISNUMBER(Suppliers!F68),Suppliers!F68,DATE(YEAR(TODAY()),MONTH(TODAY()),1))))*12+MONTH(EDATE(DATE(YEAR(TODAY()),MONTH(TODAY()),1),13))-MONTH(IF(ISNUMBER(Suppliers!F68),Suppliers!F68,DATE(YEAR(TODAY()),MONTH(TODAY()),1))),3)=0,1,0),IF(Suppliers!E68="Semi-annual",IF(MOD((YEAR(EDATE(DATE(YEAR(TODAY()),MONTH(TODAY()),1),13))-YEAR(IF(ISNUMBER(Suppliers!F68),Suppliers!F68,DATE(YEAR(TODAY()),MONTH(TODAY()),1))))*12+MONTH(EDATE(DATE(YEAR(TODAY()),MONTH(TODAY()),1),13))-MONTH(IF(ISNUMBER(Suppliers!F68),Suppliers!F68,DATE(YEAR(TODAY()),MONTH(TODAY()),1))),6)=0,1,0),IF(Suppliers!E68="Annual",IF(MOD((YEAR(EDATE(DATE(YEAR(TODAY()),MONTH(TODAY()),1),13))-YEAR(IF(ISNUMBER(Suppliers!F68),Suppliers!F68,DATE(YEAR(TODAY()),MONTH(TODAY()),1))))*12+MONTH(EDATE(DATE(YEAR(TODAY()),MONTH(TODAY()),1),13))-MONTH(IF(ISNUMBER(Suppliers!F68),Suppliers!F68,DATE(YEAR(TODAY()),MONTH(TODAY()),1))),12)=0,1,0),IF(Suppliers!E68="One-time",IF(13=0,1,0),1)))))),"")</f>
        <v/>
      </c>
      <c r="T70" s="10" t="str">
        <f ca="1">IFERROR(IF(OR(14&gt;=$B$1,Suppliers!A68="",NOT(ISNUMBER(Suppliers!D68)),Suppliers!L68="Expired",Suppliers!L68="Terminate"),"",Suppliers!D68*-1*IF(Suppliers!E68="Monthly",IF(AND(ISNUMBER(Suppliers!G68),(YEAR(EDATE(DATE(YEAR(TODAY()),MONTH(TODAY()),1),14))*12+MONTH(EDATE(DATE(YEAR(TODAY()),MONTH(TODAY()),1),14)))&gt;(YEAR(Suppliers!G68)*12+MONTH(Suppliers!G68))),"",1),IF(Suppliers!E68="Quarterly",IF(MOD((YEAR(EDATE(DATE(YEAR(TODAY()),MONTH(TODAY()),1),14))-YEAR(IF(ISNUMBER(Suppliers!F68),Suppliers!F68,DATE(YEAR(TODAY()),MONTH(TODAY()),1))))*12+MONTH(EDATE(DATE(YEAR(TODAY()),MONTH(TODAY()),1),14))-MONTH(IF(ISNUMBER(Suppliers!F68),Suppliers!F68,DATE(YEAR(TODAY()),MONTH(TODAY()),1))),3)=0,1,0),IF(Suppliers!E68="Semi-annual",IF(MOD((YEAR(EDATE(DATE(YEAR(TODAY()),MONTH(TODAY()),1),14))-YEAR(IF(ISNUMBER(Suppliers!F68),Suppliers!F68,DATE(YEAR(TODAY()),MONTH(TODAY()),1))))*12+MONTH(EDATE(DATE(YEAR(TODAY()),MONTH(TODAY()),1),14))-MONTH(IF(ISNUMBER(Suppliers!F68),Suppliers!F68,DATE(YEAR(TODAY()),MONTH(TODAY()),1))),6)=0,1,0),IF(Suppliers!E68="Annual",IF(MOD((YEAR(EDATE(DATE(YEAR(TODAY()),MONTH(TODAY()),1),14))-YEAR(IF(ISNUMBER(Suppliers!F68),Suppliers!F68,DATE(YEAR(TODAY()),MONTH(TODAY()),1))))*12+MONTH(EDATE(DATE(YEAR(TODAY()),MONTH(TODAY()),1),14))-MONTH(IF(ISNUMBER(Suppliers!F68),Suppliers!F68,DATE(YEAR(TODAY()),MONTH(TODAY()),1))),12)=0,1,0),IF(Suppliers!E68="One-time",IF(14=0,1,0),1)))))),"")</f>
        <v/>
      </c>
      <c r="U70" s="10" t="str">
        <f ca="1">IFERROR(IF(OR(15&gt;=$B$1,Suppliers!A68="",NOT(ISNUMBER(Suppliers!D68)),Suppliers!L68="Expired",Suppliers!L68="Terminate"),"",Suppliers!D68*-1*IF(Suppliers!E68="Monthly",IF(AND(ISNUMBER(Suppliers!G68),(YEAR(EDATE(DATE(YEAR(TODAY()),MONTH(TODAY()),1),15))*12+MONTH(EDATE(DATE(YEAR(TODAY()),MONTH(TODAY()),1),15)))&gt;(YEAR(Suppliers!G68)*12+MONTH(Suppliers!G68))),"",1),IF(Suppliers!E68="Quarterly",IF(MOD((YEAR(EDATE(DATE(YEAR(TODAY()),MONTH(TODAY()),1),15))-YEAR(IF(ISNUMBER(Suppliers!F68),Suppliers!F68,DATE(YEAR(TODAY()),MONTH(TODAY()),1))))*12+MONTH(EDATE(DATE(YEAR(TODAY()),MONTH(TODAY()),1),15))-MONTH(IF(ISNUMBER(Suppliers!F68),Suppliers!F68,DATE(YEAR(TODAY()),MONTH(TODAY()),1))),3)=0,1,0),IF(Suppliers!E68="Semi-annual",IF(MOD((YEAR(EDATE(DATE(YEAR(TODAY()),MONTH(TODAY()),1),15))-YEAR(IF(ISNUMBER(Suppliers!F68),Suppliers!F68,DATE(YEAR(TODAY()),MONTH(TODAY()),1))))*12+MONTH(EDATE(DATE(YEAR(TODAY()),MONTH(TODAY()),1),15))-MONTH(IF(ISNUMBER(Suppliers!F68),Suppliers!F68,DATE(YEAR(TODAY()),MONTH(TODAY()),1))),6)=0,1,0),IF(Suppliers!E68="Annual",IF(MOD((YEAR(EDATE(DATE(YEAR(TODAY()),MONTH(TODAY()),1),15))-YEAR(IF(ISNUMBER(Suppliers!F68),Suppliers!F68,DATE(YEAR(TODAY()),MONTH(TODAY()),1))))*12+MONTH(EDATE(DATE(YEAR(TODAY()),MONTH(TODAY()),1),15))-MONTH(IF(ISNUMBER(Suppliers!F68),Suppliers!F68,DATE(YEAR(TODAY()),MONTH(TODAY()),1))),12)=0,1,0),IF(Suppliers!E68="One-time",IF(15=0,1,0),1)))))),"")</f>
        <v/>
      </c>
      <c r="V70" s="10" t="str">
        <f ca="1">IFERROR(IF(OR(16&gt;=$B$1,Suppliers!A68="",NOT(ISNUMBER(Suppliers!D68)),Suppliers!L68="Expired",Suppliers!L68="Terminate"),"",Suppliers!D68*-1*IF(Suppliers!E68="Monthly",IF(AND(ISNUMBER(Suppliers!G68),(YEAR(EDATE(DATE(YEAR(TODAY()),MONTH(TODAY()),1),16))*12+MONTH(EDATE(DATE(YEAR(TODAY()),MONTH(TODAY()),1),16)))&gt;(YEAR(Suppliers!G68)*12+MONTH(Suppliers!G68))),"",1),IF(Suppliers!E68="Quarterly",IF(MOD((YEAR(EDATE(DATE(YEAR(TODAY()),MONTH(TODAY()),1),16))-YEAR(IF(ISNUMBER(Suppliers!F68),Suppliers!F68,DATE(YEAR(TODAY()),MONTH(TODAY()),1))))*12+MONTH(EDATE(DATE(YEAR(TODAY()),MONTH(TODAY()),1),16))-MONTH(IF(ISNUMBER(Suppliers!F68),Suppliers!F68,DATE(YEAR(TODAY()),MONTH(TODAY()),1))),3)=0,1,0),IF(Suppliers!E68="Semi-annual",IF(MOD((YEAR(EDATE(DATE(YEAR(TODAY()),MONTH(TODAY()),1),16))-YEAR(IF(ISNUMBER(Suppliers!F68),Suppliers!F68,DATE(YEAR(TODAY()),MONTH(TODAY()),1))))*12+MONTH(EDATE(DATE(YEAR(TODAY()),MONTH(TODAY()),1),16))-MONTH(IF(ISNUMBER(Suppliers!F68),Suppliers!F68,DATE(YEAR(TODAY()),MONTH(TODAY()),1))),6)=0,1,0),IF(Suppliers!E68="Annual",IF(MOD((YEAR(EDATE(DATE(YEAR(TODAY()),MONTH(TODAY()),1),16))-YEAR(IF(ISNUMBER(Suppliers!F68),Suppliers!F68,DATE(YEAR(TODAY()),MONTH(TODAY()),1))))*12+MONTH(EDATE(DATE(YEAR(TODAY()),MONTH(TODAY()),1),16))-MONTH(IF(ISNUMBER(Suppliers!F68),Suppliers!F68,DATE(YEAR(TODAY()),MONTH(TODAY()),1))),12)=0,1,0),IF(Suppliers!E68="One-time",IF(16=0,1,0),1)))))),"")</f>
        <v/>
      </c>
      <c r="W70" s="10" t="str">
        <f ca="1">IFERROR(IF(OR(17&gt;=$B$1,Suppliers!A68="",NOT(ISNUMBER(Suppliers!D68)),Suppliers!L68="Expired",Suppliers!L68="Terminate"),"",Suppliers!D68*-1*IF(Suppliers!E68="Monthly",IF(AND(ISNUMBER(Suppliers!G68),(YEAR(EDATE(DATE(YEAR(TODAY()),MONTH(TODAY()),1),17))*12+MONTH(EDATE(DATE(YEAR(TODAY()),MONTH(TODAY()),1),17)))&gt;(YEAR(Suppliers!G68)*12+MONTH(Suppliers!G68))),"",1),IF(Suppliers!E68="Quarterly",IF(MOD((YEAR(EDATE(DATE(YEAR(TODAY()),MONTH(TODAY()),1),17))-YEAR(IF(ISNUMBER(Suppliers!F68),Suppliers!F68,DATE(YEAR(TODAY()),MONTH(TODAY()),1))))*12+MONTH(EDATE(DATE(YEAR(TODAY()),MONTH(TODAY()),1),17))-MONTH(IF(ISNUMBER(Suppliers!F68),Suppliers!F68,DATE(YEAR(TODAY()),MONTH(TODAY()),1))),3)=0,1,0),IF(Suppliers!E68="Semi-annual",IF(MOD((YEAR(EDATE(DATE(YEAR(TODAY()),MONTH(TODAY()),1),17))-YEAR(IF(ISNUMBER(Suppliers!F68),Suppliers!F68,DATE(YEAR(TODAY()),MONTH(TODAY()),1))))*12+MONTH(EDATE(DATE(YEAR(TODAY()),MONTH(TODAY()),1),17))-MONTH(IF(ISNUMBER(Suppliers!F68),Suppliers!F68,DATE(YEAR(TODAY()),MONTH(TODAY()),1))),6)=0,1,0),IF(Suppliers!E68="Annual",IF(MOD((YEAR(EDATE(DATE(YEAR(TODAY()),MONTH(TODAY()),1),17))-YEAR(IF(ISNUMBER(Suppliers!F68),Suppliers!F68,DATE(YEAR(TODAY()),MONTH(TODAY()),1))))*12+MONTH(EDATE(DATE(YEAR(TODAY()),MONTH(TODAY()),1),17))-MONTH(IF(ISNUMBER(Suppliers!F68),Suppliers!F68,DATE(YEAR(TODAY()),MONTH(TODAY()),1))),12)=0,1,0),IF(Suppliers!E68="One-time",IF(17=0,1,0),1)))))),"")</f>
        <v/>
      </c>
      <c r="X70" s="10" t="str">
        <f ca="1">IFERROR(IF(OR(18&gt;=$B$1,Suppliers!A68="",NOT(ISNUMBER(Suppliers!D68)),Suppliers!L68="Expired",Suppliers!L68="Terminate"),"",Suppliers!D68*-1*IF(Suppliers!E68="Monthly",IF(AND(ISNUMBER(Suppliers!G68),(YEAR(EDATE(DATE(YEAR(TODAY()),MONTH(TODAY()),1),18))*12+MONTH(EDATE(DATE(YEAR(TODAY()),MONTH(TODAY()),1),18)))&gt;(YEAR(Suppliers!G68)*12+MONTH(Suppliers!G68))),"",1),IF(Suppliers!E68="Quarterly",IF(MOD((YEAR(EDATE(DATE(YEAR(TODAY()),MONTH(TODAY()),1),18))-YEAR(IF(ISNUMBER(Suppliers!F68),Suppliers!F68,DATE(YEAR(TODAY()),MONTH(TODAY()),1))))*12+MONTH(EDATE(DATE(YEAR(TODAY()),MONTH(TODAY()),1),18))-MONTH(IF(ISNUMBER(Suppliers!F68),Suppliers!F68,DATE(YEAR(TODAY()),MONTH(TODAY()),1))),3)=0,1,0),IF(Suppliers!E68="Semi-annual",IF(MOD((YEAR(EDATE(DATE(YEAR(TODAY()),MONTH(TODAY()),1),18))-YEAR(IF(ISNUMBER(Suppliers!F68),Suppliers!F68,DATE(YEAR(TODAY()),MONTH(TODAY()),1))))*12+MONTH(EDATE(DATE(YEAR(TODAY()),MONTH(TODAY()),1),18))-MONTH(IF(ISNUMBER(Suppliers!F68),Suppliers!F68,DATE(YEAR(TODAY()),MONTH(TODAY()),1))),6)=0,1,0),IF(Suppliers!E68="Annual",IF(MOD((YEAR(EDATE(DATE(YEAR(TODAY()),MONTH(TODAY()),1),18))-YEAR(IF(ISNUMBER(Suppliers!F68),Suppliers!F68,DATE(YEAR(TODAY()),MONTH(TODAY()),1))))*12+MONTH(EDATE(DATE(YEAR(TODAY()),MONTH(TODAY()),1),18))-MONTH(IF(ISNUMBER(Suppliers!F68),Suppliers!F68,DATE(YEAR(TODAY()),MONTH(TODAY()),1))),12)=0,1,0),IF(Suppliers!E68="One-time",IF(18=0,1,0),1)))))),"")</f>
        <v/>
      </c>
      <c r="Y70" s="10" t="str">
        <f ca="1">IFERROR(IF(OR(19&gt;=$B$1,Suppliers!A68="",NOT(ISNUMBER(Suppliers!D68)),Suppliers!L68="Expired",Suppliers!L68="Terminate"),"",Suppliers!D68*-1*IF(Suppliers!E68="Monthly",IF(AND(ISNUMBER(Suppliers!G68),(YEAR(EDATE(DATE(YEAR(TODAY()),MONTH(TODAY()),1),19))*12+MONTH(EDATE(DATE(YEAR(TODAY()),MONTH(TODAY()),1),19)))&gt;(YEAR(Suppliers!G68)*12+MONTH(Suppliers!G68))),"",1),IF(Suppliers!E68="Quarterly",IF(MOD((YEAR(EDATE(DATE(YEAR(TODAY()),MONTH(TODAY()),1),19))-YEAR(IF(ISNUMBER(Suppliers!F68),Suppliers!F68,DATE(YEAR(TODAY()),MONTH(TODAY()),1))))*12+MONTH(EDATE(DATE(YEAR(TODAY()),MONTH(TODAY()),1),19))-MONTH(IF(ISNUMBER(Suppliers!F68),Suppliers!F68,DATE(YEAR(TODAY()),MONTH(TODAY()),1))),3)=0,1,0),IF(Suppliers!E68="Semi-annual",IF(MOD((YEAR(EDATE(DATE(YEAR(TODAY()),MONTH(TODAY()),1),19))-YEAR(IF(ISNUMBER(Suppliers!F68),Suppliers!F68,DATE(YEAR(TODAY()),MONTH(TODAY()),1))))*12+MONTH(EDATE(DATE(YEAR(TODAY()),MONTH(TODAY()),1),19))-MONTH(IF(ISNUMBER(Suppliers!F68),Suppliers!F68,DATE(YEAR(TODAY()),MONTH(TODAY()),1))),6)=0,1,0),IF(Suppliers!E68="Annual",IF(MOD((YEAR(EDATE(DATE(YEAR(TODAY()),MONTH(TODAY()),1),19))-YEAR(IF(ISNUMBER(Suppliers!F68),Suppliers!F68,DATE(YEAR(TODAY()),MONTH(TODAY()),1))))*12+MONTH(EDATE(DATE(YEAR(TODAY()),MONTH(TODAY()),1),19))-MONTH(IF(ISNUMBER(Suppliers!F68),Suppliers!F68,DATE(YEAR(TODAY()),MONTH(TODAY()),1))),12)=0,1,0),IF(Suppliers!E68="One-time",IF(19=0,1,0),1)))))),"")</f>
        <v/>
      </c>
      <c r="Z70" s="10" t="str">
        <f ca="1">IFERROR(IF(OR(20&gt;=$B$1,Suppliers!A68="",NOT(ISNUMBER(Suppliers!D68)),Suppliers!L68="Expired",Suppliers!L68="Terminate"),"",Suppliers!D68*-1*IF(Suppliers!E68="Monthly",IF(AND(ISNUMBER(Suppliers!G68),(YEAR(EDATE(DATE(YEAR(TODAY()),MONTH(TODAY()),1),20))*12+MONTH(EDATE(DATE(YEAR(TODAY()),MONTH(TODAY()),1),20)))&gt;(YEAR(Suppliers!G68)*12+MONTH(Suppliers!G68))),"",1),IF(Suppliers!E68="Quarterly",IF(MOD((YEAR(EDATE(DATE(YEAR(TODAY()),MONTH(TODAY()),1),20))-YEAR(IF(ISNUMBER(Suppliers!F68),Suppliers!F68,DATE(YEAR(TODAY()),MONTH(TODAY()),1))))*12+MONTH(EDATE(DATE(YEAR(TODAY()),MONTH(TODAY()),1),20))-MONTH(IF(ISNUMBER(Suppliers!F68),Suppliers!F68,DATE(YEAR(TODAY()),MONTH(TODAY()),1))),3)=0,1,0),IF(Suppliers!E68="Semi-annual",IF(MOD((YEAR(EDATE(DATE(YEAR(TODAY()),MONTH(TODAY()),1),20))-YEAR(IF(ISNUMBER(Suppliers!F68),Suppliers!F68,DATE(YEAR(TODAY()),MONTH(TODAY()),1))))*12+MONTH(EDATE(DATE(YEAR(TODAY()),MONTH(TODAY()),1),20))-MONTH(IF(ISNUMBER(Suppliers!F68),Suppliers!F68,DATE(YEAR(TODAY()),MONTH(TODAY()),1))),6)=0,1,0),IF(Suppliers!E68="Annual",IF(MOD((YEAR(EDATE(DATE(YEAR(TODAY()),MONTH(TODAY()),1),20))-YEAR(IF(ISNUMBER(Suppliers!F68),Suppliers!F68,DATE(YEAR(TODAY()),MONTH(TODAY()),1))))*12+MONTH(EDATE(DATE(YEAR(TODAY()),MONTH(TODAY()),1),20))-MONTH(IF(ISNUMBER(Suppliers!F68),Suppliers!F68,DATE(YEAR(TODAY()),MONTH(TODAY()),1))),12)=0,1,0),IF(Suppliers!E68="One-time",IF(20=0,1,0),1)))))),"")</f>
        <v/>
      </c>
      <c r="AA70" s="10" t="str">
        <f ca="1">IFERROR(IF(OR(21&gt;=$B$1,Suppliers!A68="",NOT(ISNUMBER(Suppliers!D68)),Suppliers!L68="Expired",Suppliers!L68="Terminate"),"",Suppliers!D68*-1*IF(Suppliers!E68="Monthly",IF(AND(ISNUMBER(Suppliers!G68),(YEAR(EDATE(DATE(YEAR(TODAY()),MONTH(TODAY()),1),21))*12+MONTH(EDATE(DATE(YEAR(TODAY()),MONTH(TODAY()),1),21)))&gt;(YEAR(Suppliers!G68)*12+MONTH(Suppliers!G68))),"",1),IF(Suppliers!E68="Quarterly",IF(MOD((YEAR(EDATE(DATE(YEAR(TODAY()),MONTH(TODAY()),1),21))-YEAR(IF(ISNUMBER(Suppliers!F68),Suppliers!F68,DATE(YEAR(TODAY()),MONTH(TODAY()),1))))*12+MONTH(EDATE(DATE(YEAR(TODAY()),MONTH(TODAY()),1),21))-MONTH(IF(ISNUMBER(Suppliers!F68),Suppliers!F68,DATE(YEAR(TODAY()),MONTH(TODAY()),1))),3)=0,1,0),IF(Suppliers!E68="Semi-annual",IF(MOD((YEAR(EDATE(DATE(YEAR(TODAY()),MONTH(TODAY()),1),21))-YEAR(IF(ISNUMBER(Suppliers!F68),Suppliers!F68,DATE(YEAR(TODAY()),MONTH(TODAY()),1))))*12+MONTH(EDATE(DATE(YEAR(TODAY()),MONTH(TODAY()),1),21))-MONTH(IF(ISNUMBER(Suppliers!F68),Suppliers!F68,DATE(YEAR(TODAY()),MONTH(TODAY()),1))),6)=0,1,0),IF(Suppliers!E68="Annual",IF(MOD((YEAR(EDATE(DATE(YEAR(TODAY()),MONTH(TODAY()),1),21))-YEAR(IF(ISNUMBER(Suppliers!F68),Suppliers!F68,DATE(YEAR(TODAY()),MONTH(TODAY()),1))))*12+MONTH(EDATE(DATE(YEAR(TODAY()),MONTH(TODAY()),1),21))-MONTH(IF(ISNUMBER(Suppliers!F68),Suppliers!F68,DATE(YEAR(TODAY()),MONTH(TODAY()),1))),12)=0,1,0),IF(Suppliers!E68="One-time",IF(21=0,1,0),1)))))),"")</f>
        <v/>
      </c>
      <c r="AB70" s="10" t="str">
        <f ca="1">IFERROR(IF(OR(22&gt;=$B$1,Suppliers!A68="",NOT(ISNUMBER(Suppliers!D68)),Suppliers!L68="Expired",Suppliers!L68="Terminate"),"",Suppliers!D68*-1*IF(Suppliers!E68="Monthly",IF(AND(ISNUMBER(Suppliers!G68),(YEAR(EDATE(DATE(YEAR(TODAY()),MONTH(TODAY()),1),22))*12+MONTH(EDATE(DATE(YEAR(TODAY()),MONTH(TODAY()),1),22)))&gt;(YEAR(Suppliers!G68)*12+MONTH(Suppliers!G68))),"",1),IF(Suppliers!E68="Quarterly",IF(MOD((YEAR(EDATE(DATE(YEAR(TODAY()),MONTH(TODAY()),1),22))-YEAR(IF(ISNUMBER(Suppliers!F68),Suppliers!F68,DATE(YEAR(TODAY()),MONTH(TODAY()),1))))*12+MONTH(EDATE(DATE(YEAR(TODAY()),MONTH(TODAY()),1),22))-MONTH(IF(ISNUMBER(Suppliers!F68),Suppliers!F68,DATE(YEAR(TODAY()),MONTH(TODAY()),1))),3)=0,1,0),IF(Suppliers!E68="Semi-annual",IF(MOD((YEAR(EDATE(DATE(YEAR(TODAY()),MONTH(TODAY()),1),22))-YEAR(IF(ISNUMBER(Suppliers!F68),Suppliers!F68,DATE(YEAR(TODAY()),MONTH(TODAY()),1))))*12+MONTH(EDATE(DATE(YEAR(TODAY()),MONTH(TODAY()),1),22))-MONTH(IF(ISNUMBER(Suppliers!F68),Suppliers!F68,DATE(YEAR(TODAY()),MONTH(TODAY()),1))),6)=0,1,0),IF(Suppliers!E68="Annual",IF(MOD((YEAR(EDATE(DATE(YEAR(TODAY()),MONTH(TODAY()),1),22))-YEAR(IF(ISNUMBER(Suppliers!F68),Suppliers!F68,DATE(YEAR(TODAY()),MONTH(TODAY()),1))))*12+MONTH(EDATE(DATE(YEAR(TODAY()),MONTH(TODAY()),1),22))-MONTH(IF(ISNUMBER(Suppliers!F68),Suppliers!F68,DATE(YEAR(TODAY()),MONTH(TODAY()),1))),12)=0,1,0),IF(Suppliers!E68="One-time",IF(22=0,1,0),1)))))),"")</f>
        <v/>
      </c>
      <c r="AC70" s="10" t="str">
        <f ca="1">IFERROR(IF(OR(23&gt;=$B$1,Suppliers!A68="",NOT(ISNUMBER(Suppliers!D68)),Suppliers!L68="Expired",Suppliers!L68="Terminate"),"",Suppliers!D68*-1*IF(Suppliers!E68="Monthly",IF(AND(ISNUMBER(Suppliers!G68),(YEAR(EDATE(DATE(YEAR(TODAY()),MONTH(TODAY()),1),23))*12+MONTH(EDATE(DATE(YEAR(TODAY()),MONTH(TODAY()),1),23)))&gt;(YEAR(Suppliers!G68)*12+MONTH(Suppliers!G68))),"",1),IF(Suppliers!E68="Quarterly",IF(MOD((YEAR(EDATE(DATE(YEAR(TODAY()),MONTH(TODAY()),1),23))-YEAR(IF(ISNUMBER(Suppliers!F68),Suppliers!F68,DATE(YEAR(TODAY()),MONTH(TODAY()),1))))*12+MONTH(EDATE(DATE(YEAR(TODAY()),MONTH(TODAY()),1),23))-MONTH(IF(ISNUMBER(Suppliers!F68),Suppliers!F68,DATE(YEAR(TODAY()),MONTH(TODAY()),1))),3)=0,1,0),IF(Suppliers!E68="Semi-annual",IF(MOD((YEAR(EDATE(DATE(YEAR(TODAY()),MONTH(TODAY()),1),23))-YEAR(IF(ISNUMBER(Suppliers!F68),Suppliers!F68,DATE(YEAR(TODAY()),MONTH(TODAY()),1))))*12+MONTH(EDATE(DATE(YEAR(TODAY()),MONTH(TODAY()),1),23))-MONTH(IF(ISNUMBER(Suppliers!F68),Suppliers!F68,DATE(YEAR(TODAY()),MONTH(TODAY()),1))),6)=0,1,0),IF(Suppliers!E68="Annual",IF(MOD((YEAR(EDATE(DATE(YEAR(TODAY()),MONTH(TODAY()),1),23))-YEAR(IF(ISNUMBER(Suppliers!F68),Suppliers!F68,DATE(YEAR(TODAY()),MONTH(TODAY()),1))))*12+MONTH(EDATE(DATE(YEAR(TODAY()),MONTH(TODAY()),1),23))-MONTH(IF(ISNUMBER(Suppliers!F68),Suppliers!F68,DATE(YEAR(TODAY()),MONTH(TODAY()),1))),12)=0,1,0),IF(Suppliers!E68="One-time",IF(23=0,1,0),1)))))),"")</f>
        <v/>
      </c>
    </row>
    <row r="71" spans="1:29" ht="15" customHeight="1" x14ac:dyDescent="0.35">
      <c r="A71" s="4" t="s">
        <v>80</v>
      </c>
      <c r="B71" s="4" t="str">
        <f>IF(Suppliers!A69="","",Suppliers!A69)</f>
        <v/>
      </c>
      <c r="C71" s="10" t="str">
        <f>IF(Suppliers!C69="","",Suppliers!C69)</f>
        <v/>
      </c>
      <c r="D71" s="10" t="str">
        <f>IF(Suppliers!D69="","",Suppliers!D69)</f>
        <v/>
      </c>
      <c r="E71" s="4" t="str">
        <f>IF(Suppliers!E69="","",Suppliers!E69)</f>
        <v/>
      </c>
      <c r="F71" s="10" t="str">
        <f ca="1">IFERROR(IF(OR(0&gt;=$B$1,Suppliers!A69="",NOT(ISNUMBER(Suppliers!D69)),Suppliers!L69="Expired",Suppliers!L69="Terminate"),"",Suppliers!D69*-1*IF(Suppliers!E69="Monthly",IF(AND(ISNUMBER(Suppliers!G69),(YEAR(EDATE(DATE(YEAR(TODAY()),MONTH(TODAY()),1),0))*12+MONTH(EDATE(DATE(YEAR(TODAY()),MONTH(TODAY()),1),0)))&gt;(YEAR(Suppliers!G69)*12+MONTH(Suppliers!G69))),"",1),IF(Suppliers!E69="Quarterly",IF(MOD((YEAR(EDATE(DATE(YEAR(TODAY()),MONTH(TODAY()),1),0))-YEAR(IF(ISNUMBER(Suppliers!F69),Suppliers!F69,DATE(YEAR(TODAY()),MONTH(TODAY()),1))))*12+MONTH(EDATE(DATE(YEAR(TODAY()),MONTH(TODAY()),1),0))-MONTH(IF(ISNUMBER(Suppliers!F69),Suppliers!F69,DATE(YEAR(TODAY()),MONTH(TODAY()),1))),3)=0,1,0),IF(Suppliers!E69="Semi-annual",IF(MOD((YEAR(EDATE(DATE(YEAR(TODAY()),MONTH(TODAY()),1),0))-YEAR(IF(ISNUMBER(Suppliers!F69),Suppliers!F69,DATE(YEAR(TODAY()),MONTH(TODAY()),1))))*12+MONTH(EDATE(DATE(YEAR(TODAY()),MONTH(TODAY()),1),0))-MONTH(IF(ISNUMBER(Suppliers!F69),Suppliers!F69,DATE(YEAR(TODAY()),MONTH(TODAY()),1))),6)=0,1,0),IF(Suppliers!E69="Annual",IF(MOD((YEAR(EDATE(DATE(YEAR(TODAY()),MONTH(TODAY()),1),0))-YEAR(IF(ISNUMBER(Suppliers!F69),Suppliers!F69,DATE(YEAR(TODAY()),MONTH(TODAY()),1))))*12+MONTH(EDATE(DATE(YEAR(TODAY()),MONTH(TODAY()),1),0))-MONTH(IF(ISNUMBER(Suppliers!F69),Suppliers!F69,DATE(YEAR(TODAY()),MONTH(TODAY()),1))),12)=0,1,0),IF(Suppliers!E69="One-time",IF(0=0,1,0),1)))))),"")</f>
        <v/>
      </c>
      <c r="G71" s="10" t="str">
        <f ca="1">IFERROR(IF(OR(1&gt;=$B$1,Suppliers!A69="",NOT(ISNUMBER(Suppliers!D69)),Suppliers!L69="Expired",Suppliers!L69="Terminate"),"",Suppliers!D69*-1*IF(Suppliers!E69="Monthly",IF(AND(ISNUMBER(Suppliers!G69),(YEAR(EDATE(DATE(YEAR(TODAY()),MONTH(TODAY()),1),1))*12+MONTH(EDATE(DATE(YEAR(TODAY()),MONTH(TODAY()),1),1)))&gt;(YEAR(Suppliers!G69)*12+MONTH(Suppliers!G69))),"",1),IF(Suppliers!E69="Quarterly",IF(MOD((YEAR(EDATE(DATE(YEAR(TODAY()),MONTH(TODAY()),1),1))-YEAR(IF(ISNUMBER(Suppliers!F69),Suppliers!F69,DATE(YEAR(TODAY()),MONTH(TODAY()),1))))*12+MONTH(EDATE(DATE(YEAR(TODAY()),MONTH(TODAY()),1),1))-MONTH(IF(ISNUMBER(Suppliers!F69),Suppliers!F69,DATE(YEAR(TODAY()),MONTH(TODAY()),1))),3)=0,1,0),IF(Suppliers!E69="Semi-annual",IF(MOD((YEAR(EDATE(DATE(YEAR(TODAY()),MONTH(TODAY()),1),1))-YEAR(IF(ISNUMBER(Suppliers!F69),Suppliers!F69,DATE(YEAR(TODAY()),MONTH(TODAY()),1))))*12+MONTH(EDATE(DATE(YEAR(TODAY()),MONTH(TODAY()),1),1))-MONTH(IF(ISNUMBER(Suppliers!F69),Suppliers!F69,DATE(YEAR(TODAY()),MONTH(TODAY()),1))),6)=0,1,0),IF(Suppliers!E69="Annual",IF(MOD((YEAR(EDATE(DATE(YEAR(TODAY()),MONTH(TODAY()),1),1))-YEAR(IF(ISNUMBER(Suppliers!F69),Suppliers!F69,DATE(YEAR(TODAY()),MONTH(TODAY()),1))))*12+MONTH(EDATE(DATE(YEAR(TODAY()),MONTH(TODAY()),1),1))-MONTH(IF(ISNUMBER(Suppliers!F69),Suppliers!F69,DATE(YEAR(TODAY()),MONTH(TODAY()),1))),12)=0,1,0),IF(Suppliers!E69="One-time",IF(1=0,1,0),1)))))),"")</f>
        <v/>
      </c>
      <c r="H71" s="10" t="str">
        <f ca="1">IFERROR(IF(OR(2&gt;=$B$1,Suppliers!A69="",NOT(ISNUMBER(Suppliers!D69)),Suppliers!L69="Expired",Suppliers!L69="Terminate"),"",Suppliers!D69*-1*IF(Suppliers!E69="Monthly",IF(AND(ISNUMBER(Suppliers!G69),(YEAR(EDATE(DATE(YEAR(TODAY()),MONTH(TODAY()),1),2))*12+MONTH(EDATE(DATE(YEAR(TODAY()),MONTH(TODAY()),1),2)))&gt;(YEAR(Suppliers!G69)*12+MONTH(Suppliers!G69))),"",1),IF(Suppliers!E69="Quarterly",IF(MOD((YEAR(EDATE(DATE(YEAR(TODAY()),MONTH(TODAY()),1),2))-YEAR(IF(ISNUMBER(Suppliers!F69),Suppliers!F69,DATE(YEAR(TODAY()),MONTH(TODAY()),1))))*12+MONTH(EDATE(DATE(YEAR(TODAY()),MONTH(TODAY()),1),2))-MONTH(IF(ISNUMBER(Suppliers!F69),Suppliers!F69,DATE(YEAR(TODAY()),MONTH(TODAY()),1))),3)=0,1,0),IF(Suppliers!E69="Semi-annual",IF(MOD((YEAR(EDATE(DATE(YEAR(TODAY()),MONTH(TODAY()),1),2))-YEAR(IF(ISNUMBER(Suppliers!F69),Suppliers!F69,DATE(YEAR(TODAY()),MONTH(TODAY()),1))))*12+MONTH(EDATE(DATE(YEAR(TODAY()),MONTH(TODAY()),1),2))-MONTH(IF(ISNUMBER(Suppliers!F69),Suppliers!F69,DATE(YEAR(TODAY()),MONTH(TODAY()),1))),6)=0,1,0),IF(Suppliers!E69="Annual",IF(MOD((YEAR(EDATE(DATE(YEAR(TODAY()),MONTH(TODAY()),1),2))-YEAR(IF(ISNUMBER(Suppliers!F69),Suppliers!F69,DATE(YEAR(TODAY()),MONTH(TODAY()),1))))*12+MONTH(EDATE(DATE(YEAR(TODAY()),MONTH(TODAY()),1),2))-MONTH(IF(ISNUMBER(Suppliers!F69),Suppliers!F69,DATE(YEAR(TODAY()),MONTH(TODAY()),1))),12)=0,1,0),IF(Suppliers!E69="One-time",IF(2=0,1,0),1)))))),"")</f>
        <v/>
      </c>
      <c r="I71" s="10" t="str">
        <f ca="1">IFERROR(IF(OR(3&gt;=$B$1,Suppliers!A69="",NOT(ISNUMBER(Suppliers!D69)),Suppliers!L69="Expired",Suppliers!L69="Terminate"),"",Suppliers!D69*-1*IF(Suppliers!E69="Monthly",IF(AND(ISNUMBER(Suppliers!G69),(YEAR(EDATE(DATE(YEAR(TODAY()),MONTH(TODAY()),1),3))*12+MONTH(EDATE(DATE(YEAR(TODAY()),MONTH(TODAY()),1),3)))&gt;(YEAR(Suppliers!G69)*12+MONTH(Suppliers!G69))),"",1),IF(Suppliers!E69="Quarterly",IF(MOD((YEAR(EDATE(DATE(YEAR(TODAY()),MONTH(TODAY()),1),3))-YEAR(IF(ISNUMBER(Suppliers!F69),Suppliers!F69,DATE(YEAR(TODAY()),MONTH(TODAY()),1))))*12+MONTH(EDATE(DATE(YEAR(TODAY()),MONTH(TODAY()),1),3))-MONTH(IF(ISNUMBER(Suppliers!F69),Suppliers!F69,DATE(YEAR(TODAY()),MONTH(TODAY()),1))),3)=0,1,0),IF(Suppliers!E69="Semi-annual",IF(MOD((YEAR(EDATE(DATE(YEAR(TODAY()),MONTH(TODAY()),1),3))-YEAR(IF(ISNUMBER(Suppliers!F69),Suppliers!F69,DATE(YEAR(TODAY()),MONTH(TODAY()),1))))*12+MONTH(EDATE(DATE(YEAR(TODAY()),MONTH(TODAY()),1),3))-MONTH(IF(ISNUMBER(Suppliers!F69),Suppliers!F69,DATE(YEAR(TODAY()),MONTH(TODAY()),1))),6)=0,1,0),IF(Suppliers!E69="Annual",IF(MOD((YEAR(EDATE(DATE(YEAR(TODAY()),MONTH(TODAY()),1),3))-YEAR(IF(ISNUMBER(Suppliers!F69),Suppliers!F69,DATE(YEAR(TODAY()),MONTH(TODAY()),1))))*12+MONTH(EDATE(DATE(YEAR(TODAY()),MONTH(TODAY()),1),3))-MONTH(IF(ISNUMBER(Suppliers!F69),Suppliers!F69,DATE(YEAR(TODAY()),MONTH(TODAY()),1))),12)=0,1,0),IF(Suppliers!E69="One-time",IF(3=0,1,0),1)))))),"")</f>
        <v/>
      </c>
      <c r="J71" s="10" t="str">
        <f ca="1">IFERROR(IF(OR(4&gt;=$B$1,Suppliers!A69="",NOT(ISNUMBER(Suppliers!D69)),Suppliers!L69="Expired",Suppliers!L69="Terminate"),"",Suppliers!D69*-1*IF(Suppliers!E69="Monthly",IF(AND(ISNUMBER(Suppliers!G69),(YEAR(EDATE(DATE(YEAR(TODAY()),MONTH(TODAY()),1),4))*12+MONTH(EDATE(DATE(YEAR(TODAY()),MONTH(TODAY()),1),4)))&gt;(YEAR(Suppliers!G69)*12+MONTH(Suppliers!G69))),"",1),IF(Suppliers!E69="Quarterly",IF(MOD((YEAR(EDATE(DATE(YEAR(TODAY()),MONTH(TODAY()),1),4))-YEAR(IF(ISNUMBER(Suppliers!F69),Suppliers!F69,DATE(YEAR(TODAY()),MONTH(TODAY()),1))))*12+MONTH(EDATE(DATE(YEAR(TODAY()),MONTH(TODAY()),1),4))-MONTH(IF(ISNUMBER(Suppliers!F69),Suppliers!F69,DATE(YEAR(TODAY()),MONTH(TODAY()),1))),3)=0,1,0),IF(Suppliers!E69="Semi-annual",IF(MOD((YEAR(EDATE(DATE(YEAR(TODAY()),MONTH(TODAY()),1),4))-YEAR(IF(ISNUMBER(Suppliers!F69),Suppliers!F69,DATE(YEAR(TODAY()),MONTH(TODAY()),1))))*12+MONTH(EDATE(DATE(YEAR(TODAY()),MONTH(TODAY()),1),4))-MONTH(IF(ISNUMBER(Suppliers!F69),Suppliers!F69,DATE(YEAR(TODAY()),MONTH(TODAY()),1))),6)=0,1,0),IF(Suppliers!E69="Annual",IF(MOD((YEAR(EDATE(DATE(YEAR(TODAY()),MONTH(TODAY()),1),4))-YEAR(IF(ISNUMBER(Suppliers!F69),Suppliers!F69,DATE(YEAR(TODAY()),MONTH(TODAY()),1))))*12+MONTH(EDATE(DATE(YEAR(TODAY()),MONTH(TODAY()),1),4))-MONTH(IF(ISNUMBER(Suppliers!F69),Suppliers!F69,DATE(YEAR(TODAY()),MONTH(TODAY()),1))),12)=0,1,0),IF(Suppliers!E69="One-time",IF(4=0,1,0),1)))))),"")</f>
        <v/>
      </c>
      <c r="K71" s="10" t="str">
        <f ca="1">IFERROR(IF(OR(5&gt;=$B$1,Suppliers!A69="",NOT(ISNUMBER(Suppliers!D69)),Suppliers!L69="Expired",Suppliers!L69="Terminate"),"",Suppliers!D69*-1*IF(Suppliers!E69="Monthly",IF(AND(ISNUMBER(Suppliers!G69),(YEAR(EDATE(DATE(YEAR(TODAY()),MONTH(TODAY()),1),5))*12+MONTH(EDATE(DATE(YEAR(TODAY()),MONTH(TODAY()),1),5)))&gt;(YEAR(Suppliers!G69)*12+MONTH(Suppliers!G69))),"",1),IF(Suppliers!E69="Quarterly",IF(MOD((YEAR(EDATE(DATE(YEAR(TODAY()),MONTH(TODAY()),1),5))-YEAR(IF(ISNUMBER(Suppliers!F69),Suppliers!F69,DATE(YEAR(TODAY()),MONTH(TODAY()),1))))*12+MONTH(EDATE(DATE(YEAR(TODAY()),MONTH(TODAY()),1),5))-MONTH(IF(ISNUMBER(Suppliers!F69),Suppliers!F69,DATE(YEAR(TODAY()),MONTH(TODAY()),1))),3)=0,1,0),IF(Suppliers!E69="Semi-annual",IF(MOD((YEAR(EDATE(DATE(YEAR(TODAY()),MONTH(TODAY()),1),5))-YEAR(IF(ISNUMBER(Suppliers!F69),Suppliers!F69,DATE(YEAR(TODAY()),MONTH(TODAY()),1))))*12+MONTH(EDATE(DATE(YEAR(TODAY()),MONTH(TODAY()),1),5))-MONTH(IF(ISNUMBER(Suppliers!F69),Suppliers!F69,DATE(YEAR(TODAY()),MONTH(TODAY()),1))),6)=0,1,0),IF(Suppliers!E69="Annual",IF(MOD((YEAR(EDATE(DATE(YEAR(TODAY()),MONTH(TODAY()),1),5))-YEAR(IF(ISNUMBER(Suppliers!F69),Suppliers!F69,DATE(YEAR(TODAY()),MONTH(TODAY()),1))))*12+MONTH(EDATE(DATE(YEAR(TODAY()),MONTH(TODAY()),1),5))-MONTH(IF(ISNUMBER(Suppliers!F69),Suppliers!F69,DATE(YEAR(TODAY()),MONTH(TODAY()),1))),12)=0,1,0),IF(Suppliers!E69="One-time",IF(5=0,1,0),1)))))),"")</f>
        <v/>
      </c>
      <c r="L71" s="10" t="str">
        <f ca="1">IFERROR(IF(OR(6&gt;=$B$1,Suppliers!A69="",NOT(ISNUMBER(Suppliers!D69)),Suppliers!L69="Expired",Suppliers!L69="Terminate"),"",Suppliers!D69*-1*IF(Suppliers!E69="Monthly",IF(AND(ISNUMBER(Suppliers!G69),(YEAR(EDATE(DATE(YEAR(TODAY()),MONTH(TODAY()),1),6))*12+MONTH(EDATE(DATE(YEAR(TODAY()),MONTH(TODAY()),1),6)))&gt;(YEAR(Suppliers!G69)*12+MONTH(Suppliers!G69))),"",1),IF(Suppliers!E69="Quarterly",IF(MOD((YEAR(EDATE(DATE(YEAR(TODAY()),MONTH(TODAY()),1),6))-YEAR(IF(ISNUMBER(Suppliers!F69),Suppliers!F69,DATE(YEAR(TODAY()),MONTH(TODAY()),1))))*12+MONTH(EDATE(DATE(YEAR(TODAY()),MONTH(TODAY()),1),6))-MONTH(IF(ISNUMBER(Suppliers!F69),Suppliers!F69,DATE(YEAR(TODAY()),MONTH(TODAY()),1))),3)=0,1,0),IF(Suppliers!E69="Semi-annual",IF(MOD((YEAR(EDATE(DATE(YEAR(TODAY()),MONTH(TODAY()),1),6))-YEAR(IF(ISNUMBER(Suppliers!F69),Suppliers!F69,DATE(YEAR(TODAY()),MONTH(TODAY()),1))))*12+MONTH(EDATE(DATE(YEAR(TODAY()),MONTH(TODAY()),1),6))-MONTH(IF(ISNUMBER(Suppliers!F69),Suppliers!F69,DATE(YEAR(TODAY()),MONTH(TODAY()),1))),6)=0,1,0),IF(Suppliers!E69="Annual",IF(MOD((YEAR(EDATE(DATE(YEAR(TODAY()),MONTH(TODAY()),1),6))-YEAR(IF(ISNUMBER(Suppliers!F69),Suppliers!F69,DATE(YEAR(TODAY()),MONTH(TODAY()),1))))*12+MONTH(EDATE(DATE(YEAR(TODAY()),MONTH(TODAY()),1),6))-MONTH(IF(ISNUMBER(Suppliers!F69),Suppliers!F69,DATE(YEAR(TODAY()),MONTH(TODAY()),1))),12)=0,1,0),IF(Suppliers!E69="One-time",IF(6=0,1,0),1)))))),"")</f>
        <v/>
      </c>
      <c r="M71" s="10" t="str">
        <f ca="1">IFERROR(IF(OR(7&gt;=$B$1,Suppliers!A69="",NOT(ISNUMBER(Suppliers!D69)),Suppliers!L69="Expired",Suppliers!L69="Terminate"),"",Suppliers!D69*-1*IF(Suppliers!E69="Monthly",IF(AND(ISNUMBER(Suppliers!G69),(YEAR(EDATE(DATE(YEAR(TODAY()),MONTH(TODAY()),1),7))*12+MONTH(EDATE(DATE(YEAR(TODAY()),MONTH(TODAY()),1),7)))&gt;(YEAR(Suppliers!G69)*12+MONTH(Suppliers!G69))),"",1),IF(Suppliers!E69="Quarterly",IF(MOD((YEAR(EDATE(DATE(YEAR(TODAY()),MONTH(TODAY()),1),7))-YEAR(IF(ISNUMBER(Suppliers!F69),Suppliers!F69,DATE(YEAR(TODAY()),MONTH(TODAY()),1))))*12+MONTH(EDATE(DATE(YEAR(TODAY()),MONTH(TODAY()),1),7))-MONTH(IF(ISNUMBER(Suppliers!F69),Suppliers!F69,DATE(YEAR(TODAY()),MONTH(TODAY()),1))),3)=0,1,0),IF(Suppliers!E69="Semi-annual",IF(MOD((YEAR(EDATE(DATE(YEAR(TODAY()),MONTH(TODAY()),1),7))-YEAR(IF(ISNUMBER(Suppliers!F69),Suppliers!F69,DATE(YEAR(TODAY()),MONTH(TODAY()),1))))*12+MONTH(EDATE(DATE(YEAR(TODAY()),MONTH(TODAY()),1),7))-MONTH(IF(ISNUMBER(Suppliers!F69),Suppliers!F69,DATE(YEAR(TODAY()),MONTH(TODAY()),1))),6)=0,1,0),IF(Suppliers!E69="Annual",IF(MOD((YEAR(EDATE(DATE(YEAR(TODAY()),MONTH(TODAY()),1),7))-YEAR(IF(ISNUMBER(Suppliers!F69),Suppliers!F69,DATE(YEAR(TODAY()),MONTH(TODAY()),1))))*12+MONTH(EDATE(DATE(YEAR(TODAY()),MONTH(TODAY()),1),7))-MONTH(IF(ISNUMBER(Suppliers!F69),Suppliers!F69,DATE(YEAR(TODAY()),MONTH(TODAY()),1))),12)=0,1,0),IF(Suppliers!E69="One-time",IF(7=0,1,0),1)))))),"")</f>
        <v/>
      </c>
      <c r="N71" s="10" t="str">
        <f ca="1">IFERROR(IF(OR(8&gt;=$B$1,Suppliers!A69="",NOT(ISNUMBER(Suppliers!D69)),Suppliers!L69="Expired",Suppliers!L69="Terminate"),"",Suppliers!D69*-1*IF(Suppliers!E69="Monthly",IF(AND(ISNUMBER(Suppliers!G69),(YEAR(EDATE(DATE(YEAR(TODAY()),MONTH(TODAY()),1),8))*12+MONTH(EDATE(DATE(YEAR(TODAY()),MONTH(TODAY()),1),8)))&gt;(YEAR(Suppliers!G69)*12+MONTH(Suppliers!G69))),"",1),IF(Suppliers!E69="Quarterly",IF(MOD((YEAR(EDATE(DATE(YEAR(TODAY()),MONTH(TODAY()),1),8))-YEAR(IF(ISNUMBER(Suppliers!F69),Suppliers!F69,DATE(YEAR(TODAY()),MONTH(TODAY()),1))))*12+MONTH(EDATE(DATE(YEAR(TODAY()),MONTH(TODAY()),1),8))-MONTH(IF(ISNUMBER(Suppliers!F69),Suppliers!F69,DATE(YEAR(TODAY()),MONTH(TODAY()),1))),3)=0,1,0),IF(Suppliers!E69="Semi-annual",IF(MOD((YEAR(EDATE(DATE(YEAR(TODAY()),MONTH(TODAY()),1),8))-YEAR(IF(ISNUMBER(Suppliers!F69),Suppliers!F69,DATE(YEAR(TODAY()),MONTH(TODAY()),1))))*12+MONTH(EDATE(DATE(YEAR(TODAY()),MONTH(TODAY()),1),8))-MONTH(IF(ISNUMBER(Suppliers!F69),Suppliers!F69,DATE(YEAR(TODAY()),MONTH(TODAY()),1))),6)=0,1,0),IF(Suppliers!E69="Annual",IF(MOD((YEAR(EDATE(DATE(YEAR(TODAY()),MONTH(TODAY()),1),8))-YEAR(IF(ISNUMBER(Suppliers!F69),Suppliers!F69,DATE(YEAR(TODAY()),MONTH(TODAY()),1))))*12+MONTH(EDATE(DATE(YEAR(TODAY()),MONTH(TODAY()),1),8))-MONTH(IF(ISNUMBER(Suppliers!F69),Suppliers!F69,DATE(YEAR(TODAY()),MONTH(TODAY()),1))),12)=0,1,0),IF(Suppliers!E69="One-time",IF(8=0,1,0),1)))))),"")</f>
        <v/>
      </c>
      <c r="O71" s="10" t="str">
        <f ca="1">IFERROR(IF(OR(9&gt;=$B$1,Suppliers!A69="",NOT(ISNUMBER(Suppliers!D69)),Suppliers!L69="Expired",Suppliers!L69="Terminate"),"",Suppliers!D69*-1*IF(Suppliers!E69="Monthly",IF(AND(ISNUMBER(Suppliers!G69),(YEAR(EDATE(DATE(YEAR(TODAY()),MONTH(TODAY()),1),9))*12+MONTH(EDATE(DATE(YEAR(TODAY()),MONTH(TODAY()),1),9)))&gt;(YEAR(Suppliers!G69)*12+MONTH(Suppliers!G69))),"",1),IF(Suppliers!E69="Quarterly",IF(MOD((YEAR(EDATE(DATE(YEAR(TODAY()),MONTH(TODAY()),1),9))-YEAR(IF(ISNUMBER(Suppliers!F69),Suppliers!F69,DATE(YEAR(TODAY()),MONTH(TODAY()),1))))*12+MONTH(EDATE(DATE(YEAR(TODAY()),MONTH(TODAY()),1),9))-MONTH(IF(ISNUMBER(Suppliers!F69),Suppliers!F69,DATE(YEAR(TODAY()),MONTH(TODAY()),1))),3)=0,1,0),IF(Suppliers!E69="Semi-annual",IF(MOD((YEAR(EDATE(DATE(YEAR(TODAY()),MONTH(TODAY()),1),9))-YEAR(IF(ISNUMBER(Suppliers!F69),Suppliers!F69,DATE(YEAR(TODAY()),MONTH(TODAY()),1))))*12+MONTH(EDATE(DATE(YEAR(TODAY()),MONTH(TODAY()),1),9))-MONTH(IF(ISNUMBER(Suppliers!F69),Suppliers!F69,DATE(YEAR(TODAY()),MONTH(TODAY()),1))),6)=0,1,0),IF(Suppliers!E69="Annual",IF(MOD((YEAR(EDATE(DATE(YEAR(TODAY()),MONTH(TODAY()),1),9))-YEAR(IF(ISNUMBER(Suppliers!F69),Suppliers!F69,DATE(YEAR(TODAY()),MONTH(TODAY()),1))))*12+MONTH(EDATE(DATE(YEAR(TODAY()),MONTH(TODAY()),1),9))-MONTH(IF(ISNUMBER(Suppliers!F69),Suppliers!F69,DATE(YEAR(TODAY()),MONTH(TODAY()),1))),12)=0,1,0),IF(Suppliers!E69="One-time",IF(9=0,1,0),1)))))),"")</f>
        <v/>
      </c>
      <c r="P71" s="10" t="str">
        <f ca="1">IFERROR(IF(OR(10&gt;=$B$1,Suppliers!A69="",NOT(ISNUMBER(Suppliers!D69)),Suppliers!L69="Expired",Suppliers!L69="Terminate"),"",Suppliers!D69*-1*IF(Suppliers!E69="Monthly",IF(AND(ISNUMBER(Suppliers!G69),(YEAR(EDATE(DATE(YEAR(TODAY()),MONTH(TODAY()),1),10))*12+MONTH(EDATE(DATE(YEAR(TODAY()),MONTH(TODAY()),1),10)))&gt;(YEAR(Suppliers!G69)*12+MONTH(Suppliers!G69))),"",1),IF(Suppliers!E69="Quarterly",IF(MOD((YEAR(EDATE(DATE(YEAR(TODAY()),MONTH(TODAY()),1),10))-YEAR(IF(ISNUMBER(Suppliers!F69),Suppliers!F69,DATE(YEAR(TODAY()),MONTH(TODAY()),1))))*12+MONTH(EDATE(DATE(YEAR(TODAY()),MONTH(TODAY()),1),10))-MONTH(IF(ISNUMBER(Suppliers!F69),Suppliers!F69,DATE(YEAR(TODAY()),MONTH(TODAY()),1))),3)=0,1,0),IF(Suppliers!E69="Semi-annual",IF(MOD((YEAR(EDATE(DATE(YEAR(TODAY()),MONTH(TODAY()),1),10))-YEAR(IF(ISNUMBER(Suppliers!F69),Suppliers!F69,DATE(YEAR(TODAY()),MONTH(TODAY()),1))))*12+MONTH(EDATE(DATE(YEAR(TODAY()),MONTH(TODAY()),1),10))-MONTH(IF(ISNUMBER(Suppliers!F69),Suppliers!F69,DATE(YEAR(TODAY()),MONTH(TODAY()),1))),6)=0,1,0),IF(Suppliers!E69="Annual",IF(MOD((YEAR(EDATE(DATE(YEAR(TODAY()),MONTH(TODAY()),1),10))-YEAR(IF(ISNUMBER(Suppliers!F69),Suppliers!F69,DATE(YEAR(TODAY()),MONTH(TODAY()),1))))*12+MONTH(EDATE(DATE(YEAR(TODAY()),MONTH(TODAY()),1),10))-MONTH(IF(ISNUMBER(Suppliers!F69),Suppliers!F69,DATE(YEAR(TODAY()),MONTH(TODAY()),1))),12)=0,1,0),IF(Suppliers!E69="One-time",IF(10=0,1,0),1)))))),"")</f>
        <v/>
      </c>
      <c r="Q71" s="10" t="str">
        <f ca="1">IFERROR(IF(OR(11&gt;=$B$1,Suppliers!A69="",NOT(ISNUMBER(Suppliers!D69)),Suppliers!L69="Expired",Suppliers!L69="Terminate"),"",Suppliers!D69*-1*IF(Suppliers!E69="Monthly",IF(AND(ISNUMBER(Suppliers!G69),(YEAR(EDATE(DATE(YEAR(TODAY()),MONTH(TODAY()),1),11))*12+MONTH(EDATE(DATE(YEAR(TODAY()),MONTH(TODAY()),1),11)))&gt;(YEAR(Suppliers!G69)*12+MONTH(Suppliers!G69))),"",1),IF(Suppliers!E69="Quarterly",IF(MOD((YEAR(EDATE(DATE(YEAR(TODAY()),MONTH(TODAY()),1),11))-YEAR(IF(ISNUMBER(Suppliers!F69),Suppliers!F69,DATE(YEAR(TODAY()),MONTH(TODAY()),1))))*12+MONTH(EDATE(DATE(YEAR(TODAY()),MONTH(TODAY()),1),11))-MONTH(IF(ISNUMBER(Suppliers!F69),Suppliers!F69,DATE(YEAR(TODAY()),MONTH(TODAY()),1))),3)=0,1,0),IF(Suppliers!E69="Semi-annual",IF(MOD((YEAR(EDATE(DATE(YEAR(TODAY()),MONTH(TODAY()),1),11))-YEAR(IF(ISNUMBER(Suppliers!F69),Suppliers!F69,DATE(YEAR(TODAY()),MONTH(TODAY()),1))))*12+MONTH(EDATE(DATE(YEAR(TODAY()),MONTH(TODAY()),1),11))-MONTH(IF(ISNUMBER(Suppliers!F69),Suppliers!F69,DATE(YEAR(TODAY()),MONTH(TODAY()),1))),6)=0,1,0),IF(Suppliers!E69="Annual",IF(MOD((YEAR(EDATE(DATE(YEAR(TODAY()),MONTH(TODAY()),1),11))-YEAR(IF(ISNUMBER(Suppliers!F69),Suppliers!F69,DATE(YEAR(TODAY()),MONTH(TODAY()),1))))*12+MONTH(EDATE(DATE(YEAR(TODAY()),MONTH(TODAY()),1),11))-MONTH(IF(ISNUMBER(Suppliers!F69),Suppliers!F69,DATE(YEAR(TODAY()),MONTH(TODAY()),1))),12)=0,1,0),IF(Suppliers!E69="One-time",IF(11=0,1,0),1)))))),"")</f>
        <v/>
      </c>
      <c r="R71" s="10" t="str">
        <f ca="1">IFERROR(IF(OR(12&gt;=$B$1,Suppliers!A69="",NOT(ISNUMBER(Suppliers!D69)),Suppliers!L69="Expired",Suppliers!L69="Terminate"),"",Suppliers!D69*-1*IF(Suppliers!E69="Monthly",IF(AND(ISNUMBER(Suppliers!G69),(YEAR(EDATE(DATE(YEAR(TODAY()),MONTH(TODAY()),1),12))*12+MONTH(EDATE(DATE(YEAR(TODAY()),MONTH(TODAY()),1),12)))&gt;(YEAR(Suppliers!G69)*12+MONTH(Suppliers!G69))),"",1),IF(Suppliers!E69="Quarterly",IF(MOD((YEAR(EDATE(DATE(YEAR(TODAY()),MONTH(TODAY()),1),12))-YEAR(IF(ISNUMBER(Suppliers!F69),Suppliers!F69,DATE(YEAR(TODAY()),MONTH(TODAY()),1))))*12+MONTH(EDATE(DATE(YEAR(TODAY()),MONTH(TODAY()),1),12))-MONTH(IF(ISNUMBER(Suppliers!F69),Suppliers!F69,DATE(YEAR(TODAY()),MONTH(TODAY()),1))),3)=0,1,0),IF(Suppliers!E69="Semi-annual",IF(MOD((YEAR(EDATE(DATE(YEAR(TODAY()),MONTH(TODAY()),1),12))-YEAR(IF(ISNUMBER(Suppliers!F69),Suppliers!F69,DATE(YEAR(TODAY()),MONTH(TODAY()),1))))*12+MONTH(EDATE(DATE(YEAR(TODAY()),MONTH(TODAY()),1),12))-MONTH(IF(ISNUMBER(Suppliers!F69),Suppliers!F69,DATE(YEAR(TODAY()),MONTH(TODAY()),1))),6)=0,1,0),IF(Suppliers!E69="Annual",IF(MOD((YEAR(EDATE(DATE(YEAR(TODAY()),MONTH(TODAY()),1),12))-YEAR(IF(ISNUMBER(Suppliers!F69),Suppliers!F69,DATE(YEAR(TODAY()),MONTH(TODAY()),1))))*12+MONTH(EDATE(DATE(YEAR(TODAY()),MONTH(TODAY()),1),12))-MONTH(IF(ISNUMBER(Suppliers!F69),Suppliers!F69,DATE(YEAR(TODAY()),MONTH(TODAY()),1))),12)=0,1,0),IF(Suppliers!E69="One-time",IF(12=0,1,0),1)))))),"")</f>
        <v/>
      </c>
      <c r="S71" s="10" t="str">
        <f ca="1">IFERROR(IF(OR(13&gt;=$B$1,Suppliers!A69="",NOT(ISNUMBER(Suppliers!D69)),Suppliers!L69="Expired",Suppliers!L69="Terminate"),"",Suppliers!D69*-1*IF(Suppliers!E69="Monthly",IF(AND(ISNUMBER(Suppliers!G69),(YEAR(EDATE(DATE(YEAR(TODAY()),MONTH(TODAY()),1),13))*12+MONTH(EDATE(DATE(YEAR(TODAY()),MONTH(TODAY()),1),13)))&gt;(YEAR(Suppliers!G69)*12+MONTH(Suppliers!G69))),"",1),IF(Suppliers!E69="Quarterly",IF(MOD((YEAR(EDATE(DATE(YEAR(TODAY()),MONTH(TODAY()),1),13))-YEAR(IF(ISNUMBER(Suppliers!F69),Suppliers!F69,DATE(YEAR(TODAY()),MONTH(TODAY()),1))))*12+MONTH(EDATE(DATE(YEAR(TODAY()),MONTH(TODAY()),1),13))-MONTH(IF(ISNUMBER(Suppliers!F69),Suppliers!F69,DATE(YEAR(TODAY()),MONTH(TODAY()),1))),3)=0,1,0),IF(Suppliers!E69="Semi-annual",IF(MOD((YEAR(EDATE(DATE(YEAR(TODAY()),MONTH(TODAY()),1),13))-YEAR(IF(ISNUMBER(Suppliers!F69),Suppliers!F69,DATE(YEAR(TODAY()),MONTH(TODAY()),1))))*12+MONTH(EDATE(DATE(YEAR(TODAY()),MONTH(TODAY()),1),13))-MONTH(IF(ISNUMBER(Suppliers!F69),Suppliers!F69,DATE(YEAR(TODAY()),MONTH(TODAY()),1))),6)=0,1,0),IF(Suppliers!E69="Annual",IF(MOD((YEAR(EDATE(DATE(YEAR(TODAY()),MONTH(TODAY()),1),13))-YEAR(IF(ISNUMBER(Suppliers!F69),Suppliers!F69,DATE(YEAR(TODAY()),MONTH(TODAY()),1))))*12+MONTH(EDATE(DATE(YEAR(TODAY()),MONTH(TODAY()),1),13))-MONTH(IF(ISNUMBER(Suppliers!F69),Suppliers!F69,DATE(YEAR(TODAY()),MONTH(TODAY()),1))),12)=0,1,0),IF(Suppliers!E69="One-time",IF(13=0,1,0),1)))))),"")</f>
        <v/>
      </c>
      <c r="T71" s="10" t="str">
        <f ca="1">IFERROR(IF(OR(14&gt;=$B$1,Suppliers!A69="",NOT(ISNUMBER(Suppliers!D69)),Suppliers!L69="Expired",Suppliers!L69="Terminate"),"",Suppliers!D69*-1*IF(Suppliers!E69="Monthly",IF(AND(ISNUMBER(Suppliers!G69),(YEAR(EDATE(DATE(YEAR(TODAY()),MONTH(TODAY()),1),14))*12+MONTH(EDATE(DATE(YEAR(TODAY()),MONTH(TODAY()),1),14)))&gt;(YEAR(Suppliers!G69)*12+MONTH(Suppliers!G69))),"",1),IF(Suppliers!E69="Quarterly",IF(MOD((YEAR(EDATE(DATE(YEAR(TODAY()),MONTH(TODAY()),1),14))-YEAR(IF(ISNUMBER(Suppliers!F69),Suppliers!F69,DATE(YEAR(TODAY()),MONTH(TODAY()),1))))*12+MONTH(EDATE(DATE(YEAR(TODAY()),MONTH(TODAY()),1),14))-MONTH(IF(ISNUMBER(Suppliers!F69),Suppliers!F69,DATE(YEAR(TODAY()),MONTH(TODAY()),1))),3)=0,1,0),IF(Suppliers!E69="Semi-annual",IF(MOD((YEAR(EDATE(DATE(YEAR(TODAY()),MONTH(TODAY()),1),14))-YEAR(IF(ISNUMBER(Suppliers!F69),Suppliers!F69,DATE(YEAR(TODAY()),MONTH(TODAY()),1))))*12+MONTH(EDATE(DATE(YEAR(TODAY()),MONTH(TODAY()),1),14))-MONTH(IF(ISNUMBER(Suppliers!F69),Suppliers!F69,DATE(YEAR(TODAY()),MONTH(TODAY()),1))),6)=0,1,0),IF(Suppliers!E69="Annual",IF(MOD((YEAR(EDATE(DATE(YEAR(TODAY()),MONTH(TODAY()),1),14))-YEAR(IF(ISNUMBER(Suppliers!F69),Suppliers!F69,DATE(YEAR(TODAY()),MONTH(TODAY()),1))))*12+MONTH(EDATE(DATE(YEAR(TODAY()),MONTH(TODAY()),1),14))-MONTH(IF(ISNUMBER(Suppliers!F69),Suppliers!F69,DATE(YEAR(TODAY()),MONTH(TODAY()),1))),12)=0,1,0),IF(Suppliers!E69="One-time",IF(14=0,1,0),1)))))),"")</f>
        <v/>
      </c>
      <c r="U71" s="10" t="str">
        <f ca="1">IFERROR(IF(OR(15&gt;=$B$1,Suppliers!A69="",NOT(ISNUMBER(Suppliers!D69)),Suppliers!L69="Expired",Suppliers!L69="Terminate"),"",Suppliers!D69*-1*IF(Suppliers!E69="Monthly",IF(AND(ISNUMBER(Suppliers!G69),(YEAR(EDATE(DATE(YEAR(TODAY()),MONTH(TODAY()),1),15))*12+MONTH(EDATE(DATE(YEAR(TODAY()),MONTH(TODAY()),1),15)))&gt;(YEAR(Suppliers!G69)*12+MONTH(Suppliers!G69))),"",1),IF(Suppliers!E69="Quarterly",IF(MOD((YEAR(EDATE(DATE(YEAR(TODAY()),MONTH(TODAY()),1),15))-YEAR(IF(ISNUMBER(Suppliers!F69),Suppliers!F69,DATE(YEAR(TODAY()),MONTH(TODAY()),1))))*12+MONTH(EDATE(DATE(YEAR(TODAY()),MONTH(TODAY()),1),15))-MONTH(IF(ISNUMBER(Suppliers!F69),Suppliers!F69,DATE(YEAR(TODAY()),MONTH(TODAY()),1))),3)=0,1,0),IF(Suppliers!E69="Semi-annual",IF(MOD((YEAR(EDATE(DATE(YEAR(TODAY()),MONTH(TODAY()),1),15))-YEAR(IF(ISNUMBER(Suppliers!F69),Suppliers!F69,DATE(YEAR(TODAY()),MONTH(TODAY()),1))))*12+MONTH(EDATE(DATE(YEAR(TODAY()),MONTH(TODAY()),1),15))-MONTH(IF(ISNUMBER(Suppliers!F69),Suppliers!F69,DATE(YEAR(TODAY()),MONTH(TODAY()),1))),6)=0,1,0),IF(Suppliers!E69="Annual",IF(MOD((YEAR(EDATE(DATE(YEAR(TODAY()),MONTH(TODAY()),1),15))-YEAR(IF(ISNUMBER(Suppliers!F69),Suppliers!F69,DATE(YEAR(TODAY()),MONTH(TODAY()),1))))*12+MONTH(EDATE(DATE(YEAR(TODAY()),MONTH(TODAY()),1),15))-MONTH(IF(ISNUMBER(Suppliers!F69),Suppliers!F69,DATE(YEAR(TODAY()),MONTH(TODAY()),1))),12)=0,1,0),IF(Suppliers!E69="One-time",IF(15=0,1,0),1)))))),"")</f>
        <v/>
      </c>
      <c r="V71" s="10" t="str">
        <f ca="1">IFERROR(IF(OR(16&gt;=$B$1,Suppliers!A69="",NOT(ISNUMBER(Suppliers!D69)),Suppliers!L69="Expired",Suppliers!L69="Terminate"),"",Suppliers!D69*-1*IF(Suppliers!E69="Monthly",IF(AND(ISNUMBER(Suppliers!G69),(YEAR(EDATE(DATE(YEAR(TODAY()),MONTH(TODAY()),1),16))*12+MONTH(EDATE(DATE(YEAR(TODAY()),MONTH(TODAY()),1),16)))&gt;(YEAR(Suppliers!G69)*12+MONTH(Suppliers!G69))),"",1),IF(Suppliers!E69="Quarterly",IF(MOD((YEAR(EDATE(DATE(YEAR(TODAY()),MONTH(TODAY()),1),16))-YEAR(IF(ISNUMBER(Suppliers!F69),Suppliers!F69,DATE(YEAR(TODAY()),MONTH(TODAY()),1))))*12+MONTH(EDATE(DATE(YEAR(TODAY()),MONTH(TODAY()),1),16))-MONTH(IF(ISNUMBER(Suppliers!F69),Suppliers!F69,DATE(YEAR(TODAY()),MONTH(TODAY()),1))),3)=0,1,0),IF(Suppliers!E69="Semi-annual",IF(MOD((YEAR(EDATE(DATE(YEAR(TODAY()),MONTH(TODAY()),1),16))-YEAR(IF(ISNUMBER(Suppliers!F69),Suppliers!F69,DATE(YEAR(TODAY()),MONTH(TODAY()),1))))*12+MONTH(EDATE(DATE(YEAR(TODAY()),MONTH(TODAY()),1),16))-MONTH(IF(ISNUMBER(Suppliers!F69),Suppliers!F69,DATE(YEAR(TODAY()),MONTH(TODAY()),1))),6)=0,1,0),IF(Suppliers!E69="Annual",IF(MOD((YEAR(EDATE(DATE(YEAR(TODAY()),MONTH(TODAY()),1),16))-YEAR(IF(ISNUMBER(Suppliers!F69),Suppliers!F69,DATE(YEAR(TODAY()),MONTH(TODAY()),1))))*12+MONTH(EDATE(DATE(YEAR(TODAY()),MONTH(TODAY()),1),16))-MONTH(IF(ISNUMBER(Suppliers!F69),Suppliers!F69,DATE(YEAR(TODAY()),MONTH(TODAY()),1))),12)=0,1,0),IF(Suppliers!E69="One-time",IF(16=0,1,0),1)))))),"")</f>
        <v/>
      </c>
      <c r="W71" s="10" t="str">
        <f ca="1">IFERROR(IF(OR(17&gt;=$B$1,Suppliers!A69="",NOT(ISNUMBER(Suppliers!D69)),Suppliers!L69="Expired",Suppliers!L69="Terminate"),"",Suppliers!D69*-1*IF(Suppliers!E69="Monthly",IF(AND(ISNUMBER(Suppliers!G69),(YEAR(EDATE(DATE(YEAR(TODAY()),MONTH(TODAY()),1),17))*12+MONTH(EDATE(DATE(YEAR(TODAY()),MONTH(TODAY()),1),17)))&gt;(YEAR(Suppliers!G69)*12+MONTH(Suppliers!G69))),"",1),IF(Suppliers!E69="Quarterly",IF(MOD((YEAR(EDATE(DATE(YEAR(TODAY()),MONTH(TODAY()),1),17))-YEAR(IF(ISNUMBER(Suppliers!F69),Suppliers!F69,DATE(YEAR(TODAY()),MONTH(TODAY()),1))))*12+MONTH(EDATE(DATE(YEAR(TODAY()),MONTH(TODAY()),1),17))-MONTH(IF(ISNUMBER(Suppliers!F69),Suppliers!F69,DATE(YEAR(TODAY()),MONTH(TODAY()),1))),3)=0,1,0),IF(Suppliers!E69="Semi-annual",IF(MOD((YEAR(EDATE(DATE(YEAR(TODAY()),MONTH(TODAY()),1),17))-YEAR(IF(ISNUMBER(Suppliers!F69),Suppliers!F69,DATE(YEAR(TODAY()),MONTH(TODAY()),1))))*12+MONTH(EDATE(DATE(YEAR(TODAY()),MONTH(TODAY()),1),17))-MONTH(IF(ISNUMBER(Suppliers!F69),Suppliers!F69,DATE(YEAR(TODAY()),MONTH(TODAY()),1))),6)=0,1,0),IF(Suppliers!E69="Annual",IF(MOD((YEAR(EDATE(DATE(YEAR(TODAY()),MONTH(TODAY()),1),17))-YEAR(IF(ISNUMBER(Suppliers!F69),Suppliers!F69,DATE(YEAR(TODAY()),MONTH(TODAY()),1))))*12+MONTH(EDATE(DATE(YEAR(TODAY()),MONTH(TODAY()),1),17))-MONTH(IF(ISNUMBER(Suppliers!F69),Suppliers!F69,DATE(YEAR(TODAY()),MONTH(TODAY()),1))),12)=0,1,0),IF(Suppliers!E69="One-time",IF(17=0,1,0),1)))))),"")</f>
        <v/>
      </c>
      <c r="X71" s="10" t="str">
        <f ca="1">IFERROR(IF(OR(18&gt;=$B$1,Suppliers!A69="",NOT(ISNUMBER(Suppliers!D69)),Suppliers!L69="Expired",Suppliers!L69="Terminate"),"",Suppliers!D69*-1*IF(Suppliers!E69="Monthly",IF(AND(ISNUMBER(Suppliers!G69),(YEAR(EDATE(DATE(YEAR(TODAY()),MONTH(TODAY()),1),18))*12+MONTH(EDATE(DATE(YEAR(TODAY()),MONTH(TODAY()),1),18)))&gt;(YEAR(Suppliers!G69)*12+MONTH(Suppliers!G69))),"",1),IF(Suppliers!E69="Quarterly",IF(MOD((YEAR(EDATE(DATE(YEAR(TODAY()),MONTH(TODAY()),1),18))-YEAR(IF(ISNUMBER(Suppliers!F69),Suppliers!F69,DATE(YEAR(TODAY()),MONTH(TODAY()),1))))*12+MONTH(EDATE(DATE(YEAR(TODAY()),MONTH(TODAY()),1),18))-MONTH(IF(ISNUMBER(Suppliers!F69),Suppliers!F69,DATE(YEAR(TODAY()),MONTH(TODAY()),1))),3)=0,1,0),IF(Suppliers!E69="Semi-annual",IF(MOD((YEAR(EDATE(DATE(YEAR(TODAY()),MONTH(TODAY()),1),18))-YEAR(IF(ISNUMBER(Suppliers!F69),Suppliers!F69,DATE(YEAR(TODAY()),MONTH(TODAY()),1))))*12+MONTH(EDATE(DATE(YEAR(TODAY()),MONTH(TODAY()),1),18))-MONTH(IF(ISNUMBER(Suppliers!F69),Suppliers!F69,DATE(YEAR(TODAY()),MONTH(TODAY()),1))),6)=0,1,0),IF(Suppliers!E69="Annual",IF(MOD((YEAR(EDATE(DATE(YEAR(TODAY()),MONTH(TODAY()),1),18))-YEAR(IF(ISNUMBER(Suppliers!F69),Suppliers!F69,DATE(YEAR(TODAY()),MONTH(TODAY()),1))))*12+MONTH(EDATE(DATE(YEAR(TODAY()),MONTH(TODAY()),1),18))-MONTH(IF(ISNUMBER(Suppliers!F69),Suppliers!F69,DATE(YEAR(TODAY()),MONTH(TODAY()),1))),12)=0,1,0),IF(Suppliers!E69="One-time",IF(18=0,1,0),1)))))),"")</f>
        <v/>
      </c>
      <c r="Y71" s="10" t="str">
        <f ca="1">IFERROR(IF(OR(19&gt;=$B$1,Suppliers!A69="",NOT(ISNUMBER(Suppliers!D69)),Suppliers!L69="Expired",Suppliers!L69="Terminate"),"",Suppliers!D69*-1*IF(Suppliers!E69="Monthly",IF(AND(ISNUMBER(Suppliers!G69),(YEAR(EDATE(DATE(YEAR(TODAY()),MONTH(TODAY()),1),19))*12+MONTH(EDATE(DATE(YEAR(TODAY()),MONTH(TODAY()),1),19)))&gt;(YEAR(Suppliers!G69)*12+MONTH(Suppliers!G69))),"",1),IF(Suppliers!E69="Quarterly",IF(MOD((YEAR(EDATE(DATE(YEAR(TODAY()),MONTH(TODAY()),1),19))-YEAR(IF(ISNUMBER(Suppliers!F69),Suppliers!F69,DATE(YEAR(TODAY()),MONTH(TODAY()),1))))*12+MONTH(EDATE(DATE(YEAR(TODAY()),MONTH(TODAY()),1),19))-MONTH(IF(ISNUMBER(Suppliers!F69),Suppliers!F69,DATE(YEAR(TODAY()),MONTH(TODAY()),1))),3)=0,1,0),IF(Suppliers!E69="Semi-annual",IF(MOD((YEAR(EDATE(DATE(YEAR(TODAY()),MONTH(TODAY()),1),19))-YEAR(IF(ISNUMBER(Suppliers!F69),Suppliers!F69,DATE(YEAR(TODAY()),MONTH(TODAY()),1))))*12+MONTH(EDATE(DATE(YEAR(TODAY()),MONTH(TODAY()),1),19))-MONTH(IF(ISNUMBER(Suppliers!F69),Suppliers!F69,DATE(YEAR(TODAY()),MONTH(TODAY()),1))),6)=0,1,0),IF(Suppliers!E69="Annual",IF(MOD((YEAR(EDATE(DATE(YEAR(TODAY()),MONTH(TODAY()),1),19))-YEAR(IF(ISNUMBER(Suppliers!F69),Suppliers!F69,DATE(YEAR(TODAY()),MONTH(TODAY()),1))))*12+MONTH(EDATE(DATE(YEAR(TODAY()),MONTH(TODAY()),1),19))-MONTH(IF(ISNUMBER(Suppliers!F69),Suppliers!F69,DATE(YEAR(TODAY()),MONTH(TODAY()),1))),12)=0,1,0),IF(Suppliers!E69="One-time",IF(19=0,1,0),1)))))),"")</f>
        <v/>
      </c>
      <c r="Z71" s="10" t="str">
        <f ca="1">IFERROR(IF(OR(20&gt;=$B$1,Suppliers!A69="",NOT(ISNUMBER(Suppliers!D69)),Suppliers!L69="Expired",Suppliers!L69="Terminate"),"",Suppliers!D69*-1*IF(Suppliers!E69="Monthly",IF(AND(ISNUMBER(Suppliers!G69),(YEAR(EDATE(DATE(YEAR(TODAY()),MONTH(TODAY()),1),20))*12+MONTH(EDATE(DATE(YEAR(TODAY()),MONTH(TODAY()),1),20)))&gt;(YEAR(Suppliers!G69)*12+MONTH(Suppliers!G69))),"",1),IF(Suppliers!E69="Quarterly",IF(MOD((YEAR(EDATE(DATE(YEAR(TODAY()),MONTH(TODAY()),1),20))-YEAR(IF(ISNUMBER(Suppliers!F69),Suppliers!F69,DATE(YEAR(TODAY()),MONTH(TODAY()),1))))*12+MONTH(EDATE(DATE(YEAR(TODAY()),MONTH(TODAY()),1),20))-MONTH(IF(ISNUMBER(Suppliers!F69),Suppliers!F69,DATE(YEAR(TODAY()),MONTH(TODAY()),1))),3)=0,1,0),IF(Suppliers!E69="Semi-annual",IF(MOD((YEAR(EDATE(DATE(YEAR(TODAY()),MONTH(TODAY()),1),20))-YEAR(IF(ISNUMBER(Suppliers!F69),Suppliers!F69,DATE(YEAR(TODAY()),MONTH(TODAY()),1))))*12+MONTH(EDATE(DATE(YEAR(TODAY()),MONTH(TODAY()),1),20))-MONTH(IF(ISNUMBER(Suppliers!F69),Suppliers!F69,DATE(YEAR(TODAY()),MONTH(TODAY()),1))),6)=0,1,0),IF(Suppliers!E69="Annual",IF(MOD((YEAR(EDATE(DATE(YEAR(TODAY()),MONTH(TODAY()),1),20))-YEAR(IF(ISNUMBER(Suppliers!F69),Suppliers!F69,DATE(YEAR(TODAY()),MONTH(TODAY()),1))))*12+MONTH(EDATE(DATE(YEAR(TODAY()),MONTH(TODAY()),1),20))-MONTH(IF(ISNUMBER(Suppliers!F69),Suppliers!F69,DATE(YEAR(TODAY()),MONTH(TODAY()),1))),12)=0,1,0),IF(Suppliers!E69="One-time",IF(20=0,1,0),1)))))),"")</f>
        <v/>
      </c>
      <c r="AA71" s="10" t="str">
        <f ca="1">IFERROR(IF(OR(21&gt;=$B$1,Suppliers!A69="",NOT(ISNUMBER(Suppliers!D69)),Suppliers!L69="Expired",Suppliers!L69="Terminate"),"",Suppliers!D69*-1*IF(Suppliers!E69="Monthly",IF(AND(ISNUMBER(Suppliers!G69),(YEAR(EDATE(DATE(YEAR(TODAY()),MONTH(TODAY()),1),21))*12+MONTH(EDATE(DATE(YEAR(TODAY()),MONTH(TODAY()),1),21)))&gt;(YEAR(Suppliers!G69)*12+MONTH(Suppliers!G69))),"",1),IF(Suppliers!E69="Quarterly",IF(MOD((YEAR(EDATE(DATE(YEAR(TODAY()),MONTH(TODAY()),1),21))-YEAR(IF(ISNUMBER(Suppliers!F69),Suppliers!F69,DATE(YEAR(TODAY()),MONTH(TODAY()),1))))*12+MONTH(EDATE(DATE(YEAR(TODAY()),MONTH(TODAY()),1),21))-MONTH(IF(ISNUMBER(Suppliers!F69),Suppliers!F69,DATE(YEAR(TODAY()),MONTH(TODAY()),1))),3)=0,1,0),IF(Suppliers!E69="Semi-annual",IF(MOD((YEAR(EDATE(DATE(YEAR(TODAY()),MONTH(TODAY()),1),21))-YEAR(IF(ISNUMBER(Suppliers!F69),Suppliers!F69,DATE(YEAR(TODAY()),MONTH(TODAY()),1))))*12+MONTH(EDATE(DATE(YEAR(TODAY()),MONTH(TODAY()),1),21))-MONTH(IF(ISNUMBER(Suppliers!F69),Suppliers!F69,DATE(YEAR(TODAY()),MONTH(TODAY()),1))),6)=0,1,0),IF(Suppliers!E69="Annual",IF(MOD((YEAR(EDATE(DATE(YEAR(TODAY()),MONTH(TODAY()),1),21))-YEAR(IF(ISNUMBER(Suppliers!F69),Suppliers!F69,DATE(YEAR(TODAY()),MONTH(TODAY()),1))))*12+MONTH(EDATE(DATE(YEAR(TODAY()),MONTH(TODAY()),1),21))-MONTH(IF(ISNUMBER(Suppliers!F69),Suppliers!F69,DATE(YEAR(TODAY()),MONTH(TODAY()),1))),12)=0,1,0),IF(Suppliers!E69="One-time",IF(21=0,1,0),1)))))),"")</f>
        <v/>
      </c>
      <c r="AB71" s="10" t="str">
        <f ca="1">IFERROR(IF(OR(22&gt;=$B$1,Suppliers!A69="",NOT(ISNUMBER(Suppliers!D69)),Suppliers!L69="Expired",Suppliers!L69="Terminate"),"",Suppliers!D69*-1*IF(Suppliers!E69="Monthly",IF(AND(ISNUMBER(Suppliers!G69),(YEAR(EDATE(DATE(YEAR(TODAY()),MONTH(TODAY()),1),22))*12+MONTH(EDATE(DATE(YEAR(TODAY()),MONTH(TODAY()),1),22)))&gt;(YEAR(Suppliers!G69)*12+MONTH(Suppliers!G69))),"",1),IF(Suppliers!E69="Quarterly",IF(MOD((YEAR(EDATE(DATE(YEAR(TODAY()),MONTH(TODAY()),1),22))-YEAR(IF(ISNUMBER(Suppliers!F69),Suppliers!F69,DATE(YEAR(TODAY()),MONTH(TODAY()),1))))*12+MONTH(EDATE(DATE(YEAR(TODAY()),MONTH(TODAY()),1),22))-MONTH(IF(ISNUMBER(Suppliers!F69),Suppliers!F69,DATE(YEAR(TODAY()),MONTH(TODAY()),1))),3)=0,1,0),IF(Suppliers!E69="Semi-annual",IF(MOD((YEAR(EDATE(DATE(YEAR(TODAY()),MONTH(TODAY()),1),22))-YEAR(IF(ISNUMBER(Suppliers!F69),Suppliers!F69,DATE(YEAR(TODAY()),MONTH(TODAY()),1))))*12+MONTH(EDATE(DATE(YEAR(TODAY()),MONTH(TODAY()),1),22))-MONTH(IF(ISNUMBER(Suppliers!F69),Suppliers!F69,DATE(YEAR(TODAY()),MONTH(TODAY()),1))),6)=0,1,0),IF(Suppliers!E69="Annual",IF(MOD((YEAR(EDATE(DATE(YEAR(TODAY()),MONTH(TODAY()),1),22))-YEAR(IF(ISNUMBER(Suppliers!F69),Suppliers!F69,DATE(YEAR(TODAY()),MONTH(TODAY()),1))))*12+MONTH(EDATE(DATE(YEAR(TODAY()),MONTH(TODAY()),1),22))-MONTH(IF(ISNUMBER(Suppliers!F69),Suppliers!F69,DATE(YEAR(TODAY()),MONTH(TODAY()),1))),12)=0,1,0),IF(Suppliers!E69="One-time",IF(22=0,1,0),1)))))),"")</f>
        <v/>
      </c>
      <c r="AC71" s="10" t="str">
        <f ca="1">IFERROR(IF(OR(23&gt;=$B$1,Suppliers!A69="",NOT(ISNUMBER(Suppliers!D69)),Suppliers!L69="Expired",Suppliers!L69="Terminate"),"",Suppliers!D69*-1*IF(Suppliers!E69="Monthly",IF(AND(ISNUMBER(Suppliers!G69),(YEAR(EDATE(DATE(YEAR(TODAY()),MONTH(TODAY()),1),23))*12+MONTH(EDATE(DATE(YEAR(TODAY()),MONTH(TODAY()),1),23)))&gt;(YEAR(Suppliers!G69)*12+MONTH(Suppliers!G69))),"",1),IF(Suppliers!E69="Quarterly",IF(MOD((YEAR(EDATE(DATE(YEAR(TODAY()),MONTH(TODAY()),1),23))-YEAR(IF(ISNUMBER(Suppliers!F69),Suppliers!F69,DATE(YEAR(TODAY()),MONTH(TODAY()),1))))*12+MONTH(EDATE(DATE(YEAR(TODAY()),MONTH(TODAY()),1),23))-MONTH(IF(ISNUMBER(Suppliers!F69),Suppliers!F69,DATE(YEAR(TODAY()),MONTH(TODAY()),1))),3)=0,1,0),IF(Suppliers!E69="Semi-annual",IF(MOD((YEAR(EDATE(DATE(YEAR(TODAY()),MONTH(TODAY()),1),23))-YEAR(IF(ISNUMBER(Suppliers!F69),Suppliers!F69,DATE(YEAR(TODAY()),MONTH(TODAY()),1))))*12+MONTH(EDATE(DATE(YEAR(TODAY()),MONTH(TODAY()),1),23))-MONTH(IF(ISNUMBER(Suppliers!F69),Suppliers!F69,DATE(YEAR(TODAY()),MONTH(TODAY()),1))),6)=0,1,0),IF(Suppliers!E69="Annual",IF(MOD((YEAR(EDATE(DATE(YEAR(TODAY()),MONTH(TODAY()),1),23))-YEAR(IF(ISNUMBER(Suppliers!F69),Suppliers!F69,DATE(YEAR(TODAY()),MONTH(TODAY()),1))))*12+MONTH(EDATE(DATE(YEAR(TODAY()),MONTH(TODAY()),1),23))-MONTH(IF(ISNUMBER(Suppliers!F69),Suppliers!F69,DATE(YEAR(TODAY()),MONTH(TODAY()),1))),12)=0,1,0),IF(Suppliers!E69="One-time",IF(23=0,1,0),1)))))),"")</f>
        <v/>
      </c>
    </row>
    <row r="72" spans="1:29" ht="15" customHeight="1" x14ac:dyDescent="0.35">
      <c r="A72" s="4" t="s">
        <v>81</v>
      </c>
      <c r="B72" s="4" t="str">
        <f>IF(Clients!A2="","",Clients!A2)</f>
        <v>Sample Client Corp</v>
      </c>
      <c r="C72" s="10">
        <f>IF(Clients!C2="","",Clients!C2)</f>
        <v>8403.36</v>
      </c>
      <c r="D72" s="10">
        <f>IF(Clients!D2="","",Clients!D2)</f>
        <v>10000</v>
      </c>
      <c r="E72" s="4" t="str">
        <f>IF(Clients!E2="","",Clients!E2)</f>
        <v>Monthly</v>
      </c>
      <c r="F72" s="10">
        <f ca="1">IFERROR(IF(OR(0&gt;=$B$1,Clients!A2="",NOT(ISNUMBER(Clients!D2)),Clients!L2="Expired",Clients!L2="Terminate"),"",Clients!D2*1*IF(Clients!E2="Monthly",IF(AND(ISNUMBER(Clients!G2),(YEAR(EDATE(DATE(YEAR(TODAY()),MONTH(TODAY()),1),0))*12+MONTH(EDATE(DATE(YEAR(TODAY()),MONTH(TODAY()),1),0)))&gt;(YEAR(Clients!G2)*12+MONTH(Clients!G2))),"",1),IF(Clients!E2="Quarterly",IF(MOD((YEAR(EDATE(DATE(YEAR(TODAY()),MONTH(TODAY()),1),0))-YEAR(IF(ISNUMBER(Clients!F2),Clients!F2,DATE(YEAR(TODAY()),MONTH(TODAY()),1))))*12+MONTH(EDATE(DATE(YEAR(TODAY()),MONTH(TODAY()),1),0))-MONTH(IF(ISNUMBER(Clients!F2),Clients!F2,DATE(YEAR(TODAY()),MONTH(TODAY()),1))),3)=0,1,0),IF(Clients!E2="Semi-annual",IF(MOD((YEAR(EDATE(DATE(YEAR(TODAY()),MONTH(TODAY()),1),0))-YEAR(IF(ISNUMBER(Clients!F2),Clients!F2,DATE(YEAR(TODAY()),MONTH(TODAY()),1))))*12+MONTH(EDATE(DATE(YEAR(TODAY()),MONTH(TODAY()),1),0))-MONTH(IF(ISNUMBER(Clients!F2),Clients!F2,DATE(YEAR(TODAY()),MONTH(TODAY()),1))),6)=0,1,0),IF(Clients!E2="Annual",IF(MOD((YEAR(EDATE(DATE(YEAR(TODAY()),MONTH(TODAY()),1),0))-YEAR(IF(ISNUMBER(Clients!F2),Clients!F2,DATE(YEAR(TODAY()),MONTH(TODAY()),1))))*12+MONTH(EDATE(DATE(YEAR(TODAY()),MONTH(TODAY()),1),0))-MONTH(IF(ISNUMBER(Clients!F2),Clients!F2,DATE(YEAR(TODAY()),MONTH(TODAY()),1))),12)=0,1,0),IF(Clients!E2="One-time",IF(0=0,1,0),1)))))),"")</f>
        <v>10000</v>
      </c>
      <c r="G72" s="10">
        <f ca="1">IFERROR(IF(OR(1&gt;=$B$1,Clients!A2="",NOT(ISNUMBER(Clients!D2)),Clients!L2="Expired",Clients!L2="Terminate"),"",Clients!D2*1*IF(Clients!E2="Monthly",IF(AND(ISNUMBER(Clients!G2),(YEAR(EDATE(DATE(YEAR(TODAY()),MONTH(TODAY()),1),1))*12+MONTH(EDATE(DATE(YEAR(TODAY()),MONTH(TODAY()),1),1)))&gt;(YEAR(Clients!G2)*12+MONTH(Clients!G2))),"",1),IF(Clients!E2="Quarterly",IF(MOD((YEAR(EDATE(DATE(YEAR(TODAY()),MONTH(TODAY()),1),1))-YEAR(IF(ISNUMBER(Clients!F2),Clients!F2,DATE(YEAR(TODAY()),MONTH(TODAY()),1))))*12+MONTH(EDATE(DATE(YEAR(TODAY()),MONTH(TODAY()),1),1))-MONTH(IF(ISNUMBER(Clients!F2),Clients!F2,DATE(YEAR(TODAY()),MONTH(TODAY()),1))),3)=0,1,0),IF(Clients!E2="Semi-annual",IF(MOD((YEAR(EDATE(DATE(YEAR(TODAY()),MONTH(TODAY()),1),1))-YEAR(IF(ISNUMBER(Clients!F2),Clients!F2,DATE(YEAR(TODAY()),MONTH(TODAY()),1))))*12+MONTH(EDATE(DATE(YEAR(TODAY()),MONTH(TODAY()),1),1))-MONTH(IF(ISNUMBER(Clients!F2),Clients!F2,DATE(YEAR(TODAY()),MONTH(TODAY()),1))),6)=0,1,0),IF(Clients!E2="Annual",IF(MOD((YEAR(EDATE(DATE(YEAR(TODAY()),MONTH(TODAY()),1),1))-YEAR(IF(ISNUMBER(Clients!F2),Clients!F2,DATE(YEAR(TODAY()),MONTH(TODAY()),1))))*12+MONTH(EDATE(DATE(YEAR(TODAY()),MONTH(TODAY()),1),1))-MONTH(IF(ISNUMBER(Clients!F2),Clients!F2,DATE(YEAR(TODAY()),MONTH(TODAY()),1))),12)=0,1,0),IF(Clients!E2="One-time",IF(1=0,1,0),1)))))),"")</f>
        <v>10000</v>
      </c>
      <c r="H72" s="10">
        <f ca="1">IFERROR(IF(OR(2&gt;=$B$1,Clients!A2="",NOT(ISNUMBER(Clients!D2)),Clients!L2="Expired",Clients!L2="Terminate"),"",Clients!D2*1*IF(Clients!E2="Monthly",IF(AND(ISNUMBER(Clients!G2),(YEAR(EDATE(DATE(YEAR(TODAY()),MONTH(TODAY()),1),2))*12+MONTH(EDATE(DATE(YEAR(TODAY()),MONTH(TODAY()),1),2)))&gt;(YEAR(Clients!G2)*12+MONTH(Clients!G2))),"",1),IF(Clients!E2="Quarterly",IF(MOD((YEAR(EDATE(DATE(YEAR(TODAY()),MONTH(TODAY()),1),2))-YEAR(IF(ISNUMBER(Clients!F2),Clients!F2,DATE(YEAR(TODAY()),MONTH(TODAY()),1))))*12+MONTH(EDATE(DATE(YEAR(TODAY()),MONTH(TODAY()),1),2))-MONTH(IF(ISNUMBER(Clients!F2),Clients!F2,DATE(YEAR(TODAY()),MONTH(TODAY()),1))),3)=0,1,0),IF(Clients!E2="Semi-annual",IF(MOD((YEAR(EDATE(DATE(YEAR(TODAY()),MONTH(TODAY()),1),2))-YEAR(IF(ISNUMBER(Clients!F2),Clients!F2,DATE(YEAR(TODAY()),MONTH(TODAY()),1))))*12+MONTH(EDATE(DATE(YEAR(TODAY()),MONTH(TODAY()),1),2))-MONTH(IF(ISNUMBER(Clients!F2),Clients!F2,DATE(YEAR(TODAY()),MONTH(TODAY()),1))),6)=0,1,0),IF(Clients!E2="Annual",IF(MOD((YEAR(EDATE(DATE(YEAR(TODAY()),MONTH(TODAY()),1),2))-YEAR(IF(ISNUMBER(Clients!F2),Clients!F2,DATE(YEAR(TODAY()),MONTH(TODAY()),1))))*12+MONTH(EDATE(DATE(YEAR(TODAY()),MONTH(TODAY()),1),2))-MONTH(IF(ISNUMBER(Clients!F2),Clients!F2,DATE(YEAR(TODAY()),MONTH(TODAY()),1))),12)=0,1,0),IF(Clients!E2="One-time",IF(2=0,1,0),1)))))),"")</f>
        <v>10000</v>
      </c>
      <c r="I72" s="10" t="str">
        <f ca="1">IFERROR(IF(OR(3&gt;=$B$1,Clients!A2="",NOT(ISNUMBER(Clients!D2)),Clients!L2="Expired",Clients!L2="Terminate"),"",Clients!D2*1*IF(Clients!E2="Monthly",IF(AND(ISNUMBER(Clients!G2),(YEAR(EDATE(DATE(YEAR(TODAY()),MONTH(TODAY()),1),3))*12+MONTH(EDATE(DATE(YEAR(TODAY()),MONTH(TODAY()),1),3)))&gt;(YEAR(Clients!G2)*12+MONTH(Clients!G2))),"",1),IF(Clients!E2="Quarterly",IF(MOD((YEAR(EDATE(DATE(YEAR(TODAY()),MONTH(TODAY()),1),3))-YEAR(IF(ISNUMBER(Clients!F2),Clients!F2,DATE(YEAR(TODAY()),MONTH(TODAY()),1))))*12+MONTH(EDATE(DATE(YEAR(TODAY()),MONTH(TODAY()),1),3))-MONTH(IF(ISNUMBER(Clients!F2),Clients!F2,DATE(YEAR(TODAY()),MONTH(TODAY()),1))),3)=0,1,0),IF(Clients!E2="Semi-annual",IF(MOD((YEAR(EDATE(DATE(YEAR(TODAY()),MONTH(TODAY()),1),3))-YEAR(IF(ISNUMBER(Clients!F2),Clients!F2,DATE(YEAR(TODAY()),MONTH(TODAY()),1))))*12+MONTH(EDATE(DATE(YEAR(TODAY()),MONTH(TODAY()),1),3))-MONTH(IF(ISNUMBER(Clients!F2),Clients!F2,DATE(YEAR(TODAY()),MONTH(TODAY()),1))),6)=0,1,0),IF(Clients!E2="Annual",IF(MOD((YEAR(EDATE(DATE(YEAR(TODAY()),MONTH(TODAY()),1),3))-YEAR(IF(ISNUMBER(Clients!F2),Clients!F2,DATE(YEAR(TODAY()),MONTH(TODAY()),1))))*12+MONTH(EDATE(DATE(YEAR(TODAY()),MONTH(TODAY()),1),3))-MONTH(IF(ISNUMBER(Clients!F2),Clients!F2,DATE(YEAR(TODAY()),MONTH(TODAY()),1))),12)=0,1,0),IF(Clients!E2="One-time",IF(3=0,1,0),1)))))),"")</f>
        <v/>
      </c>
      <c r="J72" s="10" t="str">
        <f ca="1">IFERROR(IF(OR(4&gt;=$B$1,Clients!A2="",NOT(ISNUMBER(Clients!D2)),Clients!L2="Expired",Clients!L2="Terminate"),"",Clients!D2*1*IF(Clients!E2="Monthly",IF(AND(ISNUMBER(Clients!G2),(YEAR(EDATE(DATE(YEAR(TODAY()),MONTH(TODAY()),1),4))*12+MONTH(EDATE(DATE(YEAR(TODAY()),MONTH(TODAY()),1),4)))&gt;(YEAR(Clients!G2)*12+MONTH(Clients!G2))),"",1),IF(Clients!E2="Quarterly",IF(MOD((YEAR(EDATE(DATE(YEAR(TODAY()),MONTH(TODAY()),1),4))-YEAR(IF(ISNUMBER(Clients!F2),Clients!F2,DATE(YEAR(TODAY()),MONTH(TODAY()),1))))*12+MONTH(EDATE(DATE(YEAR(TODAY()),MONTH(TODAY()),1),4))-MONTH(IF(ISNUMBER(Clients!F2),Clients!F2,DATE(YEAR(TODAY()),MONTH(TODAY()),1))),3)=0,1,0),IF(Clients!E2="Semi-annual",IF(MOD((YEAR(EDATE(DATE(YEAR(TODAY()),MONTH(TODAY()),1),4))-YEAR(IF(ISNUMBER(Clients!F2),Clients!F2,DATE(YEAR(TODAY()),MONTH(TODAY()),1))))*12+MONTH(EDATE(DATE(YEAR(TODAY()),MONTH(TODAY()),1),4))-MONTH(IF(ISNUMBER(Clients!F2),Clients!F2,DATE(YEAR(TODAY()),MONTH(TODAY()),1))),6)=0,1,0),IF(Clients!E2="Annual",IF(MOD((YEAR(EDATE(DATE(YEAR(TODAY()),MONTH(TODAY()),1),4))-YEAR(IF(ISNUMBER(Clients!F2),Clients!F2,DATE(YEAR(TODAY()),MONTH(TODAY()),1))))*12+MONTH(EDATE(DATE(YEAR(TODAY()),MONTH(TODAY()),1),4))-MONTH(IF(ISNUMBER(Clients!F2),Clients!F2,DATE(YEAR(TODAY()),MONTH(TODAY()),1))),12)=0,1,0),IF(Clients!E2="One-time",IF(4=0,1,0),1)))))),"")</f>
        <v/>
      </c>
      <c r="K72" s="10" t="str">
        <f ca="1">IFERROR(IF(OR(5&gt;=$B$1,Clients!A2="",NOT(ISNUMBER(Clients!D2)),Clients!L2="Expired",Clients!L2="Terminate"),"",Clients!D2*1*IF(Clients!E2="Monthly",IF(AND(ISNUMBER(Clients!G2),(YEAR(EDATE(DATE(YEAR(TODAY()),MONTH(TODAY()),1),5))*12+MONTH(EDATE(DATE(YEAR(TODAY()),MONTH(TODAY()),1),5)))&gt;(YEAR(Clients!G2)*12+MONTH(Clients!G2))),"",1),IF(Clients!E2="Quarterly",IF(MOD((YEAR(EDATE(DATE(YEAR(TODAY()),MONTH(TODAY()),1),5))-YEAR(IF(ISNUMBER(Clients!F2),Clients!F2,DATE(YEAR(TODAY()),MONTH(TODAY()),1))))*12+MONTH(EDATE(DATE(YEAR(TODAY()),MONTH(TODAY()),1),5))-MONTH(IF(ISNUMBER(Clients!F2),Clients!F2,DATE(YEAR(TODAY()),MONTH(TODAY()),1))),3)=0,1,0),IF(Clients!E2="Semi-annual",IF(MOD((YEAR(EDATE(DATE(YEAR(TODAY()),MONTH(TODAY()),1),5))-YEAR(IF(ISNUMBER(Clients!F2),Clients!F2,DATE(YEAR(TODAY()),MONTH(TODAY()),1))))*12+MONTH(EDATE(DATE(YEAR(TODAY()),MONTH(TODAY()),1),5))-MONTH(IF(ISNUMBER(Clients!F2),Clients!F2,DATE(YEAR(TODAY()),MONTH(TODAY()),1))),6)=0,1,0),IF(Clients!E2="Annual",IF(MOD((YEAR(EDATE(DATE(YEAR(TODAY()),MONTH(TODAY()),1),5))-YEAR(IF(ISNUMBER(Clients!F2),Clients!F2,DATE(YEAR(TODAY()),MONTH(TODAY()),1))))*12+MONTH(EDATE(DATE(YEAR(TODAY()),MONTH(TODAY()),1),5))-MONTH(IF(ISNUMBER(Clients!F2),Clients!F2,DATE(YEAR(TODAY()),MONTH(TODAY()),1))),12)=0,1,0),IF(Clients!E2="One-time",IF(5=0,1,0),1)))))),"")</f>
        <v/>
      </c>
      <c r="L72" s="10" t="str">
        <f ca="1">IFERROR(IF(OR(6&gt;=$B$1,Clients!A2="",NOT(ISNUMBER(Clients!D2)),Clients!L2="Expired",Clients!L2="Terminate"),"",Clients!D2*1*IF(Clients!E2="Monthly",IF(AND(ISNUMBER(Clients!G2),(YEAR(EDATE(DATE(YEAR(TODAY()),MONTH(TODAY()),1),6))*12+MONTH(EDATE(DATE(YEAR(TODAY()),MONTH(TODAY()),1),6)))&gt;(YEAR(Clients!G2)*12+MONTH(Clients!G2))),"",1),IF(Clients!E2="Quarterly",IF(MOD((YEAR(EDATE(DATE(YEAR(TODAY()),MONTH(TODAY()),1),6))-YEAR(IF(ISNUMBER(Clients!F2),Clients!F2,DATE(YEAR(TODAY()),MONTH(TODAY()),1))))*12+MONTH(EDATE(DATE(YEAR(TODAY()),MONTH(TODAY()),1),6))-MONTH(IF(ISNUMBER(Clients!F2),Clients!F2,DATE(YEAR(TODAY()),MONTH(TODAY()),1))),3)=0,1,0),IF(Clients!E2="Semi-annual",IF(MOD((YEAR(EDATE(DATE(YEAR(TODAY()),MONTH(TODAY()),1),6))-YEAR(IF(ISNUMBER(Clients!F2),Clients!F2,DATE(YEAR(TODAY()),MONTH(TODAY()),1))))*12+MONTH(EDATE(DATE(YEAR(TODAY()),MONTH(TODAY()),1),6))-MONTH(IF(ISNUMBER(Clients!F2),Clients!F2,DATE(YEAR(TODAY()),MONTH(TODAY()),1))),6)=0,1,0),IF(Clients!E2="Annual",IF(MOD((YEAR(EDATE(DATE(YEAR(TODAY()),MONTH(TODAY()),1),6))-YEAR(IF(ISNUMBER(Clients!F2),Clients!F2,DATE(YEAR(TODAY()),MONTH(TODAY()),1))))*12+MONTH(EDATE(DATE(YEAR(TODAY()),MONTH(TODAY()),1),6))-MONTH(IF(ISNUMBER(Clients!F2),Clients!F2,DATE(YEAR(TODAY()),MONTH(TODAY()),1))),12)=0,1,0),IF(Clients!E2="One-time",IF(6=0,1,0),1)))))),"")</f>
        <v/>
      </c>
      <c r="M72" s="10" t="str">
        <f ca="1">IFERROR(IF(OR(7&gt;=$B$1,Clients!A2="",NOT(ISNUMBER(Clients!D2)),Clients!L2="Expired",Clients!L2="Terminate"),"",Clients!D2*1*IF(Clients!E2="Monthly",IF(AND(ISNUMBER(Clients!G2),(YEAR(EDATE(DATE(YEAR(TODAY()),MONTH(TODAY()),1),7))*12+MONTH(EDATE(DATE(YEAR(TODAY()),MONTH(TODAY()),1),7)))&gt;(YEAR(Clients!G2)*12+MONTH(Clients!G2))),"",1),IF(Clients!E2="Quarterly",IF(MOD((YEAR(EDATE(DATE(YEAR(TODAY()),MONTH(TODAY()),1),7))-YEAR(IF(ISNUMBER(Clients!F2),Clients!F2,DATE(YEAR(TODAY()),MONTH(TODAY()),1))))*12+MONTH(EDATE(DATE(YEAR(TODAY()),MONTH(TODAY()),1),7))-MONTH(IF(ISNUMBER(Clients!F2),Clients!F2,DATE(YEAR(TODAY()),MONTH(TODAY()),1))),3)=0,1,0),IF(Clients!E2="Semi-annual",IF(MOD((YEAR(EDATE(DATE(YEAR(TODAY()),MONTH(TODAY()),1),7))-YEAR(IF(ISNUMBER(Clients!F2),Clients!F2,DATE(YEAR(TODAY()),MONTH(TODAY()),1))))*12+MONTH(EDATE(DATE(YEAR(TODAY()),MONTH(TODAY()),1),7))-MONTH(IF(ISNUMBER(Clients!F2),Clients!F2,DATE(YEAR(TODAY()),MONTH(TODAY()),1))),6)=0,1,0),IF(Clients!E2="Annual",IF(MOD((YEAR(EDATE(DATE(YEAR(TODAY()),MONTH(TODAY()),1),7))-YEAR(IF(ISNUMBER(Clients!F2),Clients!F2,DATE(YEAR(TODAY()),MONTH(TODAY()),1))))*12+MONTH(EDATE(DATE(YEAR(TODAY()),MONTH(TODAY()),1),7))-MONTH(IF(ISNUMBER(Clients!F2),Clients!F2,DATE(YEAR(TODAY()),MONTH(TODAY()),1))),12)=0,1,0),IF(Clients!E2="One-time",IF(7=0,1,0),1)))))),"")</f>
        <v/>
      </c>
      <c r="N72" s="10" t="str">
        <f ca="1">IFERROR(IF(OR(8&gt;=$B$1,Clients!A2="",NOT(ISNUMBER(Clients!D2)),Clients!L2="Expired",Clients!L2="Terminate"),"",Clients!D2*1*IF(Clients!E2="Monthly",IF(AND(ISNUMBER(Clients!G2),(YEAR(EDATE(DATE(YEAR(TODAY()),MONTH(TODAY()),1),8))*12+MONTH(EDATE(DATE(YEAR(TODAY()),MONTH(TODAY()),1),8)))&gt;(YEAR(Clients!G2)*12+MONTH(Clients!G2))),"",1),IF(Clients!E2="Quarterly",IF(MOD((YEAR(EDATE(DATE(YEAR(TODAY()),MONTH(TODAY()),1),8))-YEAR(IF(ISNUMBER(Clients!F2),Clients!F2,DATE(YEAR(TODAY()),MONTH(TODAY()),1))))*12+MONTH(EDATE(DATE(YEAR(TODAY()),MONTH(TODAY()),1),8))-MONTH(IF(ISNUMBER(Clients!F2),Clients!F2,DATE(YEAR(TODAY()),MONTH(TODAY()),1))),3)=0,1,0),IF(Clients!E2="Semi-annual",IF(MOD((YEAR(EDATE(DATE(YEAR(TODAY()),MONTH(TODAY()),1),8))-YEAR(IF(ISNUMBER(Clients!F2),Clients!F2,DATE(YEAR(TODAY()),MONTH(TODAY()),1))))*12+MONTH(EDATE(DATE(YEAR(TODAY()),MONTH(TODAY()),1),8))-MONTH(IF(ISNUMBER(Clients!F2),Clients!F2,DATE(YEAR(TODAY()),MONTH(TODAY()),1))),6)=0,1,0),IF(Clients!E2="Annual",IF(MOD((YEAR(EDATE(DATE(YEAR(TODAY()),MONTH(TODAY()),1),8))-YEAR(IF(ISNUMBER(Clients!F2),Clients!F2,DATE(YEAR(TODAY()),MONTH(TODAY()),1))))*12+MONTH(EDATE(DATE(YEAR(TODAY()),MONTH(TODAY()),1),8))-MONTH(IF(ISNUMBER(Clients!F2),Clients!F2,DATE(YEAR(TODAY()),MONTH(TODAY()),1))),12)=0,1,0),IF(Clients!E2="One-time",IF(8=0,1,0),1)))))),"")</f>
        <v/>
      </c>
      <c r="O72" s="10" t="str">
        <f ca="1">IFERROR(IF(OR(9&gt;=$B$1,Clients!A2="",NOT(ISNUMBER(Clients!D2)),Clients!L2="Expired",Clients!L2="Terminate"),"",Clients!D2*1*IF(Clients!E2="Monthly",IF(AND(ISNUMBER(Clients!G2),(YEAR(EDATE(DATE(YEAR(TODAY()),MONTH(TODAY()),1),9))*12+MONTH(EDATE(DATE(YEAR(TODAY()),MONTH(TODAY()),1),9)))&gt;(YEAR(Clients!G2)*12+MONTH(Clients!G2))),"",1),IF(Clients!E2="Quarterly",IF(MOD((YEAR(EDATE(DATE(YEAR(TODAY()),MONTH(TODAY()),1),9))-YEAR(IF(ISNUMBER(Clients!F2),Clients!F2,DATE(YEAR(TODAY()),MONTH(TODAY()),1))))*12+MONTH(EDATE(DATE(YEAR(TODAY()),MONTH(TODAY()),1),9))-MONTH(IF(ISNUMBER(Clients!F2),Clients!F2,DATE(YEAR(TODAY()),MONTH(TODAY()),1))),3)=0,1,0),IF(Clients!E2="Semi-annual",IF(MOD((YEAR(EDATE(DATE(YEAR(TODAY()),MONTH(TODAY()),1),9))-YEAR(IF(ISNUMBER(Clients!F2),Clients!F2,DATE(YEAR(TODAY()),MONTH(TODAY()),1))))*12+MONTH(EDATE(DATE(YEAR(TODAY()),MONTH(TODAY()),1),9))-MONTH(IF(ISNUMBER(Clients!F2),Clients!F2,DATE(YEAR(TODAY()),MONTH(TODAY()),1))),6)=0,1,0),IF(Clients!E2="Annual",IF(MOD((YEAR(EDATE(DATE(YEAR(TODAY()),MONTH(TODAY()),1),9))-YEAR(IF(ISNUMBER(Clients!F2),Clients!F2,DATE(YEAR(TODAY()),MONTH(TODAY()),1))))*12+MONTH(EDATE(DATE(YEAR(TODAY()),MONTH(TODAY()),1),9))-MONTH(IF(ISNUMBER(Clients!F2),Clients!F2,DATE(YEAR(TODAY()),MONTH(TODAY()),1))),12)=0,1,0),IF(Clients!E2="One-time",IF(9=0,1,0),1)))))),"")</f>
        <v/>
      </c>
      <c r="P72" s="10" t="str">
        <f ca="1">IFERROR(IF(OR(10&gt;=$B$1,Clients!A2="",NOT(ISNUMBER(Clients!D2)),Clients!L2="Expired",Clients!L2="Terminate"),"",Clients!D2*1*IF(Clients!E2="Monthly",IF(AND(ISNUMBER(Clients!G2),(YEAR(EDATE(DATE(YEAR(TODAY()),MONTH(TODAY()),1),10))*12+MONTH(EDATE(DATE(YEAR(TODAY()),MONTH(TODAY()),1),10)))&gt;(YEAR(Clients!G2)*12+MONTH(Clients!G2))),"",1),IF(Clients!E2="Quarterly",IF(MOD((YEAR(EDATE(DATE(YEAR(TODAY()),MONTH(TODAY()),1),10))-YEAR(IF(ISNUMBER(Clients!F2),Clients!F2,DATE(YEAR(TODAY()),MONTH(TODAY()),1))))*12+MONTH(EDATE(DATE(YEAR(TODAY()),MONTH(TODAY()),1),10))-MONTH(IF(ISNUMBER(Clients!F2),Clients!F2,DATE(YEAR(TODAY()),MONTH(TODAY()),1))),3)=0,1,0),IF(Clients!E2="Semi-annual",IF(MOD((YEAR(EDATE(DATE(YEAR(TODAY()),MONTH(TODAY()),1),10))-YEAR(IF(ISNUMBER(Clients!F2),Clients!F2,DATE(YEAR(TODAY()),MONTH(TODAY()),1))))*12+MONTH(EDATE(DATE(YEAR(TODAY()),MONTH(TODAY()),1),10))-MONTH(IF(ISNUMBER(Clients!F2),Clients!F2,DATE(YEAR(TODAY()),MONTH(TODAY()),1))),6)=0,1,0),IF(Clients!E2="Annual",IF(MOD((YEAR(EDATE(DATE(YEAR(TODAY()),MONTH(TODAY()),1),10))-YEAR(IF(ISNUMBER(Clients!F2),Clients!F2,DATE(YEAR(TODAY()),MONTH(TODAY()),1))))*12+MONTH(EDATE(DATE(YEAR(TODAY()),MONTH(TODAY()),1),10))-MONTH(IF(ISNUMBER(Clients!F2),Clients!F2,DATE(YEAR(TODAY()),MONTH(TODAY()),1))),12)=0,1,0),IF(Clients!E2="One-time",IF(10=0,1,0),1)))))),"")</f>
        <v/>
      </c>
      <c r="Q72" s="10" t="str">
        <f ca="1">IFERROR(IF(OR(11&gt;=$B$1,Clients!A2="",NOT(ISNUMBER(Clients!D2)),Clients!L2="Expired",Clients!L2="Terminate"),"",Clients!D2*1*IF(Clients!E2="Monthly",IF(AND(ISNUMBER(Clients!G2),(YEAR(EDATE(DATE(YEAR(TODAY()),MONTH(TODAY()),1),11))*12+MONTH(EDATE(DATE(YEAR(TODAY()),MONTH(TODAY()),1),11)))&gt;(YEAR(Clients!G2)*12+MONTH(Clients!G2))),"",1),IF(Clients!E2="Quarterly",IF(MOD((YEAR(EDATE(DATE(YEAR(TODAY()),MONTH(TODAY()),1),11))-YEAR(IF(ISNUMBER(Clients!F2),Clients!F2,DATE(YEAR(TODAY()),MONTH(TODAY()),1))))*12+MONTH(EDATE(DATE(YEAR(TODAY()),MONTH(TODAY()),1),11))-MONTH(IF(ISNUMBER(Clients!F2),Clients!F2,DATE(YEAR(TODAY()),MONTH(TODAY()),1))),3)=0,1,0),IF(Clients!E2="Semi-annual",IF(MOD((YEAR(EDATE(DATE(YEAR(TODAY()),MONTH(TODAY()),1),11))-YEAR(IF(ISNUMBER(Clients!F2),Clients!F2,DATE(YEAR(TODAY()),MONTH(TODAY()),1))))*12+MONTH(EDATE(DATE(YEAR(TODAY()),MONTH(TODAY()),1),11))-MONTH(IF(ISNUMBER(Clients!F2),Clients!F2,DATE(YEAR(TODAY()),MONTH(TODAY()),1))),6)=0,1,0),IF(Clients!E2="Annual",IF(MOD((YEAR(EDATE(DATE(YEAR(TODAY()),MONTH(TODAY()),1),11))-YEAR(IF(ISNUMBER(Clients!F2),Clients!F2,DATE(YEAR(TODAY()),MONTH(TODAY()),1))))*12+MONTH(EDATE(DATE(YEAR(TODAY()),MONTH(TODAY()),1),11))-MONTH(IF(ISNUMBER(Clients!F2),Clients!F2,DATE(YEAR(TODAY()),MONTH(TODAY()),1))),12)=0,1,0),IF(Clients!E2="One-time",IF(11=0,1,0),1)))))),"")</f>
        <v/>
      </c>
      <c r="R72" s="10" t="str">
        <f ca="1">IFERROR(IF(OR(12&gt;=$B$1,Suppliers!A70="",NOT(ISNUMBER(Suppliers!D70)),Suppliers!L70="Expired",Suppliers!L70="Terminate"),"",Suppliers!D70*-1*IF(Suppliers!E70="Monthly",IF(AND(ISNUMBER(Suppliers!G70),(YEAR(EDATE(DATE(YEAR(TODAY()),MONTH(TODAY()),1),12))*12+MONTH(EDATE(DATE(YEAR(TODAY()),MONTH(TODAY()),1),12)))&gt;(YEAR(Suppliers!G70)*12+MONTH(Suppliers!G70))),"",1),IF(Suppliers!E70="Quarterly",IF(MOD((YEAR(EDATE(DATE(YEAR(TODAY()),MONTH(TODAY()),1),12))-YEAR(IF(ISNUMBER(Suppliers!F70),Suppliers!F70,DATE(YEAR(TODAY()),MONTH(TODAY()),1))))*12+MONTH(EDATE(DATE(YEAR(TODAY()),MONTH(TODAY()),1),12))-MONTH(IF(ISNUMBER(Suppliers!F70),Suppliers!F70,DATE(YEAR(TODAY()),MONTH(TODAY()),1))),3)=0,1,0),IF(Suppliers!E70="Semi-annual",IF(MOD((YEAR(EDATE(DATE(YEAR(TODAY()),MONTH(TODAY()),1),12))-YEAR(IF(ISNUMBER(Suppliers!F70),Suppliers!F70,DATE(YEAR(TODAY()),MONTH(TODAY()),1))))*12+MONTH(EDATE(DATE(YEAR(TODAY()),MONTH(TODAY()),1),12))-MONTH(IF(ISNUMBER(Suppliers!F70),Suppliers!F70,DATE(YEAR(TODAY()),MONTH(TODAY()),1))),6)=0,1,0),IF(Suppliers!E70="Annual",IF(MOD((YEAR(EDATE(DATE(YEAR(TODAY()),MONTH(TODAY()),1),12))-YEAR(IF(ISNUMBER(Suppliers!F70),Suppliers!F70,DATE(YEAR(TODAY()),MONTH(TODAY()),1))))*12+MONTH(EDATE(DATE(YEAR(TODAY()),MONTH(TODAY()),1),12))-MONTH(IF(ISNUMBER(Suppliers!F70),Suppliers!F70,DATE(YEAR(TODAY()),MONTH(TODAY()),1))),12)=0,1,0),IF(Suppliers!E70="One-time",IF(12=0,1,0),1)))))),"")</f>
        <v/>
      </c>
      <c r="S72" s="10" t="str">
        <f ca="1">IFERROR(IF(OR(13&gt;=$B$1,Suppliers!A70="",NOT(ISNUMBER(Suppliers!D70)),Suppliers!L70="Expired",Suppliers!L70="Terminate"),"",Suppliers!D70*-1*IF(Suppliers!E70="Monthly",IF(AND(ISNUMBER(Suppliers!G70),(YEAR(EDATE(DATE(YEAR(TODAY()),MONTH(TODAY()),1),13))*12+MONTH(EDATE(DATE(YEAR(TODAY()),MONTH(TODAY()),1),13)))&gt;(YEAR(Suppliers!G70)*12+MONTH(Suppliers!G70))),"",1),IF(Suppliers!E70="Quarterly",IF(MOD((YEAR(EDATE(DATE(YEAR(TODAY()),MONTH(TODAY()),1),13))-YEAR(IF(ISNUMBER(Suppliers!F70),Suppliers!F70,DATE(YEAR(TODAY()),MONTH(TODAY()),1))))*12+MONTH(EDATE(DATE(YEAR(TODAY()),MONTH(TODAY()),1),13))-MONTH(IF(ISNUMBER(Suppliers!F70),Suppliers!F70,DATE(YEAR(TODAY()),MONTH(TODAY()),1))),3)=0,1,0),IF(Suppliers!E70="Semi-annual",IF(MOD((YEAR(EDATE(DATE(YEAR(TODAY()),MONTH(TODAY()),1),13))-YEAR(IF(ISNUMBER(Suppliers!F70),Suppliers!F70,DATE(YEAR(TODAY()),MONTH(TODAY()),1))))*12+MONTH(EDATE(DATE(YEAR(TODAY()),MONTH(TODAY()),1),13))-MONTH(IF(ISNUMBER(Suppliers!F70),Suppliers!F70,DATE(YEAR(TODAY()),MONTH(TODAY()),1))),6)=0,1,0),IF(Suppliers!E70="Annual",IF(MOD((YEAR(EDATE(DATE(YEAR(TODAY()),MONTH(TODAY()),1),13))-YEAR(IF(ISNUMBER(Suppliers!F70),Suppliers!F70,DATE(YEAR(TODAY()),MONTH(TODAY()),1))))*12+MONTH(EDATE(DATE(YEAR(TODAY()),MONTH(TODAY()),1),13))-MONTH(IF(ISNUMBER(Suppliers!F70),Suppliers!F70,DATE(YEAR(TODAY()),MONTH(TODAY()),1))),12)=0,1,0),IF(Suppliers!E70="One-time",IF(13=0,1,0),1)))))),"")</f>
        <v/>
      </c>
      <c r="T72" s="10" t="str">
        <f ca="1">IFERROR(IF(OR(14&gt;=$B$1,Suppliers!A70="",NOT(ISNUMBER(Suppliers!D70)),Suppliers!L70="Expired",Suppliers!L70="Terminate"),"",Suppliers!D70*-1*IF(Suppliers!E70="Monthly",IF(AND(ISNUMBER(Suppliers!G70),(YEAR(EDATE(DATE(YEAR(TODAY()),MONTH(TODAY()),1),14))*12+MONTH(EDATE(DATE(YEAR(TODAY()),MONTH(TODAY()),1),14)))&gt;(YEAR(Suppliers!G70)*12+MONTH(Suppliers!G70))),"",1),IF(Suppliers!E70="Quarterly",IF(MOD((YEAR(EDATE(DATE(YEAR(TODAY()),MONTH(TODAY()),1),14))-YEAR(IF(ISNUMBER(Suppliers!F70),Suppliers!F70,DATE(YEAR(TODAY()),MONTH(TODAY()),1))))*12+MONTH(EDATE(DATE(YEAR(TODAY()),MONTH(TODAY()),1),14))-MONTH(IF(ISNUMBER(Suppliers!F70),Suppliers!F70,DATE(YEAR(TODAY()),MONTH(TODAY()),1))),3)=0,1,0),IF(Suppliers!E70="Semi-annual",IF(MOD((YEAR(EDATE(DATE(YEAR(TODAY()),MONTH(TODAY()),1),14))-YEAR(IF(ISNUMBER(Suppliers!F70),Suppliers!F70,DATE(YEAR(TODAY()),MONTH(TODAY()),1))))*12+MONTH(EDATE(DATE(YEAR(TODAY()),MONTH(TODAY()),1),14))-MONTH(IF(ISNUMBER(Suppliers!F70),Suppliers!F70,DATE(YEAR(TODAY()),MONTH(TODAY()),1))),6)=0,1,0),IF(Suppliers!E70="Annual",IF(MOD((YEAR(EDATE(DATE(YEAR(TODAY()),MONTH(TODAY()),1),14))-YEAR(IF(ISNUMBER(Suppliers!F70),Suppliers!F70,DATE(YEAR(TODAY()),MONTH(TODAY()),1))))*12+MONTH(EDATE(DATE(YEAR(TODAY()),MONTH(TODAY()),1),14))-MONTH(IF(ISNUMBER(Suppliers!F70),Suppliers!F70,DATE(YEAR(TODAY()),MONTH(TODAY()),1))),12)=0,1,0),IF(Suppliers!E70="One-time",IF(14=0,1,0),1)))))),"")</f>
        <v/>
      </c>
      <c r="U72" s="10" t="str">
        <f ca="1">IFERROR(IF(OR(15&gt;=$B$1,Suppliers!A70="",NOT(ISNUMBER(Suppliers!D70)),Suppliers!L70="Expired",Suppliers!L70="Terminate"),"",Suppliers!D70*-1*IF(Suppliers!E70="Monthly",IF(AND(ISNUMBER(Suppliers!G70),(YEAR(EDATE(DATE(YEAR(TODAY()),MONTH(TODAY()),1),15))*12+MONTH(EDATE(DATE(YEAR(TODAY()),MONTH(TODAY()),1),15)))&gt;(YEAR(Suppliers!G70)*12+MONTH(Suppliers!G70))),"",1),IF(Suppliers!E70="Quarterly",IF(MOD((YEAR(EDATE(DATE(YEAR(TODAY()),MONTH(TODAY()),1),15))-YEAR(IF(ISNUMBER(Suppliers!F70),Suppliers!F70,DATE(YEAR(TODAY()),MONTH(TODAY()),1))))*12+MONTH(EDATE(DATE(YEAR(TODAY()),MONTH(TODAY()),1),15))-MONTH(IF(ISNUMBER(Suppliers!F70),Suppliers!F70,DATE(YEAR(TODAY()),MONTH(TODAY()),1))),3)=0,1,0),IF(Suppliers!E70="Semi-annual",IF(MOD((YEAR(EDATE(DATE(YEAR(TODAY()),MONTH(TODAY()),1),15))-YEAR(IF(ISNUMBER(Suppliers!F70),Suppliers!F70,DATE(YEAR(TODAY()),MONTH(TODAY()),1))))*12+MONTH(EDATE(DATE(YEAR(TODAY()),MONTH(TODAY()),1),15))-MONTH(IF(ISNUMBER(Suppliers!F70),Suppliers!F70,DATE(YEAR(TODAY()),MONTH(TODAY()),1))),6)=0,1,0),IF(Suppliers!E70="Annual",IF(MOD((YEAR(EDATE(DATE(YEAR(TODAY()),MONTH(TODAY()),1),15))-YEAR(IF(ISNUMBER(Suppliers!F70),Suppliers!F70,DATE(YEAR(TODAY()),MONTH(TODAY()),1))))*12+MONTH(EDATE(DATE(YEAR(TODAY()),MONTH(TODAY()),1),15))-MONTH(IF(ISNUMBER(Suppliers!F70),Suppliers!F70,DATE(YEAR(TODAY()),MONTH(TODAY()),1))),12)=0,1,0),IF(Suppliers!E70="One-time",IF(15=0,1,0),1)))))),"")</f>
        <v/>
      </c>
      <c r="V72" s="10" t="str">
        <f ca="1">IFERROR(IF(OR(16&gt;=$B$1,Suppliers!A70="",NOT(ISNUMBER(Suppliers!D70)),Suppliers!L70="Expired",Suppliers!L70="Terminate"),"",Suppliers!D70*-1*IF(Suppliers!E70="Monthly",IF(AND(ISNUMBER(Suppliers!G70),(YEAR(EDATE(DATE(YEAR(TODAY()),MONTH(TODAY()),1),16))*12+MONTH(EDATE(DATE(YEAR(TODAY()),MONTH(TODAY()),1),16)))&gt;(YEAR(Suppliers!G70)*12+MONTH(Suppliers!G70))),"",1),IF(Suppliers!E70="Quarterly",IF(MOD((YEAR(EDATE(DATE(YEAR(TODAY()),MONTH(TODAY()),1),16))-YEAR(IF(ISNUMBER(Suppliers!F70),Suppliers!F70,DATE(YEAR(TODAY()),MONTH(TODAY()),1))))*12+MONTH(EDATE(DATE(YEAR(TODAY()),MONTH(TODAY()),1),16))-MONTH(IF(ISNUMBER(Suppliers!F70),Suppliers!F70,DATE(YEAR(TODAY()),MONTH(TODAY()),1))),3)=0,1,0),IF(Suppliers!E70="Semi-annual",IF(MOD((YEAR(EDATE(DATE(YEAR(TODAY()),MONTH(TODAY()),1),16))-YEAR(IF(ISNUMBER(Suppliers!F70),Suppliers!F70,DATE(YEAR(TODAY()),MONTH(TODAY()),1))))*12+MONTH(EDATE(DATE(YEAR(TODAY()),MONTH(TODAY()),1),16))-MONTH(IF(ISNUMBER(Suppliers!F70),Suppliers!F70,DATE(YEAR(TODAY()),MONTH(TODAY()),1))),6)=0,1,0),IF(Suppliers!E70="Annual",IF(MOD((YEAR(EDATE(DATE(YEAR(TODAY()),MONTH(TODAY()),1),16))-YEAR(IF(ISNUMBER(Suppliers!F70),Suppliers!F70,DATE(YEAR(TODAY()),MONTH(TODAY()),1))))*12+MONTH(EDATE(DATE(YEAR(TODAY()),MONTH(TODAY()),1),16))-MONTH(IF(ISNUMBER(Suppliers!F70),Suppliers!F70,DATE(YEAR(TODAY()),MONTH(TODAY()),1))),12)=0,1,0),IF(Suppliers!E70="One-time",IF(16=0,1,0),1)))))),"")</f>
        <v/>
      </c>
      <c r="W72" s="10" t="str">
        <f ca="1">IFERROR(IF(OR(17&gt;=$B$1,Suppliers!A70="",NOT(ISNUMBER(Suppliers!D70)),Suppliers!L70="Expired",Suppliers!L70="Terminate"),"",Suppliers!D70*-1*IF(Suppliers!E70="Monthly",IF(AND(ISNUMBER(Suppliers!G70),(YEAR(EDATE(DATE(YEAR(TODAY()),MONTH(TODAY()),1),17))*12+MONTH(EDATE(DATE(YEAR(TODAY()),MONTH(TODAY()),1),17)))&gt;(YEAR(Suppliers!G70)*12+MONTH(Suppliers!G70))),"",1),IF(Suppliers!E70="Quarterly",IF(MOD((YEAR(EDATE(DATE(YEAR(TODAY()),MONTH(TODAY()),1),17))-YEAR(IF(ISNUMBER(Suppliers!F70),Suppliers!F70,DATE(YEAR(TODAY()),MONTH(TODAY()),1))))*12+MONTH(EDATE(DATE(YEAR(TODAY()),MONTH(TODAY()),1),17))-MONTH(IF(ISNUMBER(Suppliers!F70),Suppliers!F70,DATE(YEAR(TODAY()),MONTH(TODAY()),1))),3)=0,1,0),IF(Suppliers!E70="Semi-annual",IF(MOD((YEAR(EDATE(DATE(YEAR(TODAY()),MONTH(TODAY()),1),17))-YEAR(IF(ISNUMBER(Suppliers!F70),Suppliers!F70,DATE(YEAR(TODAY()),MONTH(TODAY()),1))))*12+MONTH(EDATE(DATE(YEAR(TODAY()),MONTH(TODAY()),1),17))-MONTH(IF(ISNUMBER(Suppliers!F70),Suppliers!F70,DATE(YEAR(TODAY()),MONTH(TODAY()),1))),6)=0,1,0),IF(Suppliers!E70="Annual",IF(MOD((YEAR(EDATE(DATE(YEAR(TODAY()),MONTH(TODAY()),1),17))-YEAR(IF(ISNUMBER(Suppliers!F70),Suppliers!F70,DATE(YEAR(TODAY()),MONTH(TODAY()),1))))*12+MONTH(EDATE(DATE(YEAR(TODAY()),MONTH(TODAY()),1),17))-MONTH(IF(ISNUMBER(Suppliers!F70),Suppliers!F70,DATE(YEAR(TODAY()),MONTH(TODAY()),1))),12)=0,1,0),IF(Suppliers!E70="One-time",IF(17=0,1,0),1)))))),"")</f>
        <v/>
      </c>
      <c r="X72" s="10" t="str">
        <f ca="1">IFERROR(IF(OR(18&gt;=$B$1,Suppliers!A70="",NOT(ISNUMBER(Suppliers!D70)),Suppliers!L70="Expired",Suppliers!L70="Terminate"),"",Suppliers!D70*-1*IF(Suppliers!E70="Monthly",IF(AND(ISNUMBER(Suppliers!G70),(YEAR(EDATE(DATE(YEAR(TODAY()),MONTH(TODAY()),1),18))*12+MONTH(EDATE(DATE(YEAR(TODAY()),MONTH(TODAY()),1),18)))&gt;(YEAR(Suppliers!G70)*12+MONTH(Suppliers!G70))),"",1),IF(Suppliers!E70="Quarterly",IF(MOD((YEAR(EDATE(DATE(YEAR(TODAY()),MONTH(TODAY()),1),18))-YEAR(IF(ISNUMBER(Suppliers!F70),Suppliers!F70,DATE(YEAR(TODAY()),MONTH(TODAY()),1))))*12+MONTH(EDATE(DATE(YEAR(TODAY()),MONTH(TODAY()),1),18))-MONTH(IF(ISNUMBER(Suppliers!F70),Suppliers!F70,DATE(YEAR(TODAY()),MONTH(TODAY()),1))),3)=0,1,0),IF(Suppliers!E70="Semi-annual",IF(MOD((YEAR(EDATE(DATE(YEAR(TODAY()),MONTH(TODAY()),1),18))-YEAR(IF(ISNUMBER(Suppliers!F70),Suppliers!F70,DATE(YEAR(TODAY()),MONTH(TODAY()),1))))*12+MONTH(EDATE(DATE(YEAR(TODAY()),MONTH(TODAY()),1),18))-MONTH(IF(ISNUMBER(Suppliers!F70),Suppliers!F70,DATE(YEAR(TODAY()),MONTH(TODAY()),1))),6)=0,1,0),IF(Suppliers!E70="Annual",IF(MOD((YEAR(EDATE(DATE(YEAR(TODAY()),MONTH(TODAY()),1),18))-YEAR(IF(ISNUMBER(Suppliers!F70),Suppliers!F70,DATE(YEAR(TODAY()),MONTH(TODAY()),1))))*12+MONTH(EDATE(DATE(YEAR(TODAY()),MONTH(TODAY()),1),18))-MONTH(IF(ISNUMBER(Suppliers!F70),Suppliers!F70,DATE(YEAR(TODAY()),MONTH(TODAY()),1))),12)=0,1,0),IF(Suppliers!E70="One-time",IF(18=0,1,0),1)))))),"")</f>
        <v/>
      </c>
      <c r="Y72" s="10" t="str">
        <f ca="1">IFERROR(IF(OR(19&gt;=$B$1,Suppliers!A70="",NOT(ISNUMBER(Suppliers!D70)),Suppliers!L70="Expired",Suppliers!L70="Terminate"),"",Suppliers!D70*-1*IF(Suppliers!E70="Monthly",IF(AND(ISNUMBER(Suppliers!G70),(YEAR(EDATE(DATE(YEAR(TODAY()),MONTH(TODAY()),1),19))*12+MONTH(EDATE(DATE(YEAR(TODAY()),MONTH(TODAY()),1),19)))&gt;(YEAR(Suppliers!G70)*12+MONTH(Suppliers!G70))),"",1),IF(Suppliers!E70="Quarterly",IF(MOD((YEAR(EDATE(DATE(YEAR(TODAY()),MONTH(TODAY()),1),19))-YEAR(IF(ISNUMBER(Suppliers!F70),Suppliers!F70,DATE(YEAR(TODAY()),MONTH(TODAY()),1))))*12+MONTH(EDATE(DATE(YEAR(TODAY()),MONTH(TODAY()),1),19))-MONTH(IF(ISNUMBER(Suppliers!F70),Suppliers!F70,DATE(YEAR(TODAY()),MONTH(TODAY()),1))),3)=0,1,0),IF(Suppliers!E70="Semi-annual",IF(MOD((YEAR(EDATE(DATE(YEAR(TODAY()),MONTH(TODAY()),1),19))-YEAR(IF(ISNUMBER(Suppliers!F70),Suppliers!F70,DATE(YEAR(TODAY()),MONTH(TODAY()),1))))*12+MONTH(EDATE(DATE(YEAR(TODAY()),MONTH(TODAY()),1),19))-MONTH(IF(ISNUMBER(Suppliers!F70),Suppliers!F70,DATE(YEAR(TODAY()),MONTH(TODAY()),1))),6)=0,1,0),IF(Suppliers!E70="Annual",IF(MOD((YEAR(EDATE(DATE(YEAR(TODAY()),MONTH(TODAY()),1),19))-YEAR(IF(ISNUMBER(Suppliers!F70),Suppliers!F70,DATE(YEAR(TODAY()),MONTH(TODAY()),1))))*12+MONTH(EDATE(DATE(YEAR(TODAY()),MONTH(TODAY()),1),19))-MONTH(IF(ISNUMBER(Suppliers!F70),Suppliers!F70,DATE(YEAR(TODAY()),MONTH(TODAY()),1))),12)=0,1,0),IF(Suppliers!E70="One-time",IF(19=0,1,0),1)))))),"")</f>
        <v/>
      </c>
      <c r="Z72" s="10" t="str">
        <f ca="1">IFERROR(IF(OR(20&gt;=$B$1,Suppliers!A70="",NOT(ISNUMBER(Suppliers!D70)),Suppliers!L70="Expired",Suppliers!L70="Terminate"),"",Suppliers!D70*-1*IF(Suppliers!E70="Monthly",IF(AND(ISNUMBER(Suppliers!G70),(YEAR(EDATE(DATE(YEAR(TODAY()),MONTH(TODAY()),1),20))*12+MONTH(EDATE(DATE(YEAR(TODAY()),MONTH(TODAY()),1),20)))&gt;(YEAR(Suppliers!G70)*12+MONTH(Suppliers!G70))),"",1),IF(Suppliers!E70="Quarterly",IF(MOD((YEAR(EDATE(DATE(YEAR(TODAY()),MONTH(TODAY()),1),20))-YEAR(IF(ISNUMBER(Suppliers!F70),Suppliers!F70,DATE(YEAR(TODAY()),MONTH(TODAY()),1))))*12+MONTH(EDATE(DATE(YEAR(TODAY()),MONTH(TODAY()),1),20))-MONTH(IF(ISNUMBER(Suppliers!F70),Suppliers!F70,DATE(YEAR(TODAY()),MONTH(TODAY()),1))),3)=0,1,0),IF(Suppliers!E70="Semi-annual",IF(MOD((YEAR(EDATE(DATE(YEAR(TODAY()),MONTH(TODAY()),1),20))-YEAR(IF(ISNUMBER(Suppliers!F70),Suppliers!F70,DATE(YEAR(TODAY()),MONTH(TODAY()),1))))*12+MONTH(EDATE(DATE(YEAR(TODAY()),MONTH(TODAY()),1),20))-MONTH(IF(ISNUMBER(Suppliers!F70),Suppliers!F70,DATE(YEAR(TODAY()),MONTH(TODAY()),1))),6)=0,1,0),IF(Suppliers!E70="Annual",IF(MOD((YEAR(EDATE(DATE(YEAR(TODAY()),MONTH(TODAY()),1),20))-YEAR(IF(ISNUMBER(Suppliers!F70),Suppliers!F70,DATE(YEAR(TODAY()),MONTH(TODAY()),1))))*12+MONTH(EDATE(DATE(YEAR(TODAY()),MONTH(TODAY()),1),20))-MONTH(IF(ISNUMBER(Suppliers!F70),Suppliers!F70,DATE(YEAR(TODAY()),MONTH(TODAY()),1))),12)=0,1,0),IF(Suppliers!E70="One-time",IF(20=0,1,0),1)))))),"")</f>
        <v/>
      </c>
      <c r="AA72" s="10" t="str">
        <f ca="1">IFERROR(IF(OR(21&gt;=$B$1,Suppliers!A70="",NOT(ISNUMBER(Suppliers!D70)),Suppliers!L70="Expired",Suppliers!L70="Terminate"),"",Suppliers!D70*-1*IF(Suppliers!E70="Monthly",IF(AND(ISNUMBER(Suppliers!G70),(YEAR(EDATE(DATE(YEAR(TODAY()),MONTH(TODAY()),1),21))*12+MONTH(EDATE(DATE(YEAR(TODAY()),MONTH(TODAY()),1),21)))&gt;(YEAR(Suppliers!G70)*12+MONTH(Suppliers!G70))),"",1),IF(Suppliers!E70="Quarterly",IF(MOD((YEAR(EDATE(DATE(YEAR(TODAY()),MONTH(TODAY()),1),21))-YEAR(IF(ISNUMBER(Suppliers!F70),Suppliers!F70,DATE(YEAR(TODAY()),MONTH(TODAY()),1))))*12+MONTH(EDATE(DATE(YEAR(TODAY()),MONTH(TODAY()),1),21))-MONTH(IF(ISNUMBER(Suppliers!F70),Suppliers!F70,DATE(YEAR(TODAY()),MONTH(TODAY()),1))),3)=0,1,0),IF(Suppliers!E70="Semi-annual",IF(MOD((YEAR(EDATE(DATE(YEAR(TODAY()),MONTH(TODAY()),1),21))-YEAR(IF(ISNUMBER(Suppliers!F70),Suppliers!F70,DATE(YEAR(TODAY()),MONTH(TODAY()),1))))*12+MONTH(EDATE(DATE(YEAR(TODAY()),MONTH(TODAY()),1),21))-MONTH(IF(ISNUMBER(Suppliers!F70),Suppliers!F70,DATE(YEAR(TODAY()),MONTH(TODAY()),1))),6)=0,1,0),IF(Suppliers!E70="Annual",IF(MOD((YEAR(EDATE(DATE(YEAR(TODAY()),MONTH(TODAY()),1),21))-YEAR(IF(ISNUMBER(Suppliers!F70),Suppliers!F70,DATE(YEAR(TODAY()),MONTH(TODAY()),1))))*12+MONTH(EDATE(DATE(YEAR(TODAY()),MONTH(TODAY()),1),21))-MONTH(IF(ISNUMBER(Suppliers!F70),Suppliers!F70,DATE(YEAR(TODAY()),MONTH(TODAY()),1))),12)=0,1,0),IF(Suppliers!E70="One-time",IF(21=0,1,0),1)))))),"")</f>
        <v/>
      </c>
      <c r="AB72" s="10" t="str">
        <f ca="1">IFERROR(IF(OR(22&gt;=$B$1,Suppliers!A70="",NOT(ISNUMBER(Suppliers!D70)),Suppliers!L70="Expired",Suppliers!L70="Terminate"),"",Suppliers!D70*-1*IF(Suppliers!E70="Monthly",IF(AND(ISNUMBER(Suppliers!G70),(YEAR(EDATE(DATE(YEAR(TODAY()),MONTH(TODAY()),1),22))*12+MONTH(EDATE(DATE(YEAR(TODAY()),MONTH(TODAY()),1),22)))&gt;(YEAR(Suppliers!G70)*12+MONTH(Suppliers!G70))),"",1),IF(Suppliers!E70="Quarterly",IF(MOD((YEAR(EDATE(DATE(YEAR(TODAY()),MONTH(TODAY()),1),22))-YEAR(IF(ISNUMBER(Suppliers!F70),Suppliers!F70,DATE(YEAR(TODAY()),MONTH(TODAY()),1))))*12+MONTH(EDATE(DATE(YEAR(TODAY()),MONTH(TODAY()),1),22))-MONTH(IF(ISNUMBER(Suppliers!F70),Suppliers!F70,DATE(YEAR(TODAY()),MONTH(TODAY()),1))),3)=0,1,0),IF(Suppliers!E70="Semi-annual",IF(MOD((YEAR(EDATE(DATE(YEAR(TODAY()),MONTH(TODAY()),1),22))-YEAR(IF(ISNUMBER(Suppliers!F70),Suppliers!F70,DATE(YEAR(TODAY()),MONTH(TODAY()),1))))*12+MONTH(EDATE(DATE(YEAR(TODAY()),MONTH(TODAY()),1),22))-MONTH(IF(ISNUMBER(Suppliers!F70),Suppliers!F70,DATE(YEAR(TODAY()),MONTH(TODAY()),1))),6)=0,1,0),IF(Suppliers!E70="Annual",IF(MOD((YEAR(EDATE(DATE(YEAR(TODAY()),MONTH(TODAY()),1),22))-YEAR(IF(ISNUMBER(Suppliers!F70),Suppliers!F70,DATE(YEAR(TODAY()),MONTH(TODAY()),1))))*12+MONTH(EDATE(DATE(YEAR(TODAY()),MONTH(TODAY()),1),22))-MONTH(IF(ISNUMBER(Suppliers!F70),Suppliers!F70,DATE(YEAR(TODAY()),MONTH(TODAY()),1))),12)=0,1,0),IF(Suppliers!E70="One-time",IF(22=0,1,0),1)))))),"")</f>
        <v/>
      </c>
      <c r="AC72" s="10" t="str">
        <f ca="1">IFERROR(IF(OR(23&gt;=$B$1,Suppliers!A70="",NOT(ISNUMBER(Suppliers!D70)),Suppliers!L70="Expired",Suppliers!L70="Terminate"),"",Suppliers!D70*-1*IF(Suppliers!E70="Monthly",IF(AND(ISNUMBER(Suppliers!G70),(YEAR(EDATE(DATE(YEAR(TODAY()),MONTH(TODAY()),1),23))*12+MONTH(EDATE(DATE(YEAR(TODAY()),MONTH(TODAY()),1),23)))&gt;(YEAR(Suppliers!G70)*12+MONTH(Suppliers!G70))),"",1),IF(Suppliers!E70="Quarterly",IF(MOD((YEAR(EDATE(DATE(YEAR(TODAY()),MONTH(TODAY()),1),23))-YEAR(IF(ISNUMBER(Suppliers!F70),Suppliers!F70,DATE(YEAR(TODAY()),MONTH(TODAY()),1))))*12+MONTH(EDATE(DATE(YEAR(TODAY()),MONTH(TODAY()),1),23))-MONTH(IF(ISNUMBER(Suppliers!F70),Suppliers!F70,DATE(YEAR(TODAY()),MONTH(TODAY()),1))),3)=0,1,0),IF(Suppliers!E70="Semi-annual",IF(MOD((YEAR(EDATE(DATE(YEAR(TODAY()),MONTH(TODAY()),1),23))-YEAR(IF(ISNUMBER(Suppliers!F70),Suppliers!F70,DATE(YEAR(TODAY()),MONTH(TODAY()),1))))*12+MONTH(EDATE(DATE(YEAR(TODAY()),MONTH(TODAY()),1),23))-MONTH(IF(ISNUMBER(Suppliers!F70),Suppliers!F70,DATE(YEAR(TODAY()),MONTH(TODAY()),1))),6)=0,1,0),IF(Suppliers!E70="Annual",IF(MOD((YEAR(EDATE(DATE(YEAR(TODAY()),MONTH(TODAY()),1),23))-YEAR(IF(ISNUMBER(Suppliers!F70),Suppliers!F70,DATE(YEAR(TODAY()),MONTH(TODAY()),1))))*12+MONTH(EDATE(DATE(YEAR(TODAY()),MONTH(TODAY()),1),23))-MONTH(IF(ISNUMBER(Suppliers!F70),Suppliers!F70,DATE(YEAR(TODAY()),MONTH(TODAY()),1))),12)=0,1,0),IF(Suppliers!E70="One-time",IF(23=0,1,0),1)))))),"")</f>
        <v/>
      </c>
    </row>
    <row r="73" spans="1:29" ht="15" customHeight="1" x14ac:dyDescent="0.35">
      <c r="A73" s="4" t="s">
        <v>81</v>
      </c>
      <c r="B73" s="4" t="str">
        <f>IF(Clients!A3="","",Clients!A3)</f>
        <v/>
      </c>
      <c r="C73" s="10" t="str">
        <f>IF(Clients!C3="","",Clients!C3)</f>
        <v/>
      </c>
      <c r="D73" s="10" t="str">
        <f>IF(Clients!D3="","",Clients!D3)</f>
        <v/>
      </c>
      <c r="E73" s="4" t="str">
        <f>IF(Clients!E3="","",Clients!E3)</f>
        <v/>
      </c>
      <c r="F73" s="10" t="str">
        <f ca="1">IFERROR(IF(OR(0&gt;=$B$1,Clients!A3="",NOT(ISNUMBER(Clients!D3)),Clients!L3="Expired",Clients!L3="Terminate"),"",Clients!D3*1*IF(Clients!E3="Monthly",IF(AND(ISNUMBER(Clients!G3),(YEAR(EDATE(DATE(YEAR(TODAY()),MONTH(TODAY()),1),0))*12+MONTH(EDATE(DATE(YEAR(TODAY()),MONTH(TODAY()),1),0)))&gt;(YEAR(Clients!G3)*12+MONTH(Clients!G3))),"",1),IF(Clients!E3="Quarterly",IF(MOD((YEAR(EDATE(DATE(YEAR(TODAY()),MONTH(TODAY()),1),0))-YEAR(IF(ISNUMBER(Clients!F3),Clients!F3,DATE(YEAR(TODAY()),MONTH(TODAY()),1))))*12+MONTH(EDATE(DATE(YEAR(TODAY()),MONTH(TODAY()),1),0))-MONTH(IF(ISNUMBER(Clients!F3),Clients!F3,DATE(YEAR(TODAY()),MONTH(TODAY()),1))),3)=0,1,0),IF(Clients!E3="Semi-annual",IF(MOD((YEAR(EDATE(DATE(YEAR(TODAY()),MONTH(TODAY()),1),0))-YEAR(IF(ISNUMBER(Clients!F3),Clients!F3,DATE(YEAR(TODAY()),MONTH(TODAY()),1))))*12+MONTH(EDATE(DATE(YEAR(TODAY()),MONTH(TODAY()),1),0))-MONTH(IF(ISNUMBER(Clients!F3),Clients!F3,DATE(YEAR(TODAY()),MONTH(TODAY()),1))),6)=0,1,0),IF(Clients!E3="Annual",IF(MOD((YEAR(EDATE(DATE(YEAR(TODAY()),MONTH(TODAY()),1),0))-YEAR(IF(ISNUMBER(Clients!F3),Clients!F3,DATE(YEAR(TODAY()),MONTH(TODAY()),1))))*12+MONTH(EDATE(DATE(YEAR(TODAY()),MONTH(TODAY()),1),0))-MONTH(IF(ISNUMBER(Clients!F3),Clients!F3,DATE(YEAR(TODAY()),MONTH(TODAY()),1))),12)=0,1,0),IF(Clients!E3="One-time",IF(0=0,1,0),1)))))),"")</f>
        <v/>
      </c>
      <c r="G73" s="10" t="str">
        <f ca="1">IFERROR(IF(OR(1&gt;=$B$1,Clients!A3="",NOT(ISNUMBER(Clients!D3)),Clients!L3="Expired",Clients!L3="Terminate"),"",Clients!D3*1*IF(Clients!E3="Monthly",IF(AND(ISNUMBER(Clients!G3),(YEAR(EDATE(DATE(YEAR(TODAY()),MONTH(TODAY()),1),1))*12+MONTH(EDATE(DATE(YEAR(TODAY()),MONTH(TODAY()),1),1)))&gt;(YEAR(Clients!G3)*12+MONTH(Clients!G3))),"",1),IF(Clients!E3="Quarterly",IF(MOD((YEAR(EDATE(DATE(YEAR(TODAY()),MONTH(TODAY()),1),1))-YEAR(IF(ISNUMBER(Clients!F3),Clients!F3,DATE(YEAR(TODAY()),MONTH(TODAY()),1))))*12+MONTH(EDATE(DATE(YEAR(TODAY()),MONTH(TODAY()),1),1))-MONTH(IF(ISNUMBER(Clients!F3),Clients!F3,DATE(YEAR(TODAY()),MONTH(TODAY()),1))),3)=0,1,0),IF(Clients!E3="Semi-annual",IF(MOD((YEAR(EDATE(DATE(YEAR(TODAY()),MONTH(TODAY()),1),1))-YEAR(IF(ISNUMBER(Clients!F3),Clients!F3,DATE(YEAR(TODAY()),MONTH(TODAY()),1))))*12+MONTH(EDATE(DATE(YEAR(TODAY()),MONTH(TODAY()),1),1))-MONTH(IF(ISNUMBER(Clients!F3),Clients!F3,DATE(YEAR(TODAY()),MONTH(TODAY()),1))),6)=0,1,0),IF(Clients!E3="Annual",IF(MOD((YEAR(EDATE(DATE(YEAR(TODAY()),MONTH(TODAY()),1),1))-YEAR(IF(ISNUMBER(Clients!F3),Clients!F3,DATE(YEAR(TODAY()),MONTH(TODAY()),1))))*12+MONTH(EDATE(DATE(YEAR(TODAY()),MONTH(TODAY()),1),1))-MONTH(IF(ISNUMBER(Clients!F3),Clients!F3,DATE(YEAR(TODAY()),MONTH(TODAY()),1))),12)=0,1,0),IF(Clients!E3="One-time",IF(1=0,1,0),1)))))),"")</f>
        <v/>
      </c>
      <c r="H73" s="10" t="str">
        <f ca="1">IFERROR(IF(OR(2&gt;=$B$1,Clients!A3="",NOT(ISNUMBER(Clients!D3)),Clients!L3="Expired",Clients!L3="Terminate"),"",Clients!D3*1*IF(Clients!E3="Monthly",IF(AND(ISNUMBER(Clients!G3),(YEAR(EDATE(DATE(YEAR(TODAY()),MONTH(TODAY()),1),2))*12+MONTH(EDATE(DATE(YEAR(TODAY()),MONTH(TODAY()),1),2)))&gt;(YEAR(Clients!G3)*12+MONTH(Clients!G3))),"",1),IF(Clients!E3="Quarterly",IF(MOD((YEAR(EDATE(DATE(YEAR(TODAY()),MONTH(TODAY()),1),2))-YEAR(IF(ISNUMBER(Clients!F3),Clients!F3,DATE(YEAR(TODAY()),MONTH(TODAY()),1))))*12+MONTH(EDATE(DATE(YEAR(TODAY()),MONTH(TODAY()),1),2))-MONTH(IF(ISNUMBER(Clients!F3),Clients!F3,DATE(YEAR(TODAY()),MONTH(TODAY()),1))),3)=0,1,0),IF(Clients!E3="Semi-annual",IF(MOD((YEAR(EDATE(DATE(YEAR(TODAY()),MONTH(TODAY()),1),2))-YEAR(IF(ISNUMBER(Clients!F3),Clients!F3,DATE(YEAR(TODAY()),MONTH(TODAY()),1))))*12+MONTH(EDATE(DATE(YEAR(TODAY()),MONTH(TODAY()),1),2))-MONTH(IF(ISNUMBER(Clients!F3),Clients!F3,DATE(YEAR(TODAY()),MONTH(TODAY()),1))),6)=0,1,0),IF(Clients!E3="Annual",IF(MOD((YEAR(EDATE(DATE(YEAR(TODAY()),MONTH(TODAY()),1),2))-YEAR(IF(ISNUMBER(Clients!F3),Clients!F3,DATE(YEAR(TODAY()),MONTH(TODAY()),1))))*12+MONTH(EDATE(DATE(YEAR(TODAY()),MONTH(TODAY()),1),2))-MONTH(IF(ISNUMBER(Clients!F3),Clients!F3,DATE(YEAR(TODAY()),MONTH(TODAY()),1))),12)=0,1,0),IF(Clients!E3="One-time",IF(2=0,1,0),1)))))),"")</f>
        <v/>
      </c>
      <c r="I73" s="10" t="str">
        <f ca="1">IFERROR(IF(OR(3&gt;=$B$1,Clients!A3="",NOT(ISNUMBER(Clients!D3)),Clients!L3="Expired",Clients!L3="Terminate"),"",Clients!D3*1*IF(Clients!E3="Monthly",IF(AND(ISNUMBER(Clients!G3),(YEAR(EDATE(DATE(YEAR(TODAY()),MONTH(TODAY()),1),3))*12+MONTH(EDATE(DATE(YEAR(TODAY()),MONTH(TODAY()),1),3)))&gt;(YEAR(Clients!G3)*12+MONTH(Clients!G3))),"",1),IF(Clients!E3="Quarterly",IF(MOD((YEAR(EDATE(DATE(YEAR(TODAY()),MONTH(TODAY()),1),3))-YEAR(IF(ISNUMBER(Clients!F3),Clients!F3,DATE(YEAR(TODAY()),MONTH(TODAY()),1))))*12+MONTH(EDATE(DATE(YEAR(TODAY()),MONTH(TODAY()),1),3))-MONTH(IF(ISNUMBER(Clients!F3),Clients!F3,DATE(YEAR(TODAY()),MONTH(TODAY()),1))),3)=0,1,0),IF(Clients!E3="Semi-annual",IF(MOD((YEAR(EDATE(DATE(YEAR(TODAY()),MONTH(TODAY()),1),3))-YEAR(IF(ISNUMBER(Clients!F3),Clients!F3,DATE(YEAR(TODAY()),MONTH(TODAY()),1))))*12+MONTH(EDATE(DATE(YEAR(TODAY()),MONTH(TODAY()),1),3))-MONTH(IF(ISNUMBER(Clients!F3),Clients!F3,DATE(YEAR(TODAY()),MONTH(TODAY()),1))),6)=0,1,0),IF(Clients!E3="Annual",IF(MOD((YEAR(EDATE(DATE(YEAR(TODAY()),MONTH(TODAY()),1),3))-YEAR(IF(ISNUMBER(Clients!F3),Clients!F3,DATE(YEAR(TODAY()),MONTH(TODAY()),1))))*12+MONTH(EDATE(DATE(YEAR(TODAY()),MONTH(TODAY()),1),3))-MONTH(IF(ISNUMBER(Clients!F3),Clients!F3,DATE(YEAR(TODAY()),MONTH(TODAY()),1))),12)=0,1,0),IF(Clients!E3="One-time",IF(3=0,1,0),1)))))),"")</f>
        <v/>
      </c>
      <c r="J73" s="10" t="str">
        <f ca="1">IFERROR(IF(OR(4&gt;=$B$1,Clients!A3="",NOT(ISNUMBER(Clients!D3)),Clients!L3="Expired",Clients!L3="Terminate"),"",Clients!D3*1*IF(Clients!E3="Monthly",IF(AND(ISNUMBER(Clients!G3),(YEAR(EDATE(DATE(YEAR(TODAY()),MONTH(TODAY()),1),4))*12+MONTH(EDATE(DATE(YEAR(TODAY()),MONTH(TODAY()),1),4)))&gt;(YEAR(Clients!G3)*12+MONTH(Clients!G3))),"",1),IF(Clients!E3="Quarterly",IF(MOD((YEAR(EDATE(DATE(YEAR(TODAY()),MONTH(TODAY()),1),4))-YEAR(IF(ISNUMBER(Clients!F3),Clients!F3,DATE(YEAR(TODAY()),MONTH(TODAY()),1))))*12+MONTH(EDATE(DATE(YEAR(TODAY()),MONTH(TODAY()),1),4))-MONTH(IF(ISNUMBER(Clients!F3),Clients!F3,DATE(YEAR(TODAY()),MONTH(TODAY()),1))),3)=0,1,0),IF(Clients!E3="Semi-annual",IF(MOD((YEAR(EDATE(DATE(YEAR(TODAY()),MONTH(TODAY()),1),4))-YEAR(IF(ISNUMBER(Clients!F3),Clients!F3,DATE(YEAR(TODAY()),MONTH(TODAY()),1))))*12+MONTH(EDATE(DATE(YEAR(TODAY()),MONTH(TODAY()),1),4))-MONTH(IF(ISNUMBER(Clients!F3),Clients!F3,DATE(YEAR(TODAY()),MONTH(TODAY()),1))),6)=0,1,0),IF(Clients!E3="Annual",IF(MOD((YEAR(EDATE(DATE(YEAR(TODAY()),MONTH(TODAY()),1),4))-YEAR(IF(ISNUMBER(Clients!F3),Clients!F3,DATE(YEAR(TODAY()),MONTH(TODAY()),1))))*12+MONTH(EDATE(DATE(YEAR(TODAY()),MONTH(TODAY()),1),4))-MONTH(IF(ISNUMBER(Clients!F3),Clients!F3,DATE(YEAR(TODAY()),MONTH(TODAY()),1))),12)=0,1,0),IF(Clients!E3="One-time",IF(4=0,1,0),1)))))),"")</f>
        <v/>
      </c>
      <c r="K73" s="10" t="str">
        <f ca="1">IFERROR(IF(OR(5&gt;=$B$1,Clients!A3="",NOT(ISNUMBER(Clients!D3)),Clients!L3="Expired",Clients!L3="Terminate"),"",Clients!D3*1*IF(Clients!E3="Monthly",IF(AND(ISNUMBER(Clients!G3),(YEAR(EDATE(DATE(YEAR(TODAY()),MONTH(TODAY()),1),5))*12+MONTH(EDATE(DATE(YEAR(TODAY()),MONTH(TODAY()),1),5)))&gt;(YEAR(Clients!G3)*12+MONTH(Clients!G3))),"",1),IF(Clients!E3="Quarterly",IF(MOD((YEAR(EDATE(DATE(YEAR(TODAY()),MONTH(TODAY()),1),5))-YEAR(IF(ISNUMBER(Clients!F3),Clients!F3,DATE(YEAR(TODAY()),MONTH(TODAY()),1))))*12+MONTH(EDATE(DATE(YEAR(TODAY()),MONTH(TODAY()),1),5))-MONTH(IF(ISNUMBER(Clients!F3),Clients!F3,DATE(YEAR(TODAY()),MONTH(TODAY()),1))),3)=0,1,0),IF(Clients!E3="Semi-annual",IF(MOD((YEAR(EDATE(DATE(YEAR(TODAY()),MONTH(TODAY()),1),5))-YEAR(IF(ISNUMBER(Clients!F3),Clients!F3,DATE(YEAR(TODAY()),MONTH(TODAY()),1))))*12+MONTH(EDATE(DATE(YEAR(TODAY()),MONTH(TODAY()),1),5))-MONTH(IF(ISNUMBER(Clients!F3),Clients!F3,DATE(YEAR(TODAY()),MONTH(TODAY()),1))),6)=0,1,0),IF(Clients!E3="Annual",IF(MOD((YEAR(EDATE(DATE(YEAR(TODAY()),MONTH(TODAY()),1),5))-YEAR(IF(ISNUMBER(Clients!F3),Clients!F3,DATE(YEAR(TODAY()),MONTH(TODAY()),1))))*12+MONTH(EDATE(DATE(YEAR(TODAY()),MONTH(TODAY()),1),5))-MONTH(IF(ISNUMBER(Clients!F3),Clients!F3,DATE(YEAR(TODAY()),MONTH(TODAY()),1))),12)=0,1,0),IF(Clients!E3="One-time",IF(5=0,1,0),1)))))),"")</f>
        <v/>
      </c>
      <c r="L73" s="10" t="str">
        <f ca="1">IFERROR(IF(OR(6&gt;=$B$1,Clients!A3="",NOT(ISNUMBER(Clients!D3)),Clients!L3="Expired",Clients!L3="Terminate"),"",Clients!D3*1*IF(Clients!E3="Monthly",IF(AND(ISNUMBER(Clients!G3),(YEAR(EDATE(DATE(YEAR(TODAY()),MONTH(TODAY()),1),6))*12+MONTH(EDATE(DATE(YEAR(TODAY()),MONTH(TODAY()),1),6)))&gt;(YEAR(Clients!G3)*12+MONTH(Clients!G3))),"",1),IF(Clients!E3="Quarterly",IF(MOD((YEAR(EDATE(DATE(YEAR(TODAY()),MONTH(TODAY()),1),6))-YEAR(IF(ISNUMBER(Clients!F3),Clients!F3,DATE(YEAR(TODAY()),MONTH(TODAY()),1))))*12+MONTH(EDATE(DATE(YEAR(TODAY()),MONTH(TODAY()),1),6))-MONTH(IF(ISNUMBER(Clients!F3),Clients!F3,DATE(YEAR(TODAY()),MONTH(TODAY()),1))),3)=0,1,0),IF(Clients!E3="Semi-annual",IF(MOD((YEAR(EDATE(DATE(YEAR(TODAY()),MONTH(TODAY()),1),6))-YEAR(IF(ISNUMBER(Clients!F3),Clients!F3,DATE(YEAR(TODAY()),MONTH(TODAY()),1))))*12+MONTH(EDATE(DATE(YEAR(TODAY()),MONTH(TODAY()),1),6))-MONTH(IF(ISNUMBER(Clients!F3),Clients!F3,DATE(YEAR(TODAY()),MONTH(TODAY()),1))),6)=0,1,0),IF(Clients!E3="Annual",IF(MOD((YEAR(EDATE(DATE(YEAR(TODAY()),MONTH(TODAY()),1),6))-YEAR(IF(ISNUMBER(Clients!F3),Clients!F3,DATE(YEAR(TODAY()),MONTH(TODAY()),1))))*12+MONTH(EDATE(DATE(YEAR(TODAY()),MONTH(TODAY()),1),6))-MONTH(IF(ISNUMBER(Clients!F3),Clients!F3,DATE(YEAR(TODAY()),MONTH(TODAY()),1))),12)=0,1,0),IF(Clients!E3="One-time",IF(6=0,1,0),1)))))),"")</f>
        <v/>
      </c>
      <c r="M73" s="10" t="str">
        <f ca="1">IFERROR(IF(OR(7&gt;=$B$1,Clients!A3="",NOT(ISNUMBER(Clients!D3)),Clients!L3="Expired",Clients!L3="Terminate"),"",Clients!D3*1*IF(Clients!E3="Monthly",IF(AND(ISNUMBER(Clients!G3),(YEAR(EDATE(DATE(YEAR(TODAY()),MONTH(TODAY()),1),7))*12+MONTH(EDATE(DATE(YEAR(TODAY()),MONTH(TODAY()),1),7)))&gt;(YEAR(Clients!G3)*12+MONTH(Clients!G3))),"",1),IF(Clients!E3="Quarterly",IF(MOD((YEAR(EDATE(DATE(YEAR(TODAY()),MONTH(TODAY()),1),7))-YEAR(IF(ISNUMBER(Clients!F3),Clients!F3,DATE(YEAR(TODAY()),MONTH(TODAY()),1))))*12+MONTH(EDATE(DATE(YEAR(TODAY()),MONTH(TODAY()),1),7))-MONTH(IF(ISNUMBER(Clients!F3),Clients!F3,DATE(YEAR(TODAY()),MONTH(TODAY()),1))),3)=0,1,0),IF(Clients!E3="Semi-annual",IF(MOD((YEAR(EDATE(DATE(YEAR(TODAY()),MONTH(TODAY()),1),7))-YEAR(IF(ISNUMBER(Clients!F3),Clients!F3,DATE(YEAR(TODAY()),MONTH(TODAY()),1))))*12+MONTH(EDATE(DATE(YEAR(TODAY()),MONTH(TODAY()),1),7))-MONTH(IF(ISNUMBER(Clients!F3),Clients!F3,DATE(YEAR(TODAY()),MONTH(TODAY()),1))),6)=0,1,0),IF(Clients!E3="Annual",IF(MOD((YEAR(EDATE(DATE(YEAR(TODAY()),MONTH(TODAY()),1),7))-YEAR(IF(ISNUMBER(Clients!F3),Clients!F3,DATE(YEAR(TODAY()),MONTH(TODAY()),1))))*12+MONTH(EDATE(DATE(YEAR(TODAY()),MONTH(TODAY()),1),7))-MONTH(IF(ISNUMBER(Clients!F3),Clients!F3,DATE(YEAR(TODAY()),MONTH(TODAY()),1))),12)=0,1,0),IF(Clients!E3="One-time",IF(7=0,1,0),1)))))),"")</f>
        <v/>
      </c>
      <c r="N73" s="10" t="str">
        <f ca="1">IFERROR(IF(OR(8&gt;=$B$1,Clients!A3="",NOT(ISNUMBER(Clients!D3)),Clients!L3="Expired",Clients!L3="Terminate"),"",Clients!D3*1*IF(Clients!E3="Monthly",IF(AND(ISNUMBER(Clients!G3),(YEAR(EDATE(DATE(YEAR(TODAY()),MONTH(TODAY()),1),8))*12+MONTH(EDATE(DATE(YEAR(TODAY()),MONTH(TODAY()),1),8)))&gt;(YEAR(Clients!G3)*12+MONTH(Clients!G3))),"",1),IF(Clients!E3="Quarterly",IF(MOD((YEAR(EDATE(DATE(YEAR(TODAY()),MONTH(TODAY()),1),8))-YEAR(IF(ISNUMBER(Clients!F3),Clients!F3,DATE(YEAR(TODAY()),MONTH(TODAY()),1))))*12+MONTH(EDATE(DATE(YEAR(TODAY()),MONTH(TODAY()),1),8))-MONTH(IF(ISNUMBER(Clients!F3),Clients!F3,DATE(YEAR(TODAY()),MONTH(TODAY()),1))),3)=0,1,0),IF(Clients!E3="Semi-annual",IF(MOD((YEAR(EDATE(DATE(YEAR(TODAY()),MONTH(TODAY()),1),8))-YEAR(IF(ISNUMBER(Clients!F3),Clients!F3,DATE(YEAR(TODAY()),MONTH(TODAY()),1))))*12+MONTH(EDATE(DATE(YEAR(TODAY()),MONTH(TODAY()),1),8))-MONTH(IF(ISNUMBER(Clients!F3),Clients!F3,DATE(YEAR(TODAY()),MONTH(TODAY()),1))),6)=0,1,0),IF(Clients!E3="Annual",IF(MOD((YEAR(EDATE(DATE(YEAR(TODAY()),MONTH(TODAY()),1),8))-YEAR(IF(ISNUMBER(Clients!F3),Clients!F3,DATE(YEAR(TODAY()),MONTH(TODAY()),1))))*12+MONTH(EDATE(DATE(YEAR(TODAY()),MONTH(TODAY()),1),8))-MONTH(IF(ISNUMBER(Clients!F3),Clients!F3,DATE(YEAR(TODAY()),MONTH(TODAY()),1))),12)=0,1,0),IF(Clients!E3="One-time",IF(8=0,1,0),1)))))),"")</f>
        <v/>
      </c>
      <c r="O73" s="10" t="str">
        <f ca="1">IFERROR(IF(OR(9&gt;=$B$1,Clients!A3="",NOT(ISNUMBER(Clients!D3)),Clients!L3="Expired",Clients!L3="Terminate"),"",Clients!D3*1*IF(Clients!E3="Monthly",IF(AND(ISNUMBER(Clients!G3),(YEAR(EDATE(DATE(YEAR(TODAY()),MONTH(TODAY()),1),9))*12+MONTH(EDATE(DATE(YEAR(TODAY()),MONTH(TODAY()),1),9)))&gt;(YEAR(Clients!G3)*12+MONTH(Clients!G3))),"",1),IF(Clients!E3="Quarterly",IF(MOD((YEAR(EDATE(DATE(YEAR(TODAY()),MONTH(TODAY()),1),9))-YEAR(IF(ISNUMBER(Clients!F3),Clients!F3,DATE(YEAR(TODAY()),MONTH(TODAY()),1))))*12+MONTH(EDATE(DATE(YEAR(TODAY()),MONTH(TODAY()),1),9))-MONTH(IF(ISNUMBER(Clients!F3),Clients!F3,DATE(YEAR(TODAY()),MONTH(TODAY()),1))),3)=0,1,0),IF(Clients!E3="Semi-annual",IF(MOD((YEAR(EDATE(DATE(YEAR(TODAY()),MONTH(TODAY()),1),9))-YEAR(IF(ISNUMBER(Clients!F3),Clients!F3,DATE(YEAR(TODAY()),MONTH(TODAY()),1))))*12+MONTH(EDATE(DATE(YEAR(TODAY()),MONTH(TODAY()),1),9))-MONTH(IF(ISNUMBER(Clients!F3),Clients!F3,DATE(YEAR(TODAY()),MONTH(TODAY()),1))),6)=0,1,0),IF(Clients!E3="Annual",IF(MOD((YEAR(EDATE(DATE(YEAR(TODAY()),MONTH(TODAY()),1),9))-YEAR(IF(ISNUMBER(Clients!F3),Clients!F3,DATE(YEAR(TODAY()),MONTH(TODAY()),1))))*12+MONTH(EDATE(DATE(YEAR(TODAY()),MONTH(TODAY()),1),9))-MONTH(IF(ISNUMBER(Clients!F3),Clients!F3,DATE(YEAR(TODAY()),MONTH(TODAY()),1))),12)=0,1,0),IF(Clients!E3="One-time",IF(9=0,1,0),1)))))),"")</f>
        <v/>
      </c>
      <c r="P73" s="10" t="str">
        <f ca="1">IFERROR(IF(OR(10&gt;=$B$1,Clients!A3="",NOT(ISNUMBER(Clients!D3)),Clients!L3="Expired",Clients!L3="Terminate"),"",Clients!D3*1*IF(Clients!E3="Monthly",IF(AND(ISNUMBER(Clients!G3),(YEAR(EDATE(DATE(YEAR(TODAY()),MONTH(TODAY()),1),10))*12+MONTH(EDATE(DATE(YEAR(TODAY()),MONTH(TODAY()),1),10)))&gt;(YEAR(Clients!G3)*12+MONTH(Clients!G3))),"",1),IF(Clients!E3="Quarterly",IF(MOD((YEAR(EDATE(DATE(YEAR(TODAY()),MONTH(TODAY()),1),10))-YEAR(IF(ISNUMBER(Clients!F3),Clients!F3,DATE(YEAR(TODAY()),MONTH(TODAY()),1))))*12+MONTH(EDATE(DATE(YEAR(TODAY()),MONTH(TODAY()),1),10))-MONTH(IF(ISNUMBER(Clients!F3),Clients!F3,DATE(YEAR(TODAY()),MONTH(TODAY()),1))),3)=0,1,0),IF(Clients!E3="Semi-annual",IF(MOD((YEAR(EDATE(DATE(YEAR(TODAY()),MONTH(TODAY()),1),10))-YEAR(IF(ISNUMBER(Clients!F3),Clients!F3,DATE(YEAR(TODAY()),MONTH(TODAY()),1))))*12+MONTH(EDATE(DATE(YEAR(TODAY()),MONTH(TODAY()),1),10))-MONTH(IF(ISNUMBER(Clients!F3),Clients!F3,DATE(YEAR(TODAY()),MONTH(TODAY()),1))),6)=0,1,0),IF(Clients!E3="Annual",IF(MOD((YEAR(EDATE(DATE(YEAR(TODAY()),MONTH(TODAY()),1),10))-YEAR(IF(ISNUMBER(Clients!F3),Clients!F3,DATE(YEAR(TODAY()),MONTH(TODAY()),1))))*12+MONTH(EDATE(DATE(YEAR(TODAY()),MONTH(TODAY()),1),10))-MONTH(IF(ISNUMBER(Clients!F3),Clients!F3,DATE(YEAR(TODAY()),MONTH(TODAY()),1))),12)=0,1,0),IF(Clients!E3="One-time",IF(10=0,1,0),1)))))),"")</f>
        <v/>
      </c>
      <c r="Q73" s="10" t="str">
        <f ca="1">IFERROR(IF(OR(11&gt;=$B$1,Clients!A3="",NOT(ISNUMBER(Clients!D3)),Clients!L3="Expired",Clients!L3="Terminate"),"",Clients!D3*1*IF(Clients!E3="Monthly",IF(AND(ISNUMBER(Clients!G3),(YEAR(EDATE(DATE(YEAR(TODAY()),MONTH(TODAY()),1),11))*12+MONTH(EDATE(DATE(YEAR(TODAY()),MONTH(TODAY()),1),11)))&gt;(YEAR(Clients!G3)*12+MONTH(Clients!G3))),"",1),IF(Clients!E3="Quarterly",IF(MOD((YEAR(EDATE(DATE(YEAR(TODAY()),MONTH(TODAY()),1),11))-YEAR(IF(ISNUMBER(Clients!F3),Clients!F3,DATE(YEAR(TODAY()),MONTH(TODAY()),1))))*12+MONTH(EDATE(DATE(YEAR(TODAY()),MONTH(TODAY()),1),11))-MONTH(IF(ISNUMBER(Clients!F3),Clients!F3,DATE(YEAR(TODAY()),MONTH(TODAY()),1))),3)=0,1,0),IF(Clients!E3="Semi-annual",IF(MOD((YEAR(EDATE(DATE(YEAR(TODAY()),MONTH(TODAY()),1),11))-YEAR(IF(ISNUMBER(Clients!F3),Clients!F3,DATE(YEAR(TODAY()),MONTH(TODAY()),1))))*12+MONTH(EDATE(DATE(YEAR(TODAY()),MONTH(TODAY()),1),11))-MONTH(IF(ISNUMBER(Clients!F3),Clients!F3,DATE(YEAR(TODAY()),MONTH(TODAY()),1))),6)=0,1,0),IF(Clients!E3="Annual",IF(MOD((YEAR(EDATE(DATE(YEAR(TODAY()),MONTH(TODAY()),1),11))-YEAR(IF(ISNUMBER(Clients!F3),Clients!F3,DATE(YEAR(TODAY()),MONTH(TODAY()),1))))*12+MONTH(EDATE(DATE(YEAR(TODAY()),MONTH(TODAY()),1),11))-MONTH(IF(ISNUMBER(Clients!F3),Clients!F3,DATE(YEAR(TODAY()),MONTH(TODAY()),1))),12)=0,1,0),IF(Clients!E3="One-time",IF(11=0,1,0),1)))))),"")</f>
        <v/>
      </c>
      <c r="R73" s="10" t="str">
        <f ca="1">IFERROR(IF(OR(12&gt;=$B$1,Suppliers!A71="",NOT(ISNUMBER(Suppliers!D71)),Suppliers!L71="Expired",Suppliers!L71="Terminate"),"",Suppliers!D71*-1*IF(Suppliers!E71="Monthly",IF(AND(ISNUMBER(Suppliers!G71),(YEAR(EDATE(DATE(YEAR(TODAY()),MONTH(TODAY()),1),12))*12+MONTH(EDATE(DATE(YEAR(TODAY()),MONTH(TODAY()),1),12)))&gt;(YEAR(Suppliers!G71)*12+MONTH(Suppliers!G71))),"",1),IF(Suppliers!E71="Quarterly",IF(MOD((YEAR(EDATE(DATE(YEAR(TODAY()),MONTH(TODAY()),1),12))-YEAR(IF(ISNUMBER(Suppliers!F71),Suppliers!F71,DATE(YEAR(TODAY()),MONTH(TODAY()),1))))*12+MONTH(EDATE(DATE(YEAR(TODAY()),MONTH(TODAY()),1),12))-MONTH(IF(ISNUMBER(Suppliers!F71),Suppliers!F71,DATE(YEAR(TODAY()),MONTH(TODAY()),1))),3)=0,1,0),IF(Suppliers!E71="Semi-annual",IF(MOD((YEAR(EDATE(DATE(YEAR(TODAY()),MONTH(TODAY()),1),12))-YEAR(IF(ISNUMBER(Suppliers!F71),Suppliers!F71,DATE(YEAR(TODAY()),MONTH(TODAY()),1))))*12+MONTH(EDATE(DATE(YEAR(TODAY()),MONTH(TODAY()),1),12))-MONTH(IF(ISNUMBER(Suppliers!F71),Suppliers!F71,DATE(YEAR(TODAY()),MONTH(TODAY()),1))),6)=0,1,0),IF(Suppliers!E71="Annual",IF(MOD((YEAR(EDATE(DATE(YEAR(TODAY()),MONTH(TODAY()),1),12))-YEAR(IF(ISNUMBER(Suppliers!F71),Suppliers!F71,DATE(YEAR(TODAY()),MONTH(TODAY()),1))))*12+MONTH(EDATE(DATE(YEAR(TODAY()),MONTH(TODAY()),1),12))-MONTH(IF(ISNUMBER(Suppliers!F71),Suppliers!F71,DATE(YEAR(TODAY()),MONTH(TODAY()),1))),12)=0,1,0),IF(Suppliers!E71="One-time",IF(12=0,1,0),1)))))),"")</f>
        <v/>
      </c>
      <c r="S73" s="10" t="str">
        <f ca="1">IFERROR(IF(OR(13&gt;=$B$1,Suppliers!A71="",NOT(ISNUMBER(Suppliers!D71)),Suppliers!L71="Expired",Suppliers!L71="Terminate"),"",Suppliers!D71*-1*IF(Suppliers!E71="Monthly",IF(AND(ISNUMBER(Suppliers!G71),(YEAR(EDATE(DATE(YEAR(TODAY()),MONTH(TODAY()),1),13))*12+MONTH(EDATE(DATE(YEAR(TODAY()),MONTH(TODAY()),1),13)))&gt;(YEAR(Suppliers!G71)*12+MONTH(Suppliers!G71))),"",1),IF(Suppliers!E71="Quarterly",IF(MOD((YEAR(EDATE(DATE(YEAR(TODAY()),MONTH(TODAY()),1),13))-YEAR(IF(ISNUMBER(Suppliers!F71),Suppliers!F71,DATE(YEAR(TODAY()),MONTH(TODAY()),1))))*12+MONTH(EDATE(DATE(YEAR(TODAY()),MONTH(TODAY()),1),13))-MONTH(IF(ISNUMBER(Suppliers!F71),Suppliers!F71,DATE(YEAR(TODAY()),MONTH(TODAY()),1))),3)=0,1,0),IF(Suppliers!E71="Semi-annual",IF(MOD((YEAR(EDATE(DATE(YEAR(TODAY()),MONTH(TODAY()),1),13))-YEAR(IF(ISNUMBER(Suppliers!F71),Suppliers!F71,DATE(YEAR(TODAY()),MONTH(TODAY()),1))))*12+MONTH(EDATE(DATE(YEAR(TODAY()),MONTH(TODAY()),1),13))-MONTH(IF(ISNUMBER(Suppliers!F71),Suppliers!F71,DATE(YEAR(TODAY()),MONTH(TODAY()),1))),6)=0,1,0),IF(Suppliers!E71="Annual",IF(MOD((YEAR(EDATE(DATE(YEAR(TODAY()),MONTH(TODAY()),1),13))-YEAR(IF(ISNUMBER(Suppliers!F71),Suppliers!F71,DATE(YEAR(TODAY()),MONTH(TODAY()),1))))*12+MONTH(EDATE(DATE(YEAR(TODAY()),MONTH(TODAY()),1),13))-MONTH(IF(ISNUMBER(Suppliers!F71),Suppliers!F71,DATE(YEAR(TODAY()),MONTH(TODAY()),1))),12)=0,1,0),IF(Suppliers!E71="One-time",IF(13=0,1,0),1)))))),"")</f>
        <v/>
      </c>
      <c r="T73" s="10" t="str">
        <f ca="1">IFERROR(IF(OR(14&gt;=$B$1,Suppliers!A71="",NOT(ISNUMBER(Suppliers!D71)),Suppliers!L71="Expired",Suppliers!L71="Terminate"),"",Suppliers!D71*-1*IF(Suppliers!E71="Monthly",IF(AND(ISNUMBER(Suppliers!G71),(YEAR(EDATE(DATE(YEAR(TODAY()),MONTH(TODAY()),1),14))*12+MONTH(EDATE(DATE(YEAR(TODAY()),MONTH(TODAY()),1),14)))&gt;(YEAR(Suppliers!G71)*12+MONTH(Suppliers!G71))),"",1),IF(Suppliers!E71="Quarterly",IF(MOD((YEAR(EDATE(DATE(YEAR(TODAY()),MONTH(TODAY()),1),14))-YEAR(IF(ISNUMBER(Suppliers!F71),Suppliers!F71,DATE(YEAR(TODAY()),MONTH(TODAY()),1))))*12+MONTH(EDATE(DATE(YEAR(TODAY()),MONTH(TODAY()),1),14))-MONTH(IF(ISNUMBER(Suppliers!F71),Suppliers!F71,DATE(YEAR(TODAY()),MONTH(TODAY()),1))),3)=0,1,0),IF(Suppliers!E71="Semi-annual",IF(MOD((YEAR(EDATE(DATE(YEAR(TODAY()),MONTH(TODAY()),1),14))-YEAR(IF(ISNUMBER(Suppliers!F71),Suppliers!F71,DATE(YEAR(TODAY()),MONTH(TODAY()),1))))*12+MONTH(EDATE(DATE(YEAR(TODAY()),MONTH(TODAY()),1),14))-MONTH(IF(ISNUMBER(Suppliers!F71),Suppliers!F71,DATE(YEAR(TODAY()),MONTH(TODAY()),1))),6)=0,1,0),IF(Suppliers!E71="Annual",IF(MOD((YEAR(EDATE(DATE(YEAR(TODAY()),MONTH(TODAY()),1),14))-YEAR(IF(ISNUMBER(Suppliers!F71),Suppliers!F71,DATE(YEAR(TODAY()),MONTH(TODAY()),1))))*12+MONTH(EDATE(DATE(YEAR(TODAY()),MONTH(TODAY()),1),14))-MONTH(IF(ISNUMBER(Suppliers!F71),Suppliers!F71,DATE(YEAR(TODAY()),MONTH(TODAY()),1))),12)=0,1,0),IF(Suppliers!E71="One-time",IF(14=0,1,0),1)))))),"")</f>
        <v/>
      </c>
      <c r="U73" s="10" t="str">
        <f ca="1">IFERROR(IF(OR(15&gt;=$B$1,Suppliers!A71="",NOT(ISNUMBER(Suppliers!D71)),Suppliers!L71="Expired",Suppliers!L71="Terminate"),"",Suppliers!D71*-1*IF(Suppliers!E71="Monthly",IF(AND(ISNUMBER(Suppliers!G71),(YEAR(EDATE(DATE(YEAR(TODAY()),MONTH(TODAY()),1),15))*12+MONTH(EDATE(DATE(YEAR(TODAY()),MONTH(TODAY()),1),15)))&gt;(YEAR(Suppliers!G71)*12+MONTH(Suppliers!G71))),"",1),IF(Suppliers!E71="Quarterly",IF(MOD((YEAR(EDATE(DATE(YEAR(TODAY()),MONTH(TODAY()),1),15))-YEAR(IF(ISNUMBER(Suppliers!F71),Suppliers!F71,DATE(YEAR(TODAY()),MONTH(TODAY()),1))))*12+MONTH(EDATE(DATE(YEAR(TODAY()),MONTH(TODAY()),1),15))-MONTH(IF(ISNUMBER(Suppliers!F71),Suppliers!F71,DATE(YEAR(TODAY()),MONTH(TODAY()),1))),3)=0,1,0),IF(Suppliers!E71="Semi-annual",IF(MOD((YEAR(EDATE(DATE(YEAR(TODAY()),MONTH(TODAY()),1),15))-YEAR(IF(ISNUMBER(Suppliers!F71),Suppliers!F71,DATE(YEAR(TODAY()),MONTH(TODAY()),1))))*12+MONTH(EDATE(DATE(YEAR(TODAY()),MONTH(TODAY()),1),15))-MONTH(IF(ISNUMBER(Suppliers!F71),Suppliers!F71,DATE(YEAR(TODAY()),MONTH(TODAY()),1))),6)=0,1,0),IF(Suppliers!E71="Annual",IF(MOD((YEAR(EDATE(DATE(YEAR(TODAY()),MONTH(TODAY()),1),15))-YEAR(IF(ISNUMBER(Suppliers!F71),Suppliers!F71,DATE(YEAR(TODAY()),MONTH(TODAY()),1))))*12+MONTH(EDATE(DATE(YEAR(TODAY()),MONTH(TODAY()),1),15))-MONTH(IF(ISNUMBER(Suppliers!F71),Suppliers!F71,DATE(YEAR(TODAY()),MONTH(TODAY()),1))),12)=0,1,0),IF(Suppliers!E71="One-time",IF(15=0,1,0),1)))))),"")</f>
        <v/>
      </c>
      <c r="V73" s="10" t="str">
        <f ca="1">IFERROR(IF(OR(16&gt;=$B$1,Suppliers!A71="",NOT(ISNUMBER(Suppliers!D71)),Suppliers!L71="Expired",Suppliers!L71="Terminate"),"",Suppliers!D71*-1*IF(Suppliers!E71="Monthly",IF(AND(ISNUMBER(Suppliers!G71),(YEAR(EDATE(DATE(YEAR(TODAY()),MONTH(TODAY()),1),16))*12+MONTH(EDATE(DATE(YEAR(TODAY()),MONTH(TODAY()),1),16)))&gt;(YEAR(Suppliers!G71)*12+MONTH(Suppliers!G71))),"",1),IF(Suppliers!E71="Quarterly",IF(MOD((YEAR(EDATE(DATE(YEAR(TODAY()),MONTH(TODAY()),1),16))-YEAR(IF(ISNUMBER(Suppliers!F71),Suppliers!F71,DATE(YEAR(TODAY()),MONTH(TODAY()),1))))*12+MONTH(EDATE(DATE(YEAR(TODAY()),MONTH(TODAY()),1),16))-MONTH(IF(ISNUMBER(Suppliers!F71),Suppliers!F71,DATE(YEAR(TODAY()),MONTH(TODAY()),1))),3)=0,1,0),IF(Suppliers!E71="Semi-annual",IF(MOD((YEAR(EDATE(DATE(YEAR(TODAY()),MONTH(TODAY()),1),16))-YEAR(IF(ISNUMBER(Suppliers!F71),Suppliers!F71,DATE(YEAR(TODAY()),MONTH(TODAY()),1))))*12+MONTH(EDATE(DATE(YEAR(TODAY()),MONTH(TODAY()),1),16))-MONTH(IF(ISNUMBER(Suppliers!F71),Suppliers!F71,DATE(YEAR(TODAY()),MONTH(TODAY()),1))),6)=0,1,0),IF(Suppliers!E71="Annual",IF(MOD((YEAR(EDATE(DATE(YEAR(TODAY()),MONTH(TODAY()),1),16))-YEAR(IF(ISNUMBER(Suppliers!F71),Suppliers!F71,DATE(YEAR(TODAY()),MONTH(TODAY()),1))))*12+MONTH(EDATE(DATE(YEAR(TODAY()),MONTH(TODAY()),1),16))-MONTH(IF(ISNUMBER(Suppliers!F71),Suppliers!F71,DATE(YEAR(TODAY()),MONTH(TODAY()),1))),12)=0,1,0),IF(Suppliers!E71="One-time",IF(16=0,1,0),1)))))),"")</f>
        <v/>
      </c>
      <c r="W73" s="10" t="str">
        <f ca="1">IFERROR(IF(OR(17&gt;=$B$1,Suppliers!A71="",NOT(ISNUMBER(Suppliers!D71)),Suppliers!L71="Expired",Suppliers!L71="Terminate"),"",Suppliers!D71*-1*IF(Suppliers!E71="Monthly",IF(AND(ISNUMBER(Suppliers!G71),(YEAR(EDATE(DATE(YEAR(TODAY()),MONTH(TODAY()),1),17))*12+MONTH(EDATE(DATE(YEAR(TODAY()),MONTH(TODAY()),1),17)))&gt;(YEAR(Suppliers!G71)*12+MONTH(Suppliers!G71))),"",1),IF(Suppliers!E71="Quarterly",IF(MOD((YEAR(EDATE(DATE(YEAR(TODAY()),MONTH(TODAY()),1),17))-YEAR(IF(ISNUMBER(Suppliers!F71),Suppliers!F71,DATE(YEAR(TODAY()),MONTH(TODAY()),1))))*12+MONTH(EDATE(DATE(YEAR(TODAY()),MONTH(TODAY()),1),17))-MONTH(IF(ISNUMBER(Suppliers!F71),Suppliers!F71,DATE(YEAR(TODAY()),MONTH(TODAY()),1))),3)=0,1,0),IF(Suppliers!E71="Semi-annual",IF(MOD((YEAR(EDATE(DATE(YEAR(TODAY()),MONTH(TODAY()),1),17))-YEAR(IF(ISNUMBER(Suppliers!F71),Suppliers!F71,DATE(YEAR(TODAY()),MONTH(TODAY()),1))))*12+MONTH(EDATE(DATE(YEAR(TODAY()),MONTH(TODAY()),1),17))-MONTH(IF(ISNUMBER(Suppliers!F71),Suppliers!F71,DATE(YEAR(TODAY()),MONTH(TODAY()),1))),6)=0,1,0),IF(Suppliers!E71="Annual",IF(MOD((YEAR(EDATE(DATE(YEAR(TODAY()),MONTH(TODAY()),1),17))-YEAR(IF(ISNUMBER(Suppliers!F71),Suppliers!F71,DATE(YEAR(TODAY()),MONTH(TODAY()),1))))*12+MONTH(EDATE(DATE(YEAR(TODAY()),MONTH(TODAY()),1),17))-MONTH(IF(ISNUMBER(Suppliers!F71),Suppliers!F71,DATE(YEAR(TODAY()),MONTH(TODAY()),1))),12)=0,1,0),IF(Suppliers!E71="One-time",IF(17=0,1,0),1)))))),"")</f>
        <v/>
      </c>
      <c r="X73" s="10" t="str">
        <f ca="1">IFERROR(IF(OR(18&gt;=$B$1,Suppliers!A71="",NOT(ISNUMBER(Suppliers!D71)),Suppliers!L71="Expired",Suppliers!L71="Terminate"),"",Suppliers!D71*-1*IF(Suppliers!E71="Monthly",IF(AND(ISNUMBER(Suppliers!G71),(YEAR(EDATE(DATE(YEAR(TODAY()),MONTH(TODAY()),1),18))*12+MONTH(EDATE(DATE(YEAR(TODAY()),MONTH(TODAY()),1),18)))&gt;(YEAR(Suppliers!G71)*12+MONTH(Suppliers!G71))),"",1),IF(Suppliers!E71="Quarterly",IF(MOD((YEAR(EDATE(DATE(YEAR(TODAY()),MONTH(TODAY()),1),18))-YEAR(IF(ISNUMBER(Suppliers!F71),Suppliers!F71,DATE(YEAR(TODAY()),MONTH(TODAY()),1))))*12+MONTH(EDATE(DATE(YEAR(TODAY()),MONTH(TODAY()),1),18))-MONTH(IF(ISNUMBER(Suppliers!F71),Suppliers!F71,DATE(YEAR(TODAY()),MONTH(TODAY()),1))),3)=0,1,0),IF(Suppliers!E71="Semi-annual",IF(MOD((YEAR(EDATE(DATE(YEAR(TODAY()),MONTH(TODAY()),1),18))-YEAR(IF(ISNUMBER(Suppliers!F71),Suppliers!F71,DATE(YEAR(TODAY()),MONTH(TODAY()),1))))*12+MONTH(EDATE(DATE(YEAR(TODAY()),MONTH(TODAY()),1),18))-MONTH(IF(ISNUMBER(Suppliers!F71),Suppliers!F71,DATE(YEAR(TODAY()),MONTH(TODAY()),1))),6)=0,1,0),IF(Suppliers!E71="Annual",IF(MOD((YEAR(EDATE(DATE(YEAR(TODAY()),MONTH(TODAY()),1),18))-YEAR(IF(ISNUMBER(Suppliers!F71),Suppliers!F71,DATE(YEAR(TODAY()),MONTH(TODAY()),1))))*12+MONTH(EDATE(DATE(YEAR(TODAY()),MONTH(TODAY()),1),18))-MONTH(IF(ISNUMBER(Suppliers!F71),Suppliers!F71,DATE(YEAR(TODAY()),MONTH(TODAY()),1))),12)=0,1,0),IF(Suppliers!E71="One-time",IF(18=0,1,0),1)))))),"")</f>
        <v/>
      </c>
      <c r="Y73" s="10" t="str">
        <f ca="1">IFERROR(IF(OR(19&gt;=$B$1,Suppliers!A71="",NOT(ISNUMBER(Suppliers!D71)),Suppliers!L71="Expired",Suppliers!L71="Terminate"),"",Suppliers!D71*-1*IF(Suppliers!E71="Monthly",IF(AND(ISNUMBER(Suppliers!G71),(YEAR(EDATE(DATE(YEAR(TODAY()),MONTH(TODAY()),1),19))*12+MONTH(EDATE(DATE(YEAR(TODAY()),MONTH(TODAY()),1),19)))&gt;(YEAR(Suppliers!G71)*12+MONTH(Suppliers!G71))),"",1),IF(Suppliers!E71="Quarterly",IF(MOD((YEAR(EDATE(DATE(YEAR(TODAY()),MONTH(TODAY()),1),19))-YEAR(IF(ISNUMBER(Suppliers!F71),Suppliers!F71,DATE(YEAR(TODAY()),MONTH(TODAY()),1))))*12+MONTH(EDATE(DATE(YEAR(TODAY()),MONTH(TODAY()),1),19))-MONTH(IF(ISNUMBER(Suppliers!F71),Suppliers!F71,DATE(YEAR(TODAY()),MONTH(TODAY()),1))),3)=0,1,0),IF(Suppliers!E71="Semi-annual",IF(MOD((YEAR(EDATE(DATE(YEAR(TODAY()),MONTH(TODAY()),1),19))-YEAR(IF(ISNUMBER(Suppliers!F71),Suppliers!F71,DATE(YEAR(TODAY()),MONTH(TODAY()),1))))*12+MONTH(EDATE(DATE(YEAR(TODAY()),MONTH(TODAY()),1),19))-MONTH(IF(ISNUMBER(Suppliers!F71),Suppliers!F71,DATE(YEAR(TODAY()),MONTH(TODAY()),1))),6)=0,1,0),IF(Suppliers!E71="Annual",IF(MOD((YEAR(EDATE(DATE(YEAR(TODAY()),MONTH(TODAY()),1),19))-YEAR(IF(ISNUMBER(Suppliers!F71),Suppliers!F71,DATE(YEAR(TODAY()),MONTH(TODAY()),1))))*12+MONTH(EDATE(DATE(YEAR(TODAY()),MONTH(TODAY()),1),19))-MONTH(IF(ISNUMBER(Suppliers!F71),Suppliers!F71,DATE(YEAR(TODAY()),MONTH(TODAY()),1))),12)=0,1,0),IF(Suppliers!E71="One-time",IF(19=0,1,0),1)))))),"")</f>
        <v/>
      </c>
      <c r="Z73" s="10" t="str">
        <f ca="1">IFERROR(IF(OR(20&gt;=$B$1,Suppliers!A71="",NOT(ISNUMBER(Suppliers!D71)),Suppliers!L71="Expired",Suppliers!L71="Terminate"),"",Suppliers!D71*-1*IF(Suppliers!E71="Monthly",IF(AND(ISNUMBER(Suppliers!G71),(YEAR(EDATE(DATE(YEAR(TODAY()),MONTH(TODAY()),1),20))*12+MONTH(EDATE(DATE(YEAR(TODAY()),MONTH(TODAY()),1),20)))&gt;(YEAR(Suppliers!G71)*12+MONTH(Suppliers!G71))),"",1),IF(Suppliers!E71="Quarterly",IF(MOD((YEAR(EDATE(DATE(YEAR(TODAY()),MONTH(TODAY()),1),20))-YEAR(IF(ISNUMBER(Suppliers!F71),Suppliers!F71,DATE(YEAR(TODAY()),MONTH(TODAY()),1))))*12+MONTH(EDATE(DATE(YEAR(TODAY()),MONTH(TODAY()),1),20))-MONTH(IF(ISNUMBER(Suppliers!F71),Suppliers!F71,DATE(YEAR(TODAY()),MONTH(TODAY()),1))),3)=0,1,0),IF(Suppliers!E71="Semi-annual",IF(MOD((YEAR(EDATE(DATE(YEAR(TODAY()),MONTH(TODAY()),1),20))-YEAR(IF(ISNUMBER(Suppliers!F71),Suppliers!F71,DATE(YEAR(TODAY()),MONTH(TODAY()),1))))*12+MONTH(EDATE(DATE(YEAR(TODAY()),MONTH(TODAY()),1),20))-MONTH(IF(ISNUMBER(Suppliers!F71),Suppliers!F71,DATE(YEAR(TODAY()),MONTH(TODAY()),1))),6)=0,1,0),IF(Suppliers!E71="Annual",IF(MOD((YEAR(EDATE(DATE(YEAR(TODAY()),MONTH(TODAY()),1),20))-YEAR(IF(ISNUMBER(Suppliers!F71),Suppliers!F71,DATE(YEAR(TODAY()),MONTH(TODAY()),1))))*12+MONTH(EDATE(DATE(YEAR(TODAY()),MONTH(TODAY()),1),20))-MONTH(IF(ISNUMBER(Suppliers!F71),Suppliers!F71,DATE(YEAR(TODAY()),MONTH(TODAY()),1))),12)=0,1,0),IF(Suppliers!E71="One-time",IF(20=0,1,0),1)))))),"")</f>
        <v/>
      </c>
      <c r="AA73" s="10" t="str">
        <f ca="1">IFERROR(IF(OR(21&gt;=$B$1,Suppliers!A71="",NOT(ISNUMBER(Suppliers!D71)),Suppliers!L71="Expired",Suppliers!L71="Terminate"),"",Suppliers!D71*-1*IF(Suppliers!E71="Monthly",IF(AND(ISNUMBER(Suppliers!G71),(YEAR(EDATE(DATE(YEAR(TODAY()),MONTH(TODAY()),1),21))*12+MONTH(EDATE(DATE(YEAR(TODAY()),MONTH(TODAY()),1),21)))&gt;(YEAR(Suppliers!G71)*12+MONTH(Suppliers!G71))),"",1),IF(Suppliers!E71="Quarterly",IF(MOD((YEAR(EDATE(DATE(YEAR(TODAY()),MONTH(TODAY()),1),21))-YEAR(IF(ISNUMBER(Suppliers!F71),Suppliers!F71,DATE(YEAR(TODAY()),MONTH(TODAY()),1))))*12+MONTH(EDATE(DATE(YEAR(TODAY()),MONTH(TODAY()),1),21))-MONTH(IF(ISNUMBER(Suppliers!F71),Suppliers!F71,DATE(YEAR(TODAY()),MONTH(TODAY()),1))),3)=0,1,0),IF(Suppliers!E71="Semi-annual",IF(MOD((YEAR(EDATE(DATE(YEAR(TODAY()),MONTH(TODAY()),1),21))-YEAR(IF(ISNUMBER(Suppliers!F71),Suppliers!F71,DATE(YEAR(TODAY()),MONTH(TODAY()),1))))*12+MONTH(EDATE(DATE(YEAR(TODAY()),MONTH(TODAY()),1),21))-MONTH(IF(ISNUMBER(Suppliers!F71),Suppliers!F71,DATE(YEAR(TODAY()),MONTH(TODAY()),1))),6)=0,1,0),IF(Suppliers!E71="Annual",IF(MOD((YEAR(EDATE(DATE(YEAR(TODAY()),MONTH(TODAY()),1),21))-YEAR(IF(ISNUMBER(Suppliers!F71),Suppliers!F71,DATE(YEAR(TODAY()),MONTH(TODAY()),1))))*12+MONTH(EDATE(DATE(YEAR(TODAY()),MONTH(TODAY()),1),21))-MONTH(IF(ISNUMBER(Suppliers!F71),Suppliers!F71,DATE(YEAR(TODAY()),MONTH(TODAY()),1))),12)=0,1,0),IF(Suppliers!E71="One-time",IF(21=0,1,0),1)))))),"")</f>
        <v/>
      </c>
      <c r="AB73" s="10" t="str">
        <f ca="1">IFERROR(IF(OR(22&gt;=$B$1,Suppliers!A71="",NOT(ISNUMBER(Suppliers!D71)),Suppliers!L71="Expired",Suppliers!L71="Terminate"),"",Suppliers!D71*-1*IF(Suppliers!E71="Monthly",IF(AND(ISNUMBER(Suppliers!G71),(YEAR(EDATE(DATE(YEAR(TODAY()),MONTH(TODAY()),1),22))*12+MONTH(EDATE(DATE(YEAR(TODAY()),MONTH(TODAY()),1),22)))&gt;(YEAR(Suppliers!G71)*12+MONTH(Suppliers!G71))),"",1),IF(Suppliers!E71="Quarterly",IF(MOD((YEAR(EDATE(DATE(YEAR(TODAY()),MONTH(TODAY()),1),22))-YEAR(IF(ISNUMBER(Suppliers!F71),Suppliers!F71,DATE(YEAR(TODAY()),MONTH(TODAY()),1))))*12+MONTH(EDATE(DATE(YEAR(TODAY()),MONTH(TODAY()),1),22))-MONTH(IF(ISNUMBER(Suppliers!F71),Suppliers!F71,DATE(YEAR(TODAY()),MONTH(TODAY()),1))),3)=0,1,0),IF(Suppliers!E71="Semi-annual",IF(MOD((YEAR(EDATE(DATE(YEAR(TODAY()),MONTH(TODAY()),1),22))-YEAR(IF(ISNUMBER(Suppliers!F71),Suppliers!F71,DATE(YEAR(TODAY()),MONTH(TODAY()),1))))*12+MONTH(EDATE(DATE(YEAR(TODAY()),MONTH(TODAY()),1),22))-MONTH(IF(ISNUMBER(Suppliers!F71),Suppliers!F71,DATE(YEAR(TODAY()),MONTH(TODAY()),1))),6)=0,1,0),IF(Suppliers!E71="Annual",IF(MOD((YEAR(EDATE(DATE(YEAR(TODAY()),MONTH(TODAY()),1),22))-YEAR(IF(ISNUMBER(Suppliers!F71),Suppliers!F71,DATE(YEAR(TODAY()),MONTH(TODAY()),1))))*12+MONTH(EDATE(DATE(YEAR(TODAY()),MONTH(TODAY()),1),22))-MONTH(IF(ISNUMBER(Suppliers!F71),Suppliers!F71,DATE(YEAR(TODAY()),MONTH(TODAY()),1))),12)=0,1,0),IF(Suppliers!E71="One-time",IF(22=0,1,0),1)))))),"")</f>
        <v/>
      </c>
      <c r="AC73" s="10" t="str">
        <f ca="1">IFERROR(IF(OR(23&gt;=$B$1,Suppliers!A71="",NOT(ISNUMBER(Suppliers!D71)),Suppliers!L71="Expired",Suppliers!L71="Terminate"),"",Suppliers!D71*-1*IF(Suppliers!E71="Monthly",IF(AND(ISNUMBER(Suppliers!G71),(YEAR(EDATE(DATE(YEAR(TODAY()),MONTH(TODAY()),1),23))*12+MONTH(EDATE(DATE(YEAR(TODAY()),MONTH(TODAY()),1),23)))&gt;(YEAR(Suppliers!G71)*12+MONTH(Suppliers!G71))),"",1),IF(Suppliers!E71="Quarterly",IF(MOD((YEAR(EDATE(DATE(YEAR(TODAY()),MONTH(TODAY()),1),23))-YEAR(IF(ISNUMBER(Suppliers!F71),Suppliers!F71,DATE(YEAR(TODAY()),MONTH(TODAY()),1))))*12+MONTH(EDATE(DATE(YEAR(TODAY()),MONTH(TODAY()),1),23))-MONTH(IF(ISNUMBER(Suppliers!F71),Suppliers!F71,DATE(YEAR(TODAY()),MONTH(TODAY()),1))),3)=0,1,0),IF(Suppliers!E71="Semi-annual",IF(MOD((YEAR(EDATE(DATE(YEAR(TODAY()),MONTH(TODAY()),1),23))-YEAR(IF(ISNUMBER(Suppliers!F71),Suppliers!F71,DATE(YEAR(TODAY()),MONTH(TODAY()),1))))*12+MONTH(EDATE(DATE(YEAR(TODAY()),MONTH(TODAY()),1),23))-MONTH(IF(ISNUMBER(Suppliers!F71),Suppliers!F71,DATE(YEAR(TODAY()),MONTH(TODAY()),1))),6)=0,1,0),IF(Suppliers!E71="Annual",IF(MOD((YEAR(EDATE(DATE(YEAR(TODAY()),MONTH(TODAY()),1),23))-YEAR(IF(ISNUMBER(Suppliers!F71),Suppliers!F71,DATE(YEAR(TODAY()),MONTH(TODAY()),1))))*12+MONTH(EDATE(DATE(YEAR(TODAY()),MONTH(TODAY()),1),23))-MONTH(IF(ISNUMBER(Suppliers!F71),Suppliers!F71,DATE(YEAR(TODAY()),MONTH(TODAY()),1))),12)=0,1,0),IF(Suppliers!E71="One-time",IF(23=0,1,0),1)))))),"")</f>
        <v/>
      </c>
    </row>
    <row r="74" spans="1:29" ht="15" customHeight="1" x14ac:dyDescent="0.35">
      <c r="A74" s="4" t="s">
        <v>81</v>
      </c>
      <c r="B74" s="4" t="str">
        <f>IF(Clients!A4="","",Clients!A4)</f>
        <v/>
      </c>
      <c r="C74" s="10" t="str">
        <f>IF(Clients!C4="","",Clients!C4)</f>
        <v/>
      </c>
      <c r="D74" s="10" t="str">
        <f>IF(Clients!D4="","",Clients!D4)</f>
        <v/>
      </c>
      <c r="E74" s="4" t="str">
        <f>IF(Clients!E4="","",Clients!E4)</f>
        <v/>
      </c>
      <c r="F74" s="10" t="str">
        <f ca="1">IFERROR(IF(OR(0&gt;=$B$1,Clients!A4="",NOT(ISNUMBER(Clients!D4)),Clients!L4="Expired",Clients!L4="Terminate"),"",Clients!D4*1*IF(Clients!E4="Monthly",IF(AND(ISNUMBER(Clients!G4),(YEAR(EDATE(DATE(YEAR(TODAY()),MONTH(TODAY()),1),0))*12+MONTH(EDATE(DATE(YEAR(TODAY()),MONTH(TODAY()),1),0)))&gt;(YEAR(Clients!G4)*12+MONTH(Clients!G4))),"",1),IF(Clients!E4="Quarterly",IF(MOD((YEAR(EDATE(DATE(YEAR(TODAY()),MONTH(TODAY()),1),0))-YEAR(IF(ISNUMBER(Clients!F4),Clients!F4,DATE(YEAR(TODAY()),MONTH(TODAY()),1))))*12+MONTH(EDATE(DATE(YEAR(TODAY()),MONTH(TODAY()),1),0))-MONTH(IF(ISNUMBER(Clients!F4),Clients!F4,DATE(YEAR(TODAY()),MONTH(TODAY()),1))),3)=0,1,0),IF(Clients!E4="Semi-annual",IF(MOD((YEAR(EDATE(DATE(YEAR(TODAY()),MONTH(TODAY()),1),0))-YEAR(IF(ISNUMBER(Clients!F4),Clients!F4,DATE(YEAR(TODAY()),MONTH(TODAY()),1))))*12+MONTH(EDATE(DATE(YEAR(TODAY()),MONTH(TODAY()),1),0))-MONTH(IF(ISNUMBER(Clients!F4),Clients!F4,DATE(YEAR(TODAY()),MONTH(TODAY()),1))),6)=0,1,0),IF(Clients!E4="Annual",IF(MOD((YEAR(EDATE(DATE(YEAR(TODAY()),MONTH(TODAY()),1),0))-YEAR(IF(ISNUMBER(Clients!F4),Clients!F4,DATE(YEAR(TODAY()),MONTH(TODAY()),1))))*12+MONTH(EDATE(DATE(YEAR(TODAY()),MONTH(TODAY()),1),0))-MONTH(IF(ISNUMBER(Clients!F4),Clients!F4,DATE(YEAR(TODAY()),MONTH(TODAY()),1))),12)=0,1,0),IF(Clients!E4="One-time",IF(0=0,1,0),1)))))),"")</f>
        <v/>
      </c>
      <c r="G74" s="10" t="str">
        <f ca="1">IFERROR(IF(OR(1&gt;=$B$1,Clients!A4="",NOT(ISNUMBER(Clients!D4)),Clients!L4="Expired",Clients!L4="Terminate"),"",Clients!D4*1*IF(Clients!E4="Monthly",IF(AND(ISNUMBER(Clients!G4),(YEAR(EDATE(DATE(YEAR(TODAY()),MONTH(TODAY()),1),1))*12+MONTH(EDATE(DATE(YEAR(TODAY()),MONTH(TODAY()),1),1)))&gt;(YEAR(Clients!G4)*12+MONTH(Clients!G4))),"",1),IF(Clients!E4="Quarterly",IF(MOD((YEAR(EDATE(DATE(YEAR(TODAY()),MONTH(TODAY()),1),1))-YEAR(IF(ISNUMBER(Clients!F4),Clients!F4,DATE(YEAR(TODAY()),MONTH(TODAY()),1))))*12+MONTH(EDATE(DATE(YEAR(TODAY()),MONTH(TODAY()),1),1))-MONTH(IF(ISNUMBER(Clients!F4),Clients!F4,DATE(YEAR(TODAY()),MONTH(TODAY()),1))),3)=0,1,0),IF(Clients!E4="Semi-annual",IF(MOD((YEAR(EDATE(DATE(YEAR(TODAY()),MONTH(TODAY()),1),1))-YEAR(IF(ISNUMBER(Clients!F4),Clients!F4,DATE(YEAR(TODAY()),MONTH(TODAY()),1))))*12+MONTH(EDATE(DATE(YEAR(TODAY()),MONTH(TODAY()),1),1))-MONTH(IF(ISNUMBER(Clients!F4),Clients!F4,DATE(YEAR(TODAY()),MONTH(TODAY()),1))),6)=0,1,0),IF(Clients!E4="Annual",IF(MOD((YEAR(EDATE(DATE(YEAR(TODAY()),MONTH(TODAY()),1),1))-YEAR(IF(ISNUMBER(Clients!F4),Clients!F4,DATE(YEAR(TODAY()),MONTH(TODAY()),1))))*12+MONTH(EDATE(DATE(YEAR(TODAY()),MONTH(TODAY()),1),1))-MONTH(IF(ISNUMBER(Clients!F4),Clients!F4,DATE(YEAR(TODAY()),MONTH(TODAY()),1))),12)=0,1,0),IF(Clients!E4="One-time",IF(1=0,1,0),1)))))),"")</f>
        <v/>
      </c>
      <c r="H74" s="10" t="str">
        <f ca="1">IFERROR(IF(OR(2&gt;=$B$1,Clients!A4="",NOT(ISNUMBER(Clients!D4)),Clients!L4="Expired",Clients!L4="Terminate"),"",Clients!D4*1*IF(Clients!E4="Monthly",IF(AND(ISNUMBER(Clients!G4),(YEAR(EDATE(DATE(YEAR(TODAY()),MONTH(TODAY()),1),2))*12+MONTH(EDATE(DATE(YEAR(TODAY()),MONTH(TODAY()),1),2)))&gt;(YEAR(Clients!G4)*12+MONTH(Clients!G4))),"",1),IF(Clients!E4="Quarterly",IF(MOD((YEAR(EDATE(DATE(YEAR(TODAY()),MONTH(TODAY()),1),2))-YEAR(IF(ISNUMBER(Clients!F4),Clients!F4,DATE(YEAR(TODAY()),MONTH(TODAY()),1))))*12+MONTH(EDATE(DATE(YEAR(TODAY()),MONTH(TODAY()),1),2))-MONTH(IF(ISNUMBER(Clients!F4),Clients!F4,DATE(YEAR(TODAY()),MONTH(TODAY()),1))),3)=0,1,0),IF(Clients!E4="Semi-annual",IF(MOD((YEAR(EDATE(DATE(YEAR(TODAY()),MONTH(TODAY()),1),2))-YEAR(IF(ISNUMBER(Clients!F4),Clients!F4,DATE(YEAR(TODAY()),MONTH(TODAY()),1))))*12+MONTH(EDATE(DATE(YEAR(TODAY()),MONTH(TODAY()),1),2))-MONTH(IF(ISNUMBER(Clients!F4),Clients!F4,DATE(YEAR(TODAY()),MONTH(TODAY()),1))),6)=0,1,0),IF(Clients!E4="Annual",IF(MOD((YEAR(EDATE(DATE(YEAR(TODAY()),MONTH(TODAY()),1),2))-YEAR(IF(ISNUMBER(Clients!F4),Clients!F4,DATE(YEAR(TODAY()),MONTH(TODAY()),1))))*12+MONTH(EDATE(DATE(YEAR(TODAY()),MONTH(TODAY()),1),2))-MONTH(IF(ISNUMBER(Clients!F4),Clients!F4,DATE(YEAR(TODAY()),MONTH(TODAY()),1))),12)=0,1,0),IF(Clients!E4="One-time",IF(2=0,1,0),1)))))),"")</f>
        <v/>
      </c>
      <c r="I74" s="10" t="str">
        <f ca="1">IFERROR(IF(OR(3&gt;=$B$1,Clients!A4="",NOT(ISNUMBER(Clients!D4)),Clients!L4="Expired",Clients!L4="Terminate"),"",Clients!D4*1*IF(Clients!E4="Monthly",IF(AND(ISNUMBER(Clients!G4),(YEAR(EDATE(DATE(YEAR(TODAY()),MONTH(TODAY()),1),3))*12+MONTH(EDATE(DATE(YEAR(TODAY()),MONTH(TODAY()),1),3)))&gt;(YEAR(Clients!G4)*12+MONTH(Clients!G4))),"",1),IF(Clients!E4="Quarterly",IF(MOD((YEAR(EDATE(DATE(YEAR(TODAY()),MONTH(TODAY()),1),3))-YEAR(IF(ISNUMBER(Clients!F4),Clients!F4,DATE(YEAR(TODAY()),MONTH(TODAY()),1))))*12+MONTH(EDATE(DATE(YEAR(TODAY()),MONTH(TODAY()),1),3))-MONTH(IF(ISNUMBER(Clients!F4),Clients!F4,DATE(YEAR(TODAY()),MONTH(TODAY()),1))),3)=0,1,0),IF(Clients!E4="Semi-annual",IF(MOD((YEAR(EDATE(DATE(YEAR(TODAY()),MONTH(TODAY()),1),3))-YEAR(IF(ISNUMBER(Clients!F4),Clients!F4,DATE(YEAR(TODAY()),MONTH(TODAY()),1))))*12+MONTH(EDATE(DATE(YEAR(TODAY()),MONTH(TODAY()),1),3))-MONTH(IF(ISNUMBER(Clients!F4),Clients!F4,DATE(YEAR(TODAY()),MONTH(TODAY()),1))),6)=0,1,0),IF(Clients!E4="Annual",IF(MOD((YEAR(EDATE(DATE(YEAR(TODAY()),MONTH(TODAY()),1),3))-YEAR(IF(ISNUMBER(Clients!F4),Clients!F4,DATE(YEAR(TODAY()),MONTH(TODAY()),1))))*12+MONTH(EDATE(DATE(YEAR(TODAY()),MONTH(TODAY()),1),3))-MONTH(IF(ISNUMBER(Clients!F4),Clients!F4,DATE(YEAR(TODAY()),MONTH(TODAY()),1))),12)=0,1,0),IF(Clients!E4="One-time",IF(3=0,1,0),1)))))),"")</f>
        <v/>
      </c>
      <c r="J74" s="10" t="str">
        <f ca="1">IFERROR(IF(OR(4&gt;=$B$1,Clients!A4="",NOT(ISNUMBER(Clients!D4)),Clients!L4="Expired",Clients!L4="Terminate"),"",Clients!D4*1*IF(Clients!E4="Monthly",IF(AND(ISNUMBER(Clients!G4),(YEAR(EDATE(DATE(YEAR(TODAY()),MONTH(TODAY()),1),4))*12+MONTH(EDATE(DATE(YEAR(TODAY()),MONTH(TODAY()),1),4)))&gt;(YEAR(Clients!G4)*12+MONTH(Clients!G4))),"",1),IF(Clients!E4="Quarterly",IF(MOD((YEAR(EDATE(DATE(YEAR(TODAY()),MONTH(TODAY()),1),4))-YEAR(IF(ISNUMBER(Clients!F4),Clients!F4,DATE(YEAR(TODAY()),MONTH(TODAY()),1))))*12+MONTH(EDATE(DATE(YEAR(TODAY()),MONTH(TODAY()),1),4))-MONTH(IF(ISNUMBER(Clients!F4),Clients!F4,DATE(YEAR(TODAY()),MONTH(TODAY()),1))),3)=0,1,0),IF(Clients!E4="Semi-annual",IF(MOD((YEAR(EDATE(DATE(YEAR(TODAY()),MONTH(TODAY()),1),4))-YEAR(IF(ISNUMBER(Clients!F4),Clients!F4,DATE(YEAR(TODAY()),MONTH(TODAY()),1))))*12+MONTH(EDATE(DATE(YEAR(TODAY()),MONTH(TODAY()),1),4))-MONTH(IF(ISNUMBER(Clients!F4),Clients!F4,DATE(YEAR(TODAY()),MONTH(TODAY()),1))),6)=0,1,0),IF(Clients!E4="Annual",IF(MOD((YEAR(EDATE(DATE(YEAR(TODAY()),MONTH(TODAY()),1),4))-YEAR(IF(ISNUMBER(Clients!F4),Clients!F4,DATE(YEAR(TODAY()),MONTH(TODAY()),1))))*12+MONTH(EDATE(DATE(YEAR(TODAY()),MONTH(TODAY()),1),4))-MONTH(IF(ISNUMBER(Clients!F4),Clients!F4,DATE(YEAR(TODAY()),MONTH(TODAY()),1))),12)=0,1,0),IF(Clients!E4="One-time",IF(4=0,1,0),1)))))),"")</f>
        <v/>
      </c>
      <c r="K74" s="10" t="str">
        <f ca="1">IFERROR(IF(OR(5&gt;=$B$1,Clients!A4="",NOT(ISNUMBER(Clients!D4)),Clients!L4="Expired",Clients!L4="Terminate"),"",Clients!D4*1*IF(Clients!E4="Monthly",IF(AND(ISNUMBER(Clients!G4),(YEAR(EDATE(DATE(YEAR(TODAY()),MONTH(TODAY()),1),5))*12+MONTH(EDATE(DATE(YEAR(TODAY()),MONTH(TODAY()),1),5)))&gt;(YEAR(Clients!G4)*12+MONTH(Clients!G4))),"",1),IF(Clients!E4="Quarterly",IF(MOD((YEAR(EDATE(DATE(YEAR(TODAY()),MONTH(TODAY()),1),5))-YEAR(IF(ISNUMBER(Clients!F4),Clients!F4,DATE(YEAR(TODAY()),MONTH(TODAY()),1))))*12+MONTH(EDATE(DATE(YEAR(TODAY()),MONTH(TODAY()),1),5))-MONTH(IF(ISNUMBER(Clients!F4),Clients!F4,DATE(YEAR(TODAY()),MONTH(TODAY()),1))),3)=0,1,0),IF(Clients!E4="Semi-annual",IF(MOD((YEAR(EDATE(DATE(YEAR(TODAY()),MONTH(TODAY()),1),5))-YEAR(IF(ISNUMBER(Clients!F4),Clients!F4,DATE(YEAR(TODAY()),MONTH(TODAY()),1))))*12+MONTH(EDATE(DATE(YEAR(TODAY()),MONTH(TODAY()),1),5))-MONTH(IF(ISNUMBER(Clients!F4),Clients!F4,DATE(YEAR(TODAY()),MONTH(TODAY()),1))),6)=0,1,0),IF(Clients!E4="Annual",IF(MOD((YEAR(EDATE(DATE(YEAR(TODAY()),MONTH(TODAY()),1),5))-YEAR(IF(ISNUMBER(Clients!F4),Clients!F4,DATE(YEAR(TODAY()),MONTH(TODAY()),1))))*12+MONTH(EDATE(DATE(YEAR(TODAY()),MONTH(TODAY()),1),5))-MONTH(IF(ISNUMBER(Clients!F4),Clients!F4,DATE(YEAR(TODAY()),MONTH(TODAY()),1))),12)=0,1,0),IF(Clients!E4="One-time",IF(5=0,1,0),1)))))),"")</f>
        <v/>
      </c>
      <c r="L74" s="10" t="str">
        <f ca="1">IFERROR(IF(OR(6&gt;=$B$1,Clients!A4="",NOT(ISNUMBER(Clients!D4)),Clients!L4="Expired",Clients!L4="Terminate"),"",Clients!D4*1*IF(Clients!E4="Monthly",IF(AND(ISNUMBER(Clients!G4),(YEAR(EDATE(DATE(YEAR(TODAY()),MONTH(TODAY()),1),6))*12+MONTH(EDATE(DATE(YEAR(TODAY()),MONTH(TODAY()),1),6)))&gt;(YEAR(Clients!G4)*12+MONTH(Clients!G4))),"",1),IF(Clients!E4="Quarterly",IF(MOD((YEAR(EDATE(DATE(YEAR(TODAY()),MONTH(TODAY()),1),6))-YEAR(IF(ISNUMBER(Clients!F4),Clients!F4,DATE(YEAR(TODAY()),MONTH(TODAY()),1))))*12+MONTH(EDATE(DATE(YEAR(TODAY()),MONTH(TODAY()),1),6))-MONTH(IF(ISNUMBER(Clients!F4),Clients!F4,DATE(YEAR(TODAY()),MONTH(TODAY()),1))),3)=0,1,0),IF(Clients!E4="Semi-annual",IF(MOD((YEAR(EDATE(DATE(YEAR(TODAY()),MONTH(TODAY()),1),6))-YEAR(IF(ISNUMBER(Clients!F4),Clients!F4,DATE(YEAR(TODAY()),MONTH(TODAY()),1))))*12+MONTH(EDATE(DATE(YEAR(TODAY()),MONTH(TODAY()),1),6))-MONTH(IF(ISNUMBER(Clients!F4),Clients!F4,DATE(YEAR(TODAY()),MONTH(TODAY()),1))),6)=0,1,0),IF(Clients!E4="Annual",IF(MOD((YEAR(EDATE(DATE(YEAR(TODAY()),MONTH(TODAY()),1),6))-YEAR(IF(ISNUMBER(Clients!F4),Clients!F4,DATE(YEAR(TODAY()),MONTH(TODAY()),1))))*12+MONTH(EDATE(DATE(YEAR(TODAY()),MONTH(TODAY()),1),6))-MONTH(IF(ISNUMBER(Clients!F4),Clients!F4,DATE(YEAR(TODAY()),MONTH(TODAY()),1))),12)=0,1,0),IF(Clients!E4="One-time",IF(6=0,1,0),1)))))),"")</f>
        <v/>
      </c>
      <c r="M74" s="10" t="str">
        <f ca="1">IFERROR(IF(OR(7&gt;=$B$1,Clients!A4="",NOT(ISNUMBER(Clients!D4)),Clients!L4="Expired",Clients!L4="Terminate"),"",Clients!D4*1*IF(Clients!E4="Monthly",IF(AND(ISNUMBER(Clients!G4),(YEAR(EDATE(DATE(YEAR(TODAY()),MONTH(TODAY()),1),7))*12+MONTH(EDATE(DATE(YEAR(TODAY()),MONTH(TODAY()),1),7)))&gt;(YEAR(Clients!G4)*12+MONTH(Clients!G4))),"",1),IF(Clients!E4="Quarterly",IF(MOD((YEAR(EDATE(DATE(YEAR(TODAY()),MONTH(TODAY()),1),7))-YEAR(IF(ISNUMBER(Clients!F4),Clients!F4,DATE(YEAR(TODAY()),MONTH(TODAY()),1))))*12+MONTH(EDATE(DATE(YEAR(TODAY()),MONTH(TODAY()),1),7))-MONTH(IF(ISNUMBER(Clients!F4),Clients!F4,DATE(YEAR(TODAY()),MONTH(TODAY()),1))),3)=0,1,0),IF(Clients!E4="Semi-annual",IF(MOD((YEAR(EDATE(DATE(YEAR(TODAY()),MONTH(TODAY()),1),7))-YEAR(IF(ISNUMBER(Clients!F4),Clients!F4,DATE(YEAR(TODAY()),MONTH(TODAY()),1))))*12+MONTH(EDATE(DATE(YEAR(TODAY()),MONTH(TODAY()),1),7))-MONTH(IF(ISNUMBER(Clients!F4),Clients!F4,DATE(YEAR(TODAY()),MONTH(TODAY()),1))),6)=0,1,0),IF(Clients!E4="Annual",IF(MOD((YEAR(EDATE(DATE(YEAR(TODAY()),MONTH(TODAY()),1),7))-YEAR(IF(ISNUMBER(Clients!F4),Clients!F4,DATE(YEAR(TODAY()),MONTH(TODAY()),1))))*12+MONTH(EDATE(DATE(YEAR(TODAY()),MONTH(TODAY()),1),7))-MONTH(IF(ISNUMBER(Clients!F4),Clients!F4,DATE(YEAR(TODAY()),MONTH(TODAY()),1))),12)=0,1,0),IF(Clients!E4="One-time",IF(7=0,1,0),1)))))),"")</f>
        <v/>
      </c>
      <c r="N74" s="10" t="str">
        <f ca="1">IFERROR(IF(OR(8&gt;=$B$1,Clients!A4="",NOT(ISNUMBER(Clients!D4)),Clients!L4="Expired",Clients!L4="Terminate"),"",Clients!D4*1*IF(Clients!E4="Monthly",IF(AND(ISNUMBER(Clients!G4),(YEAR(EDATE(DATE(YEAR(TODAY()),MONTH(TODAY()),1),8))*12+MONTH(EDATE(DATE(YEAR(TODAY()),MONTH(TODAY()),1),8)))&gt;(YEAR(Clients!G4)*12+MONTH(Clients!G4))),"",1),IF(Clients!E4="Quarterly",IF(MOD((YEAR(EDATE(DATE(YEAR(TODAY()),MONTH(TODAY()),1),8))-YEAR(IF(ISNUMBER(Clients!F4),Clients!F4,DATE(YEAR(TODAY()),MONTH(TODAY()),1))))*12+MONTH(EDATE(DATE(YEAR(TODAY()),MONTH(TODAY()),1),8))-MONTH(IF(ISNUMBER(Clients!F4),Clients!F4,DATE(YEAR(TODAY()),MONTH(TODAY()),1))),3)=0,1,0),IF(Clients!E4="Semi-annual",IF(MOD((YEAR(EDATE(DATE(YEAR(TODAY()),MONTH(TODAY()),1),8))-YEAR(IF(ISNUMBER(Clients!F4),Clients!F4,DATE(YEAR(TODAY()),MONTH(TODAY()),1))))*12+MONTH(EDATE(DATE(YEAR(TODAY()),MONTH(TODAY()),1),8))-MONTH(IF(ISNUMBER(Clients!F4),Clients!F4,DATE(YEAR(TODAY()),MONTH(TODAY()),1))),6)=0,1,0),IF(Clients!E4="Annual",IF(MOD((YEAR(EDATE(DATE(YEAR(TODAY()),MONTH(TODAY()),1),8))-YEAR(IF(ISNUMBER(Clients!F4),Clients!F4,DATE(YEAR(TODAY()),MONTH(TODAY()),1))))*12+MONTH(EDATE(DATE(YEAR(TODAY()),MONTH(TODAY()),1),8))-MONTH(IF(ISNUMBER(Clients!F4),Clients!F4,DATE(YEAR(TODAY()),MONTH(TODAY()),1))),12)=0,1,0),IF(Clients!E4="One-time",IF(8=0,1,0),1)))))),"")</f>
        <v/>
      </c>
      <c r="O74" s="10" t="str">
        <f ca="1">IFERROR(IF(OR(9&gt;=$B$1,Clients!A4="",NOT(ISNUMBER(Clients!D4)),Clients!L4="Expired",Clients!L4="Terminate"),"",Clients!D4*1*IF(Clients!E4="Monthly",IF(AND(ISNUMBER(Clients!G4),(YEAR(EDATE(DATE(YEAR(TODAY()),MONTH(TODAY()),1),9))*12+MONTH(EDATE(DATE(YEAR(TODAY()),MONTH(TODAY()),1),9)))&gt;(YEAR(Clients!G4)*12+MONTH(Clients!G4))),"",1),IF(Clients!E4="Quarterly",IF(MOD((YEAR(EDATE(DATE(YEAR(TODAY()),MONTH(TODAY()),1),9))-YEAR(IF(ISNUMBER(Clients!F4),Clients!F4,DATE(YEAR(TODAY()),MONTH(TODAY()),1))))*12+MONTH(EDATE(DATE(YEAR(TODAY()),MONTH(TODAY()),1),9))-MONTH(IF(ISNUMBER(Clients!F4),Clients!F4,DATE(YEAR(TODAY()),MONTH(TODAY()),1))),3)=0,1,0),IF(Clients!E4="Semi-annual",IF(MOD((YEAR(EDATE(DATE(YEAR(TODAY()),MONTH(TODAY()),1),9))-YEAR(IF(ISNUMBER(Clients!F4),Clients!F4,DATE(YEAR(TODAY()),MONTH(TODAY()),1))))*12+MONTH(EDATE(DATE(YEAR(TODAY()),MONTH(TODAY()),1),9))-MONTH(IF(ISNUMBER(Clients!F4),Clients!F4,DATE(YEAR(TODAY()),MONTH(TODAY()),1))),6)=0,1,0),IF(Clients!E4="Annual",IF(MOD((YEAR(EDATE(DATE(YEAR(TODAY()),MONTH(TODAY()),1),9))-YEAR(IF(ISNUMBER(Clients!F4),Clients!F4,DATE(YEAR(TODAY()),MONTH(TODAY()),1))))*12+MONTH(EDATE(DATE(YEAR(TODAY()),MONTH(TODAY()),1),9))-MONTH(IF(ISNUMBER(Clients!F4),Clients!F4,DATE(YEAR(TODAY()),MONTH(TODAY()),1))),12)=0,1,0),IF(Clients!E4="One-time",IF(9=0,1,0),1)))))),"")</f>
        <v/>
      </c>
      <c r="P74" s="10" t="str">
        <f ca="1">IFERROR(IF(OR(10&gt;=$B$1,Clients!A4="",NOT(ISNUMBER(Clients!D4)),Clients!L4="Expired",Clients!L4="Terminate"),"",Clients!D4*1*IF(Clients!E4="Monthly",IF(AND(ISNUMBER(Clients!G4),(YEAR(EDATE(DATE(YEAR(TODAY()),MONTH(TODAY()),1),10))*12+MONTH(EDATE(DATE(YEAR(TODAY()),MONTH(TODAY()),1),10)))&gt;(YEAR(Clients!G4)*12+MONTH(Clients!G4))),"",1),IF(Clients!E4="Quarterly",IF(MOD((YEAR(EDATE(DATE(YEAR(TODAY()),MONTH(TODAY()),1),10))-YEAR(IF(ISNUMBER(Clients!F4),Clients!F4,DATE(YEAR(TODAY()),MONTH(TODAY()),1))))*12+MONTH(EDATE(DATE(YEAR(TODAY()),MONTH(TODAY()),1),10))-MONTH(IF(ISNUMBER(Clients!F4),Clients!F4,DATE(YEAR(TODAY()),MONTH(TODAY()),1))),3)=0,1,0),IF(Clients!E4="Semi-annual",IF(MOD((YEAR(EDATE(DATE(YEAR(TODAY()),MONTH(TODAY()),1),10))-YEAR(IF(ISNUMBER(Clients!F4),Clients!F4,DATE(YEAR(TODAY()),MONTH(TODAY()),1))))*12+MONTH(EDATE(DATE(YEAR(TODAY()),MONTH(TODAY()),1),10))-MONTH(IF(ISNUMBER(Clients!F4),Clients!F4,DATE(YEAR(TODAY()),MONTH(TODAY()),1))),6)=0,1,0),IF(Clients!E4="Annual",IF(MOD((YEAR(EDATE(DATE(YEAR(TODAY()),MONTH(TODAY()),1),10))-YEAR(IF(ISNUMBER(Clients!F4),Clients!F4,DATE(YEAR(TODAY()),MONTH(TODAY()),1))))*12+MONTH(EDATE(DATE(YEAR(TODAY()),MONTH(TODAY()),1),10))-MONTH(IF(ISNUMBER(Clients!F4),Clients!F4,DATE(YEAR(TODAY()),MONTH(TODAY()),1))),12)=0,1,0),IF(Clients!E4="One-time",IF(10=0,1,0),1)))))),"")</f>
        <v/>
      </c>
      <c r="Q74" s="10" t="str">
        <f ca="1">IFERROR(IF(OR(11&gt;=$B$1,Clients!A4="",NOT(ISNUMBER(Clients!D4)),Clients!L4="Expired",Clients!L4="Terminate"),"",Clients!D4*1*IF(Clients!E4="Monthly",IF(AND(ISNUMBER(Clients!G4),(YEAR(EDATE(DATE(YEAR(TODAY()),MONTH(TODAY()),1),11))*12+MONTH(EDATE(DATE(YEAR(TODAY()),MONTH(TODAY()),1),11)))&gt;(YEAR(Clients!G4)*12+MONTH(Clients!G4))),"",1),IF(Clients!E4="Quarterly",IF(MOD((YEAR(EDATE(DATE(YEAR(TODAY()),MONTH(TODAY()),1),11))-YEAR(IF(ISNUMBER(Clients!F4),Clients!F4,DATE(YEAR(TODAY()),MONTH(TODAY()),1))))*12+MONTH(EDATE(DATE(YEAR(TODAY()),MONTH(TODAY()),1),11))-MONTH(IF(ISNUMBER(Clients!F4),Clients!F4,DATE(YEAR(TODAY()),MONTH(TODAY()),1))),3)=0,1,0),IF(Clients!E4="Semi-annual",IF(MOD((YEAR(EDATE(DATE(YEAR(TODAY()),MONTH(TODAY()),1),11))-YEAR(IF(ISNUMBER(Clients!F4),Clients!F4,DATE(YEAR(TODAY()),MONTH(TODAY()),1))))*12+MONTH(EDATE(DATE(YEAR(TODAY()),MONTH(TODAY()),1),11))-MONTH(IF(ISNUMBER(Clients!F4),Clients!F4,DATE(YEAR(TODAY()),MONTH(TODAY()),1))),6)=0,1,0),IF(Clients!E4="Annual",IF(MOD((YEAR(EDATE(DATE(YEAR(TODAY()),MONTH(TODAY()),1),11))-YEAR(IF(ISNUMBER(Clients!F4),Clients!F4,DATE(YEAR(TODAY()),MONTH(TODAY()),1))))*12+MONTH(EDATE(DATE(YEAR(TODAY()),MONTH(TODAY()),1),11))-MONTH(IF(ISNUMBER(Clients!F4),Clients!F4,DATE(YEAR(TODAY()),MONTH(TODAY()),1))),12)=0,1,0),IF(Clients!E4="One-time",IF(11=0,1,0),1)))))),"")</f>
        <v/>
      </c>
      <c r="R74" s="10" t="str">
        <f ca="1">IFERROR(IF(OR(12&gt;=$B$1,Suppliers!A72="",NOT(ISNUMBER(Suppliers!D72)),Suppliers!L72="Expired",Suppliers!L72="Terminate"),"",Suppliers!D72*-1*IF(Suppliers!E72="Monthly",IF(AND(ISNUMBER(Suppliers!G72),(YEAR(EDATE(DATE(YEAR(TODAY()),MONTH(TODAY()),1),12))*12+MONTH(EDATE(DATE(YEAR(TODAY()),MONTH(TODAY()),1),12)))&gt;(YEAR(Suppliers!G72)*12+MONTH(Suppliers!G72))),"",1),IF(Suppliers!E72="Quarterly",IF(MOD((YEAR(EDATE(DATE(YEAR(TODAY()),MONTH(TODAY()),1),12))-YEAR(IF(ISNUMBER(Suppliers!F72),Suppliers!F72,DATE(YEAR(TODAY()),MONTH(TODAY()),1))))*12+MONTH(EDATE(DATE(YEAR(TODAY()),MONTH(TODAY()),1),12))-MONTH(IF(ISNUMBER(Suppliers!F72),Suppliers!F72,DATE(YEAR(TODAY()),MONTH(TODAY()),1))),3)=0,1,0),IF(Suppliers!E72="Semi-annual",IF(MOD((YEAR(EDATE(DATE(YEAR(TODAY()),MONTH(TODAY()),1),12))-YEAR(IF(ISNUMBER(Suppliers!F72),Suppliers!F72,DATE(YEAR(TODAY()),MONTH(TODAY()),1))))*12+MONTH(EDATE(DATE(YEAR(TODAY()),MONTH(TODAY()),1),12))-MONTH(IF(ISNUMBER(Suppliers!F72),Suppliers!F72,DATE(YEAR(TODAY()),MONTH(TODAY()),1))),6)=0,1,0),IF(Suppliers!E72="Annual",IF(MOD((YEAR(EDATE(DATE(YEAR(TODAY()),MONTH(TODAY()),1),12))-YEAR(IF(ISNUMBER(Suppliers!F72),Suppliers!F72,DATE(YEAR(TODAY()),MONTH(TODAY()),1))))*12+MONTH(EDATE(DATE(YEAR(TODAY()),MONTH(TODAY()),1),12))-MONTH(IF(ISNUMBER(Suppliers!F72),Suppliers!F72,DATE(YEAR(TODAY()),MONTH(TODAY()),1))),12)=0,1,0),IF(Suppliers!E72="One-time",IF(12=0,1,0),1)))))),"")</f>
        <v/>
      </c>
      <c r="S74" s="10" t="str">
        <f ca="1">IFERROR(IF(OR(13&gt;=$B$1,Suppliers!A72="",NOT(ISNUMBER(Suppliers!D72)),Suppliers!L72="Expired",Suppliers!L72="Terminate"),"",Suppliers!D72*-1*IF(Suppliers!E72="Monthly",IF(AND(ISNUMBER(Suppliers!G72),(YEAR(EDATE(DATE(YEAR(TODAY()),MONTH(TODAY()),1),13))*12+MONTH(EDATE(DATE(YEAR(TODAY()),MONTH(TODAY()),1),13)))&gt;(YEAR(Suppliers!G72)*12+MONTH(Suppliers!G72))),"",1),IF(Suppliers!E72="Quarterly",IF(MOD((YEAR(EDATE(DATE(YEAR(TODAY()),MONTH(TODAY()),1),13))-YEAR(IF(ISNUMBER(Suppliers!F72),Suppliers!F72,DATE(YEAR(TODAY()),MONTH(TODAY()),1))))*12+MONTH(EDATE(DATE(YEAR(TODAY()),MONTH(TODAY()),1),13))-MONTH(IF(ISNUMBER(Suppliers!F72),Suppliers!F72,DATE(YEAR(TODAY()),MONTH(TODAY()),1))),3)=0,1,0),IF(Suppliers!E72="Semi-annual",IF(MOD((YEAR(EDATE(DATE(YEAR(TODAY()),MONTH(TODAY()),1),13))-YEAR(IF(ISNUMBER(Suppliers!F72),Suppliers!F72,DATE(YEAR(TODAY()),MONTH(TODAY()),1))))*12+MONTH(EDATE(DATE(YEAR(TODAY()),MONTH(TODAY()),1),13))-MONTH(IF(ISNUMBER(Suppliers!F72),Suppliers!F72,DATE(YEAR(TODAY()),MONTH(TODAY()),1))),6)=0,1,0),IF(Suppliers!E72="Annual",IF(MOD((YEAR(EDATE(DATE(YEAR(TODAY()),MONTH(TODAY()),1),13))-YEAR(IF(ISNUMBER(Suppliers!F72),Suppliers!F72,DATE(YEAR(TODAY()),MONTH(TODAY()),1))))*12+MONTH(EDATE(DATE(YEAR(TODAY()),MONTH(TODAY()),1),13))-MONTH(IF(ISNUMBER(Suppliers!F72),Suppliers!F72,DATE(YEAR(TODAY()),MONTH(TODAY()),1))),12)=0,1,0),IF(Suppliers!E72="One-time",IF(13=0,1,0),1)))))),"")</f>
        <v/>
      </c>
      <c r="T74" s="10" t="str">
        <f ca="1">IFERROR(IF(OR(14&gt;=$B$1,Suppliers!A72="",NOT(ISNUMBER(Suppliers!D72)),Suppliers!L72="Expired",Suppliers!L72="Terminate"),"",Suppliers!D72*-1*IF(Suppliers!E72="Monthly",IF(AND(ISNUMBER(Suppliers!G72),(YEAR(EDATE(DATE(YEAR(TODAY()),MONTH(TODAY()),1),14))*12+MONTH(EDATE(DATE(YEAR(TODAY()),MONTH(TODAY()),1),14)))&gt;(YEAR(Suppliers!G72)*12+MONTH(Suppliers!G72))),"",1),IF(Suppliers!E72="Quarterly",IF(MOD((YEAR(EDATE(DATE(YEAR(TODAY()),MONTH(TODAY()),1),14))-YEAR(IF(ISNUMBER(Suppliers!F72),Suppliers!F72,DATE(YEAR(TODAY()),MONTH(TODAY()),1))))*12+MONTH(EDATE(DATE(YEAR(TODAY()),MONTH(TODAY()),1),14))-MONTH(IF(ISNUMBER(Suppliers!F72),Suppliers!F72,DATE(YEAR(TODAY()),MONTH(TODAY()),1))),3)=0,1,0),IF(Suppliers!E72="Semi-annual",IF(MOD((YEAR(EDATE(DATE(YEAR(TODAY()),MONTH(TODAY()),1),14))-YEAR(IF(ISNUMBER(Suppliers!F72),Suppliers!F72,DATE(YEAR(TODAY()),MONTH(TODAY()),1))))*12+MONTH(EDATE(DATE(YEAR(TODAY()),MONTH(TODAY()),1),14))-MONTH(IF(ISNUMBER(Suppliers!F72),Suppliers!F72,DATE(YEAR(TODAY()),MONTH(TODAY()),1))),6)=0,1,0),IF(Suppliers!E72="Annual",IF(MOD((YEAR(EDATE(DATE(YEAR(TODAY()),MONTH(TODAY()),1),14))-YEAR(IF(ISNUMBER(Suppliers!F72),Suppliers!F72,DATE(YEAR(TODAY()),MONTH(TODAY()),1))))*12+MONTH(EDATE(DATE(YEAR(TODAY()),MONTH(TODAY()),1),14))-MONTH(IF(ISNUMBER(Suppliers!F72),Suppliers!F72,DATE(YEAR(TODAY()),MONTH(TODAY()),1))),12)=0,1,0),IF(Suppliers!E72="One-time",IF(14=0,1,0),1)))))),"")</f>
        <v/>
      </c>
      <c r="U74" s="10" t="str">
        <f ca="1">IFERROR(IF(OR(15&gt;=$B$1,Suppliers!A72="",NOT(ISNUMBER(Suppliers!D72)),Suppliers!L72="Expired",Suppliers!L72="Terminate"),"",Suppliers!D72*-1*IF(Suppliers!E72="Monthly",IF(AND(ISNUMBER(Suppliers!G72),(YEAR(EDATE(DATE(YEAR(TODAY()),MONTH(TODAY()),1),15))*12+MONTH(EDATE(DATE(YEAR(TODAY()),MONTH(TODAY()),1),15)))&gt;(YEAR(Suppliers!G72)*12+MONTH(Suppliers!G72))),"",1),IF(Suppliers!E72="Quarterly",IF(MOD((YEAR(EDATE(DATE(YEAR(TODAY()),MONTH(TODAY()),1),15))-YEAR(IF(ISNUMBER(Suppliers!F72),Suppliers!F72,DATE(YEAR(TODAY()),MONTH(TODAY()),1))))*12+MONTH(EDATE(DATE(YEAR(TODAY()),MONTH(TODAY()),1),15))-MONTH(IF(ISNUMBER(Suppliers!F72),Suppliers!F72,DATE(YEAR(TODAY()),MONTH(TODAY()),1))),3)=0,1,0),IF(Suppliers!E72="Semi-annual",IF(MOD((YEAR(EDATE(DATE(YEAR(TODAY()),MONTH(TODAY()),1),15))-YEAR(IF(ISNUMBER(Suppliers!F72),Suppliers!F72,DATE(YEAR(TODAY()),MONTH(TODAY()),1))))*12+MONTH(EDATE(DATE(YEAR(TODAY()),MONTH(TODAY()),1),15))-MONTH(IF(ISNUMBER(Suppliers!F72),Suppliers!F72,DATE(YEAR(TODAY()),MONTH(TODAY()),1))),6)=0,1,0),IF(Suppliers!E72="Annual",IF(MOD((YEAR(EDATE(DATE(YEAR(TODAY()),MONTH(TODAY()),1),15))-YEAR(IF(ISNUMBER(Suppliers!F72),Suppliers!F72,DATE(YEAR(TODAY()),MONTH(TODAY()),1))))*12+MONTH(EDATE(DATE(YEAR(TODAY()),MONTH(TODAY()),1),15))-MONTH(IF(ISNUMBER(Suppliers!F72),Suppliers!F72,DATE(YEAR(TODAY()),MONTH(TODAY()),1))),12)=0,1,0),IF(Suppliers!E72="One-time",IF(15=0,1,0),1)))))),"")</f>
        <v/>
      </c>
      <c r="V74" s="10" t="str">
        <f ca="1">IFERROR(IF(OR(16&gt;=$B$1,Suppliers!A72="",NOT(ISNUMBER(Suppliers!D72)),Suppliers!L72="Expired",Suppliers!L72="Terminate"),"",Suppliers!D72*-1*IF(Suppliers!E72="Monthly",IF(AND(ISNUMBER(Suppliers!G72),(YEAR(EDATE(DATE(YEAR(TODAY()),MONTH(TODAY()),1),16))*12+MONTH(EDATE(DATE(YEAR(TODAY()),MONTH(TODAY()),1),16)))&gt;(YEAR(Suppliers!G72)*12+MONTH(Suppliers!G72))),"",1),IF(Suppliers!E72="Quarterly",IF(MOD((YEAR(EDATE(DATE(YEAR(TODAY()),MONTH(TODAY()),1),16))-YEAR(IF(ISNUMBER(Suppliers!F72),Suppliers!F72,DATE(YEAR(TODAY()),MONTH(TODAY()),1))))*12+MONTH(EDATE(DATE(YEAR(TODAY()),MONTH(TODAY()),1),16))-MONTH(IF(ISNUMBER(Suppliers!F72),Suppliers!F72,DATE(YEAR(TODAY()),MONTH(TODAY()),1))),3)=0,1,0),IF(Suppliers!E72="Semi-annual",IF(MOD((YEAR(EDATE(DATE(YEAR(TODAY()),MONTH(TODAY()),1),16))-YEAR(IF(ISNUMBER(Suppliers!F72),Suppliers!F72,DATE(YEAR(TODAY()),MONTH(TODAY()),1))))*12+MONTH(EDATE(DATE(YEAR(TODAY()),MONTH(TODAY()),1),16))-MONTH(IF(ISNUMBER(Suppliers!F72),Suppliers!F72,DATE(YEAR(TODAY()),MONTH(TODAY()),1))),6)=0,1,0),IF(Suppliers!E72="Annual",IF(MOD((YEAR(EDATE(DATE(YEAR(TODAY()),MONTH(TODAY()),1),16))-YEAR(IF(ISNUMBER(Suppliers!F72),Suppliers!F72,DATE(YEAR(TODAY()),MONTH(TODAY()),1))))*12+MONTH(EDATE(DATE(YEAR(TODAY()),MONTH(TODAY()),1),16))-MONTH(IF(ISNUMBER(Suppliers!F72),Suppliers!F72,DATE(YEAR(TODAY()),MONTH(TODAY()),1))),12)=0,1,0),IF(Suppliers!E72="One-time",IF(16=0,1,0),1)))))),"")</f>
        <v/>
      </c>
      <c r="W74" s="10" t="str">
        <f ca="1">IFERROR(IF(OR(17&gt;=$B$1,Suppliers!A72="",NOT(ISNUMBER(Suppliers!D72)),Suppliers!L72="Expired",Suppliers!L72="Terminate"),"",Suppliers!D72*-1*IF(Suppliers!E72="Monthly",IF(AND(ISNUMBER(Suppliers!G72),(YEAR(EDATE(DATE(YEAR(TODAY()),MONTH(TODAY()),1),17))*12+MONTH(EDATE(DATE(YEAR(TODAY()),MONTH(TODAY()),1),17)))&gt;(YEAR(Suppliers!G72)*12+MONTH(Suppliers!G72))),"",1),IF(Suppliers!E72="Quarterly",IF(MOD((YEAR(EDATE(DATE(YEAR(TODAY()),MONTH(TODAY()),1),17))-YEAR(IF(ISNUMBER(Suppliers!F72),Suppliers!F72,DATE(YEAR(TODAY()),MONTH(TODAY()),1))))*12+MONTH(EDATE(DATE(YEAR(TODAY()),MONTH(TODAY()),1),17))-MONTH(IF(ISNUMBER(Suppliers!F72),Suppliers!F72,DATE(YEAR(TODAY()),MONTH(TODAY()),1))),3)=0,1,0),IF(Suppliers!E72="Semi-annual",IF(MOD((YEAR(EDATE(DATE(YEAR(TODAY()),MONTH(TODAY()),1),17))-YEAR(IF(ISNUMBER(Suppliers!F72),Suppliers!F72,DATE(YEAR(TODAY()),MONTH(TODAY()),1))))*12+MONTH(EDATE(DATE(YEAR(TODAY()),MONTH(TODAY()),1),17))-MONTH(IF(ISNUMBER(Suppliers!F72),Suppliers!F72,DATE(YEAR(TODAY()),MONTH(TODAY()),1))),6)=0,1,0),IF(Suppliers!E72="Annual",IF(MOD((YEAR(EDATE(DATE(YEAR(TODAY()),MONTH(TODAY()),1),17))-YEAR(IF(ISNUMBER(Suppliers!F72),Suppliers!F72,DATE(YEAR(TODAY()),MONTH(TODAY()),1))))*12+MONTH(EDATE(DATE(YEAR(TODAY()),MONTH(TODAY()),1),17))-MONTH(IF(ISNUMBER(Suppliers!F72),Suppliers!F72,DATE(YEAR(TODAY()),MONTH(TODAY()),1))),12)=0,1,0),IF(Suppliers!E72="One-time",IF(17=0,1,0),1)))))),"")</f>
        <v/>
      </c>
      <c r="X74" s="10" t="str">
        <f ca="1">IFERROR(IF(OR(18&gt;=$B$1,Suppliers!A72="",NOT(ISNUMBER(Suppliers!D72)),Suppliers!L72="Expired",Suppliers!L72="Terminate"),"",Suppliers!D72*-1*IF(Suppliers!E72="Monthly",IF(AND(ISNUMBER(Suppliers!G72),(YEAR(EDATE(DATE(YEAR(TODAY()),MONTH(TODAY()),1),18))*12+MONTH(EDATE(DATE(YEAR(TODAY()),MONTH(TODAY()),1),18)))&gt;(YEAR(Suppliers!G72)*12+MONTH(Suppliers!G72))),"",1),IF(Suppliers!E72="Quarterly",IF(MOD((YEAR(EDATE(DATE(YEAR(TODAY()),MONTH(TODAY()),1),18))-YEAR(IF(ISNUMBER(Suppliers!F72),Suppliers!F72,DATE(YEAR(TODAY()),MONTH(TODAY()),1))))*12+MONTH(EDATE(DATE(YEAR(TODAY()),MONTH(TODAY()),1),18))-MONTH(IF(ISNUMBER(Suppliers!F72),Suppliers!F72,DATE(YEAR(TODAY()),MONTH(TODAY()),1))),3)=0,1,0),IF(Suppliers!E72="Semi-annual",IF(MOD((YEAR(EDATE(DATE(YEAR(TODAY()),MONTH(TODAY()),1),18))-YEAR(IF(ISNUMBER(Suppliers!F72),Suppliers!F72,DATE(YEAR(TODAY()),MONTH(TODAY()),1))))*12+MONTH(EDATE(DATE(YEAR(TODAY()),MONTH(TODAY()),1),18))-MONTH(IF(ISNUMBER(Suppliers!F72),Suppliers!F72,DATE(YEAR(TODAY()),MONTH(TODAY()),1))),6)=0,1,0),IF(Suppliers!E72="Annual",IF(MOD((YEAR(EDATE(DATE(YEAR(TODAY()),MONTH(TODAY()),1),18))-YEAR(IF(ISNUMBER(Suppliers!F72),Suppliers!F72,DATE(YEAR(TODAY()),MONTH(TODAY()),1))))*12+MONTH(EDATE(DATE(YEAR(TODAY()),MONTH(TODAY()),1),18))-MONTH(IF(ISNUMBER(Suppliers!F72),Suppliers!F72,DATE(YEAR(TODAY()),MONTH(TODAY()),1))),12)=0,1,0),IF(Suppliers!E72="One-time",IF(18=0,1,0),1)))))),"")</f>
        <v/>
      </c>
      <c r="Y74" s="10" t="str">
        <f ca="1">IFERROR(IF(OR(19&gt;=$B$1,Suppliers!A72="",NOT(ISNUMBER(Suppliers!D72)),Suppliers!L72="Expired",Suppliers!L72="Terminate"),"",Suppliers!D72*-1*IF(Suppliers!E72="Monthly",IF(AND(ISNUMBER(Suppliers!G72),(YEAR(EDATE(DATE(YEAR(TODAY()),MONTH(TODAY()),1),19))*12+MONTH(EDATE(DATE(YEAR(TODAY()),MONTH(TODAY()),1),19)))&gt;(YEAR(Suppliers!G72)*12+MONTH(Suppliers!G72))),"",1),IF(Suppliers!E72="Quarterly",IF(MOD((YEAR(EDATE(DATE(YEAR(TODAY()),MONTH(TODAY()),1),19))-YEAR(IF(ISNUMBER(Suppliers!F72),Suppliers!F72,DATE(YEAR(TODAY()),MONTH(TODAY()),1))))*12+MONTH(EDATE(DATE(YEAR(TODAY()),MONTH(TODAY()),1),19))-MONTH(IF(ISNUMBER(Suppliers!F72),Suppliers!F72,DATE(YEAR(TODAY()),MONTH(TODAY()),1))),3)=0,1,0),IF(Suppliers!E72="Semi-annual",IF(MOD((YEAR(EDATE(DATE(YEAR(TODAY()),MONTH(TODAY()),1),19))-YEAR(IF(ISNUMBER(Suppliers!F72),Suppliers!F72,DATE(YEAR(TODAY()),MONTH(TODAY()),1))))*12+MONTH(EDATE(DATE(YEAR(TODAY()),MONTH(TODAY()),1),19))-MONTH(IF(ISNUMBER(Suppliers!F72),Suppliers!F72,DATE(YEAR(TODAY()),MONTH(TODAY()),1))),6)=0,1,0),IF(Suppliers!E72="Annual",IF(MOD((YEAR(EDATE(DATE(YEAR(TODAY()),MONTH(TODAY()),1),19))-YEAR(IF(ISNUMBER(Suppliers!F72),Suppliers!F72,DATE(YEAR(TODAY()),MONTH(TODAY()),1))))*12+MONTH(EDATE(DATE(YEAR(TODAY()),MONTH(TODAY()),1),19))-MONTH(IF(ISNUMBER(Suppliers!F72),Suppliers!F72,DATE(YEAR(TODAY()),MONTH(TODAY()),1))),12)=0,1,0),IF(Suppliers!E72="One-time",IF(19=0,1,0),1)))))),"")</f>
        <v/>
      </c>
      <c r="Z74" s="10" t="str">
        <f ca="1">IFERROR(IF(OR(20&gt;=$B$1,Suppliers!A72="",NOT(ISNUMBER(Suppliers!D72)),Suppliers!L72="Expired",Suppliers!L72="Terminate"),"",Suppliers!D72*-1*IF(Suppliers!E72="Monthly",IF(AND(ISNUMBER(Suppliers!G72),(YEAR(EDATE(DATE(YEAR(TODAY()),MONTH(TODAY()),1),20))*12+MONTH(EDATE(DATE(YEAR(TODAY()),MONTH(TODAY()),1),20)))&gt;(YEAR(Suppliers!G72)*12+MONTH(Suppliers!G72))),"",1),IF(Suppliers!E72="Quarterly",IF(MOD((YEAR(EDATE(DATE(YEAR(TODAY()),MONTH(TODAY()),1),20))-YEAR(IF(ISNUMBER(Suppliers!F72),Suppliers!F72,DATE(YEAR(TODAY()),MONTH(TODAY()),1))))*12+MONTH(EDATE(DATE(YEAR(TODAY()),MONTH(TODAY()),1),20))-MONTH(IF(ISNUMBER(Suppliers!F72),Suppliers!F72,DATE(YEAR(TODAY()),MONTH(TODAY()),1))),3)=0,1,0),IF(Suppliers!E72="Semi-annual",IF(MOD((YEAR(EDATE(DATE(YEAR(TODAY()),MONTH(TODAY()),1),20))-YEAR(IF(ISNUMBER(Suppliers!F72),Suppliers!F72,DATE(YEAR(TODAY()),MONTH(TODAY()),1))))*12+MONTH(EDATE(DATE(YEAR(TODAY()),MONTH(TODAY()),1),20))-MONTH(IF(ISNUMBER(Suppliers!F72),Suppliers!F72,DATE(YEAR(TODAY()),MONTH(TODAY()),1))),6)=0,1,0),IF(Suppliers!E72="Annual",IF(MOD((YEAR(EDATE(DATE(YEAR(TODAY()),MONTH(TODAY()),1),20))-YEAR(IF(ISNUMBER(Suppliers!F72),Suppliers!F72,DATE(YEAR(TODAY()),MONTH(TODAY()),1))))*12+MONTH(EDATE(DATE(YEAR(TODAY()),MONTH(TODAY()),1),20))-MONTH(IF(ISNUMBER(Suppliers!F72),Suppliers!F72,DATE(YEAR(TODAY()),MONTH(TODAY()),1))),12)=0,1,0),IF(Suppliers!E72="One-time",IF(20=0,1,0),1)))))),"")</f>
        <v/>
      </c>
      <c r="AA74" s="10" t="str">
        <f ca="1">IFERROR(IF(OR(21&gt;=$B$1,Suppliers!A72="",NOT(ISNUMBER(Suppliers!D72)),Suppliers!L72="Expired",Suppliers!L72="Terminate"),"",Suppliers!D72*-1*IF(Suppliers!E72="Monthly",IF(AND(ISNUMBER(Suppliers!G72),(YEAR(EDATE(DATE(YEAR(TODAY()),MONTH(TODAY()),1),21))*12+MONTH(EDATE(DATE(YEAR(TODAY()),MONTH(TODAY()),1),21)))&gt;(YEAR(Suppliers!G72)*12+MONTH(Suppliers!G72))),"",1),IF(Suppliers!E72="Quarterly",IF(MOD((YEAR(EDATE(DATE(YEAR(TODAY()),MONTH(TODAY()),1),21))-YEAR(IF(ISNUMBER(Suppliers!F72),Suppliers!F72,DATE(YEAR(TODAY()),MONTH(TODAY()),1))))*12+MONTH(EDATE(DATE(YEAR(TODAY()),MONTH(TODAY()),1),21))-MONTH(IF(ISNUMBER(Suppliers!F72),Suppliers!F72,DATE(YEAR(TODAY()),MONTH(TODAY()),1))),3)=0,1,0),IF(Suppliers!E72="Semi-annual",IF(MOD((YEAR(EDATE(DATE(YEAR(TODAY()),MONTH(TODAY()),1),21))-YEAR(IF(ISNUMBER(Suppliers!F72),Suppliers!F72,DATE(YEAR(TODAY()),MONTH(TODAY()),1))))*12+MONTH(EDATE(DATE(YEAR(TODAY()),MONTH(TODAY()),1),21))-MONTH(IF(ISNUMBER(Suppliers!F72),Suppliers!F72,DATE(YEAR(TODAY()),MONTH(TODAY()),1))),6)=0,1,0),IF(Suppliers!E72="Annual",IF(MOD((YEAR(EDATE(DATE(YEAR(TODAY()),MONTH(TODAY()),1),21))-YEAR(IF(ISNUMBER(Suppliers!F72),Suppliers!F72,DATE(YEAR(TODAY()),MONTH(TODAY()),1))))*12+MONTH(EDATE(DATE(YEAR(TODAY()),MONTH(TODAY()),1),21))-MONTH(IF(ISNUMBER(Suppliers!F72),Suppliers!F72,DATE(YEAR(TODAY()),MONTH(TODAY()),1))),12)=0,1,0),IF(Suppliers!E72="One-time",IF(21=0,1,0),1)))))),"")</f>
        <v/>
      </c>
      <c r="AB74" s="10" t="str">
        <f ca="1">IFERROR(IF(OR(22&gt;=$B$1,Suppliers!A72="",NOT(ISNUMBER(Suppliers!D72)),Suppliers!L72="Expired",Suppliers!L72="Terminate"),"",Suppliers!D72*-1*IF(Suppliers!E72="Monthly",IF(AND(ISNUMBER(Suppliers!G72),(YEAR(EDATE(DATE(YEAR(TODAY()),MONTH(TODAY()),1),22))*12+MONTH(EDATE(DATE(YEAR(TODAY()),MONTH(TODAY()),1),22)))&gt;(YEAR(Suppliers!G72)*12+MONTH(Suppliers!G72))),"",1),IF(Suppliers!E72="Quarterly",IF(MOD((YEAR(EDATE(DATE(YEAR(TODAY()),MONTH(TODAY()),1),22))-YEAR(IF(ISNUMBER(Suppliers!F72),Suppliers!F72,DATE(YEAR(TODAY()),MONTH(TODAY()),1))))*12+MONTH(EDATE(DATE(YEAR(TODAY()),MONTH(TODAY()),1),22))-MONTH(IF(ISNUMBER(Suppliers!F72),Suppliers!F72,DATE(YEAR(TODAY()),MONTH(TODAY()),1))),3)=0,1,0),IF(Suppliers!E72="Semi-annual",IF(MOD((YEAR(EDATE(DATE(YEAR(TODAY()),MONTH(TODAY()),1),22))-YEAR(IF(ISNUMBER(Suppliers!F72),Suppliers!F72,DATE(YEAR(TODAY()),MONTH(TODAY()),1))))*12+MONTH(EDATE(DATE(YEAR(TODAY()),MONTH(TODAY()),1),22))-MONTH(IF(ISNUMBER(Suppliers!F72),Suppliers!F72,DATE(YEAR(TODAY()),MONTH(TODAY()),1))),6)=0,1,0),IF(Suppliers!E72="Annual",IF(MOD((YEAR(EDATE(DATE(YEAR(TODAY()),MONTH(TODAY()),1),22))-YEAR(IF(ISNUMBER(Suppliers!F72),Suppliers!F72,DATE(YEAR(TODAY()),MONTH(TODAY()),1))))*12+MONTH(EDATE(DATE(YEAR(TODAY()),MONTH(TODAY()),1),22))-MONTH(IF(ISNUMBER(Suppliers!F72),Suppliers!F72,DATE(YEAR(TODAY()),MONTH(TODAY()),1))),12)=0,1,0),IF(Suppliers!E72="One-time",IF(22=0,1,0),1)))))),"")</f>
        <v/>
      </c>
      <c r="AC74" s="10" t="str">
        <f ca="1">IFERROR(IF(OR(23&gt;=$B$1,Suppliers!A72="",NOT(ISNUMBER(Suppliers!D72)),Suppliers!L72="Expired",Suppliers!L72="Terminate"),"",Suppliers!D72*-1*IF(Suppliers!E72="Monthly",IF(AND(ISNUMBER(Suppliers!G72),(YEAR(EDATE(DATE(YEAR(TODAY()),MONTH(TODAY()),1),23))*12+MONTH(EDATE(DATE(YEAR(TODAY()),MONTH(TODAY()),1),23)))&gt;(YEAR(Suppliers!G72)*12+MONTH(Suppliers!G72))),"",1),IF(Suppliers!E72="Quarterly",IF(MOD((YEAR(EDATE(DATE(YEAR(TODAY()),MONTH(TODAY()),1),23))-YEAR(IF(ISNUMBER(Suppliers!F72),Suppliers!F72,DATE(YEAR(TODAY()),MONTH(TODAY()),1))))*12+MONTH(EDATE(DATE(YEAR(TODAY()),MONTH(TODAY()),1),23))-MONTH(IF(ISNUMBER(Suppliers!F72),Suppliers!F72,DATE(YEAR(TODAY()),MONTH(TODAY()),1))),3)=0,1,0),IF(Suppliers!E72="Semi-annual",IF(MOD((YEAR(EDATE(DATE(YEAR(TODAY()),MONTH(TODAY()),1),23))-YEAR(IF(ISNUMBER(Suppliers!F72),Suppliers!F72,DATE(YEAR(TODAY()),MONTH(TODAY()),1))))*12+MONTH(EDATE(DATE(YEAR(TODAY()),MONTH(TODAY()),1),23))-MONTH(IF(ISNUMBER(Suppliers!F72),Suppliers!F72,DATE(YEAR(TODAY()),MONTH(TODAY()),1))),6)=0,1,0),IF(Suppliers!E72="Annual",IF(MOD((YEAR(EDATE(DATE(YEAR(TODAY()),MONTH(TODAY()),1),23))-YEAR(IF(ISNUMBER(Suppliers!F72),Suppliers!F72,DATE(YEAR(TODAY()),MONTH(TODAY()),1))))*12+MONTH(EDATE(DATE(YEAR(TODAY()),MONTH(TODAY()),1),23))-MONTH(IF(ISNUMBER(Suppliers!F72),Suppliers!F72,DATE(YEAR(TODAY()),MONTH(TODAY()),1))),12)=0,1,0),IF(Suppliers!E72="One-time",IF(23=0,1,0),1)))))),"")</f>
        <v/>
      </c>
    </row>
    <row r="75" spans="1:29" ht="15" customHeight="1" x14ac:dyDescent="0.35">
      <c r="A75" s="4" t="s">
        <v>81</v>
      </c>
      <c r="B75" s="4" t="str">
        <f>IF(Clients!A5="","",Clients!A5)</f>
        <v/>
      </c>
      <c r="C75" s="10" t="str">
        <f>IF(Clients!C5="","",Clients!C5)</f>
        <v/>
      </c>
      <c r="D75" s="10" t="str">
        <f>IF(Clients!D5="","",Clients!D5)</f>
        <v/>
      </c>
      <c r="E75" s="4" t="str">
        <f>IF(Clients!E5="","",Clients!E5)</f>
        <v/>
      </c>
      <c r="F75" s="10" t="str">
        <f ca="1">IFERROR(IF(OR(0&gt;=$B$1,Clients!A5="",NOT(ISNUMBER(Clients!D5)),Clients!L5="Expired",Clients!L5="Terminate"),"",Clients!D5*1*IF(Clients!E5="Monthly",IF(AND(ISNUMBER(Clients!G5),(YEAR(EDATE(DATE(YEAR(TODAY()),MONTH(TODAY()),1),0))*12+MONTH(EDATE(DATE(YEAR(TODAY()),MONTH(TODAY()),1),0)))&gt;(YEAR(Clients!G5)*12+MONTH(Clients!G5))),"",1),IF(Clients!E5="Quarterly",IF(MOD((YEAR(EDATE(DATE(YEAR(TODAY()),MONTH(TODAY()),1),0))-YEAR(IF(ISNUMBER(Clients!F5),Clients!F5,DATE(YEAR(TODAY()),MONTH(TODAY()),1))))*12+MONTH(EDATE(DATE(YEAR(TODAY()),MONTH(TODAY()),1),0))-MONTH(IF(ISNUMBER(Clients!F5),Clients!F5,DATE(YEAR(TODAY()),MONTH(TODAY()),1))),3)=0,1,0),IF(Clients!E5="Semi-annual",IF(MOD((YEAR(EDATE(DATE(YEAR(TODAY()),MONTH(TODAY()),1),0))-YEAR(IF(ISNUMBER(Clients!F5),Clients!F5,DATE(YEAR(TODAY()),MONTH(TODAY()),1))))*12+MONTH(EDATE(DATE(YEAR(TODAY()),MONTH(TODAY()),1),0))-MONTH(IF(ISNUMBER(Clients!F5),Clients!F5,DATE(YEAR(TODAY()),MONTH(TODAY()),1))),6)=0,1,0),IF(Clients!E5="Annual",IF(MOD((YEAR(EDATE(DATE(YEAR(TODAY()),MONTH(TODAY()),1),0))-YEAR(IF(ISNUMBER(Clients!F5),Clients!F5,DATE(YEAR(TODAY()),MONTH(TODAY()),1))))*12+MONTH(EDATE(DATE(YEAR(TODAY()),MONTH(TODAY()),1),0))-MONTH(IF(ISNUMBER(Clients!F5),Clients!F5,DATE(YEAR(TODAY()),MONTH(TODAY()),1))),12)=0,1,0),IF(Clients!E5="One-time",IF(0=0,1,0),1)))))),"")</f>
        <v/>
      </c>
      <c r="G75" s="10" t="str">
        <f ca="1">IFERROR(IF(OR(1&gt;=$B$1,Clients!A5="",NOT(ISNUMBER(Clients!D5)),Clients!L5="Expired",Clients!L5="Terminate"),"",Clients!D5*1*IF(Clients!E5="Monthly",IF(AND(ISNUMBER(Clients!G5),(YEAR(EDATE(DATE(YEAR(TODAY()),MONTH(TODAY()),1),1))*12+MONTH(EDATE(DATE(YEAR(TODAY()),MONTH(TODAY()),1),1)))&gt;(YEAR(Clients!G5)*12+MONTH(Clients!G5))),"",1),IF(Clients!E5="Quarterly",IF(MOD((YEAR(EDATE(DATE(YEAR(TODAY()),MONTH(TODAY()),1),1))-YEAR(IF(ISNUMBER(Clients!F5),Clients!F5,DATE(YEAR(TODAY()),MONTH(TODAY()),1))))*12+MONTH(EDATE(DATE(YEAR(TODAY()),MONTH(TODAY()),1),1))-MONTH(IF(ISNUMBER(Clients!F5),Clients!F5,DATE(YEAR(TODAY()),MONTH(TODAY()),1))),3)=0,1,0),IF(Clients!E5="Semi-annual",IF(MOD((YEAR(EDATE(DATE(YEAR(TODAY()),MONTH(TODAY()),1),1))-YEAR(IF(ISNUMBER(Clients!F5),Clients!F5,DATE(YEAR(TODAY()),MONTH(TODAY()),1))))*12+MONTH(EDATE(DATE(YEAR(TODAY()),MONTH(TODAY()),1),1))-MONTH(IF(ISNUMBER(Clients!F5),Clients!F5,DATE(YEAR(TODAY()),MONTH(TODAY()),1))),6)=0,1,0),IF(Clients!E5="Annual",IF(MOD((YEAR(EDATE(DATE(YEAR(TODAY()),MONTH(TODAY()),1),1))-YEAR(IF(ISNUMBER(Clients!F5),Clients!F5,DATE(YEAR(TODAY()),MONTH(TODAY()),1))))*12+MONTH(EDATE(DATE(YEAR(TODAY()),MONTH(TODAY()),1),1))-MONTH(IF(ISNUMBER(Clients!F5),Clients!F5,DATE(YEAR(TODAY()),MONTH(TODAY()),1))),12)=0,1,0),IF(Clients!E5="One-time",IF(1=0,1,0),1)))))),"")</f>
        <v/>
      </c>
      <c r="H75" s="10" t="str">
        <f ca="1">IFERROR(IF(OR(2&gt;=$B$1,Clients!A5="",NOT(ISNUMBER(Clients!D5)),Clients!L5="Expired",Clients!L5="Terminate"),"",Clients!D5*1*IF(Clients!E5="Monthly",IF(AND(ISNUMBER(Clients!G5),(YEAR(EDATE(DATE(YEAR(TODAY()),MONTH(TODAY()),1),2))*12+MONTH(EDATE(DATE(YEAR(TODAY()),MONTH(TODAY()),1),2)))&gt;(YEAR(Clients!G5)*12+MONTH(Clients!G5))),"",1),IF(Clients!E5="Quarterly",IF(MOD((YEAR(EDATE(DATE(YEAR(TODAY()),MONTH(TODAY()),1),2))-YEAR(IF(ISNUMBER(Clients!F5),Clients!F5,DATE(YEAR(TODAY()),MONTH(TODAY()),1))))*12+MONTH(EDATE(DATE(YEAR(TODAY()),MONTH(TODAY()),1),2))-MONTH(IF(ISNUMBER(Clients!F5),Clients!F5,DATE(YEAR(TODAY()),MONTH(TODAY()),1))),3)=0,1,0),IF(Clients!E5="Semi-annual",IF(MOD((YEAR(EDATE(DATE(YEAR(TODAY()),MONTH(TODAY()),1),2))-YEAR(IF(ISNUMBER(Clients!F5),Clients!F5,DATE(YEAR(TODAY()),MONTH(TODAY()),1))))*12+MONTH(EDATE(DATE(YEAR(TODAY()),MONTH(TODAY()),1),2))-MONTH(IF(ISNUMBER(Clients!F5),Clients!F5,DATE(YEAR(TODAY()),MONTH(TODAY()),1))),6)=0,1,0),IF(Clients!E5="Annual",IF(MOD((YEAR(EDATE(DATE(YEAR(TODAY()),MONTH(TODAY()),1),2))-YEAR(IF(ISNUMBER(Clients!F5),Clients!F5,DATE(YEAR(TODAY()),MONTH(TODAY()),1))))*12+MONTH(EDATE(DATE(YEAR(TODAY()),MONTH(TODAY()),1),2))-MONTH(IF(ISNUMBER(Clients!F5),Clients!F5,DATE(YEAR(TODAY()),MONTH(TODAY()),1))),12)=0,1,0),IF(Clients!E5="One-time",IF(2=0,1,0),1)))))),"")</f>
        <v/>
      </c>
      <c r="I75" s="10" t="str">
        <f ca="1">IFERROR(IF(OR(3&gt;=$B$1,Clients!A5="",NOT(ISNUMBER(Clients!D5)),Clients!L5="Expired",Clients!L5="Terminate"),"",Clients!D5*1*IF(Clients!E5="Monthly",IF(AND(ISNUMBER(Clients!G5),(YEAR(EDATE(DATE(YEAR(TODAY()),MONTH(TODAY()),1),3))*12+MONTH(EDATE(DATE(YEAR(TODAY()),MONTH(TODAY()),1),3)))&gt;(YEAR(Clients!G5)*12+MONTH(Clients!G5))),"",1),IF(Clients!E5="Quarterly",IF(MOD((YEAR(EDATE(DATE(YEAR(TODAY()),MONTH(TODAY()),1),3))-YEAR(IF(ISNUMBER(Clients!F5),Clients!F5,DATE(YEAR(TODAY()),MONTH(TODAY()),1))))*12+MONTH(EDATE(DATE(YEAR(TODAY()),MONTH(TODAY()),1),3))-MONTH(IF(ISNUMBER(Clients!F5),Clients!F5,DATE(YEAR(TODAY()),MONTH(TODAY()),1))),3)=0,1,0),IF(Clients!E5="Semi-annual",IF(MOD((YEAR(EDATE(DATE(YEAR(TODAY()),MONTH(TODAY()),1),3))-YEAR(IF(ISNUMBER(Clients!F5),Clients!F5,DATE(YEAR(TODAY()),MONTH(TODAY()),1))))*12+MONTH(EDATE(DATE(YEAR(TODAY()),MONTH(TODAY()),1),3))-MONTH(IF(ISNUMBER(Clients!F5),Clients!F5,DATE(YEAR(TODAY()),MONTH(TODAY()),1))),6)=0,1,0),IF(Clients!E5="Annual",IF(MOD((YEAR(EDATE(DATE(YEAR(TODAY()),MONTH(TODAY()),1),3))-YEAR(IF(ISNUMBER(Clients!F5),Clients!F5,DATE(YEAR(TODAY()),MONTH(TODAY()),1))))*12+MONTH(EDATE(DATE(YEAR(TODAY()),MONTH(TODAY()),1),3))-MONTH(IF(ISNUMBER(Clients!F5),Clients!F5,DATE(YEAR(TODAY()),MONTH(TODAY()),1))),12)=0,1,0),IF(Clients!E5="One-time",IF(3=0,1,0),1)))))),"")</f>
        <v/>
      </c>
      <c r="J75" s="10" t="str">
        <f ca="1">IFERROR(IF(OR(4&gt;=$B$1,Clients!A5="",NOT(ISNUMBER(Clients!D5)),Clients!L5="Expired",Clients!L5="Terminate"),"",Clients!D5*1*IF(Clients!E5="Monthly",IF(AND(ISNUMBER(Clients!G5),(YEAR(EDATE(DATE(YEAR(TODAY()),MONTH(TODAY()),1),4))*12+MONTH(EDATE(DATE(YEAR(TODAY()),MONTH(TODAY()),1),4)))&gt;(YEAR(Clients!G5)*12+MONTH(Clients!G5))),"",1),IF(Clients!E5="Quarterly",IF(MOD((YEAR(EDATE(DATE(YEAR(TODAY()),MONTH(TODAY()),1),4))-YEAR(IF(ISNUMBER(Clients!F5),Clients!F5,DATE(YEAR(TODAY()),MONTH(TODAY()),1))))*12+MONTH(EDATE(DATE(YEAR(TODAY()),MONTH(TODAY()),1),4))-MONTH(IF(ISNUMBER(Clients!F5),Clients!F5,DATE(YEAR(TODAY()),MONTH(TODAY()),1))),3)=0,1,0),IF(Clients!E5="Semi-annual",IF(MOD((YEAR(EDATE(DATE(YEAR(TODAY()),MONTH(TODAY()),1),4))-YEAR(IF(ISNUMBER(Clients!F5),Clients!F5,DATE(YEAR(TODAY()),MONTH(TODAY()),1))))*12+MONTH(EDATE(DATE(YEAR(TODAY()),MONTH(TODAY()),1),4))-MONTH(IF(ISNUMBER(Clients!F5),Clients!F5,DATE(YEAR(TODAY()),MONTH(TODAY()),1))),6)=0,1,0),IF(Clients!E5="Annual",IF(MOD((YEAR(EDATE(DATE(YEAR(TODAY()),MONTH(TODAY()),1),4))-YEAR(IF(ISNUMBER(Clients!F5),Clients!F5,DATE(YEAR(TODAY()),MONTH(TODAY()),1))))*12+MONTH(EDATE(DATE(YEAR(TODAY()),MONTH(TODAY()),1),4))-MONTH(IF(ISNUMBER(Clients!F5),Clients!F5,DATE(YEAR(TODAY()),MONTH(TODAY()),1))),12)=0,1,0),IF(Clients!E5="One-time",IF(4=0,1,0),1)))))),"")</f>
        <v/>
      </c>
      <c r="K75" s="10" t="str">
        <f ca="1">IFERROR(IF(OR(5&gt;=$B$1,Clients!A5="",NOT(ISNUMBER(Clients!D5)),Clients!L5="Expired",Clients!L5="Terminate"),"",Clients!D5*1*IF(Clients!E5="Monthly",IF(AND(ISNUMBER(Clients!G5),(YEAR(EDATE(DATE(YEAR(TODAY()),MONTH(TODAY()),1),5))*12+MONTH(EDATE(DATE(YEAR(TODAY()),MONTH(TODAY()),1),5)))&gt;(YEAR(Clients!G5)*12+MONTH(Clients!G5))),"",1),IF(Clients!E5="Quarterly",IF(MOD((YEAR(EDATE(DATE(YEAR(TODAY()),MONTH(TODAY()),1),5))-YEAR(IF(ISNUMBER(Clients!F5),Clients!F5,DATE(YEAR(TODAY()),MONTH(TODAY()),1))))*12+MONTH(EDATE(DATE(YEAR(TODAY()),MONTH(TODAY()),1),5))-MONTH(IF(ISNUMBER(Clients!F5),Clients!F5,DATE(YEAR(TODAY()),MONTH(TODAY()),1))),3)=0,1,0),IF(Clients!E5="Semi-annual",IF(MOD((YEAR(EDATE(DATE(YEAR(TODAY()),MONTH(TODAY()),1),5))-YEAR(IF(ISNUMBER(Clients!F5),Clients!F5,DATE(YEAR(TODAY()),MONTH(TODAY()),1))))*12+MONTH(EDATE(DATE(YEAR(TODAY()),MONTH(TODAY()),1),5))-MONTH(IF(ISNUMBER(Clients!F5),Clients!F5,DATE(YEAR(TODAY()),MONTH(TODAY()),1))),6)=0,1,0),IF(Clients!E5="Annual",IF(MOD((YEAR(EDATE(DATE(YEAR(TODAY()),MONTH(TODAY()),1),5))-YEAR(IF(ISNUMBER(Clients!F5),Clients!F5,DATE(YEAR(TODAY()),MONTH(TODAY()),1))))*12+MONTH(EDATE(DATE(YEAR(TODAY()),MONTH(TODAY()),1),5))-MONTH(IF(ISNUMBER(Clients!F5),Clients!F5,DATE(YEAR(TODAY()),MONTH(TODAY()),1))),12)=0,1,0),IF(Clients!E5="One-time",IF(5=0,1,0),1)))))),"")</f>
        <v/>
      </c>
      <c r="L75" s="10" t="str">
        <f ca="1">IFERROR(IF(OR(6&gt;=$B$1,Clients!A5="",NOT(ISNUMBER(Clients!D5)),Clients!L5="Expired",Clients!L5="Terminate"),"",Clients!D5*1*IF(Clients!E5="Monthly",IF(AND(ISNUMBER(Clients!G5),(YEAR(EDATE(DATE(YEAR(TODAY()),MONTH(TODAY()),1),6))*12+MONTH(EDATE(DATE(YEAR(TODAY()),MONTH(TODAY()),1),6)))&gt;(YEAR(Clients!G5)*12+MONTH(Clients!G5))),"",1),IF(Clients!E5="Quarterly",IF(MOD((YEAR(EDATE(DATE(YEAR(TODAY()),MONTH(TODAY()),1),6))-YEAR(IF(ISNUMBER(Clients!F5),Clients!F5,DATE(YEAR(TODAY()),MONTH(TODAY()),1))))*12+MONTH(EDATE(DATE(YEAR(TODAY()),MONTH(TODAY()),1),6))-MONTH(IF(ISNUMBER(Clients!F5),Clients!F5,DATE(YEAR(TODAY()),MONTH(TODAY()),1))),3)=0,1,0),IF(Clients!E5="Semi-annual",IF(MOD((YEAR(EDATE(DATE(YEAR(TODAY()),MONTH(TODAY()),1),6))-YEAR(IF(ISNUMBER(Clients!F5),Clients!F5,DATE(YEAR(TODAY()),MONTH(TODAY()),1))))*12+MONTH(EDATE(DATE(YEAR(TODAY()),MONTH(TODAY()),1),6))-MONTH(IF(ISNUMBER(Clients!F5),Clients!F5,DATE(YEAR(TODAY()),MONTH(TODAY()),1))),6)=0,1,0),IF(Clients!E5="Annual",IF(MOD((YEAR(EDATE(DATE(YEAR(TODAY()),MONTH(TODAY()),1),6))-YEAR(IF(ISNUMBER(Clients!F5),Clients!F5,DATE(YEAR(TODAY()),MONTH(TODAY()),1))))*12+MONTH(EDATE(DATE(YEAR(TODAY()),MONTH(TODAY()),1),6))-MONTH(IF(ISNUMBER(Clients!F5),Clients!F5,DATE(YEAR(TODAY()),MONTH(TODAY()),1))),12)=0,1,0),IF(Clients!E5="One-time",IF(6=0,1,0),1)))))),"")</f>
        <v/>
      </c>
      <c r="M75" s="10" t="str">
        <f ca="1">IFERROR(IF(OR(7&gt;=$B$1,Clients!A5="",NOT(ISNUMBER(Clients!D5)),Clients!L5="Expired",Clients!L5="Terminate"),"",Clients!D5*1*IF(Clients!E5="Monthly",IF(AND(ISNUMBER(Clients!G5),(YEAR(EDATE(DATE(YEAR(TODAY()),MONTH(TODAY()),1),7))*12+MONTH(EDATE(DATE(YEAR(TODAY()),MONTH(TODAY()),1),7)))&gt;(YEAR(Clients!G5)*12+MONTH(Clients!G5))),"",1),IF(Clients!E5="Quarterly",IF(MOD((YEAR(EDATE(DATE(YEAR(TODAY()),MONTH(TODAY()),1),7))-YEAR(IF(ISNUMBER(Clients!F5),Clients!F5,DATE(YEAR(TODAY()),MONTH(TODAY()),1))))*12+MONTH(EDATE(DATE(YEAR(TODAY()),MONTH(TODAY()),1),7))-MONTH(IF(ISNUMBER(Clients!F5),Clients!F5,DATE(YEAR(TODAY()),MONTH(TODAY()),1))),3)=0,1,0),IF(Clients!E5="Semi-annual",IF(MOD((YEAR(EDATE(DATE(YEAR(TODAY()),MONTH(TODAY()),1),7))-YEAR(IF(ISNUMBER(Clients!F5),Clients!F5,DATE(YEAR(TODAY()),MONTH(TODAY()),1))))*12+MONTH(EDATE(DATE(YEAR(TODAY()),MONTH(TODAY()),1),7))-MONTH(IF(ISNUMBER(Clients!F5),Clients!F5,DATE(YEAR(TODAY()),MONTH(TODAY()),1))),6)=0,1,0),IF(Clients!E5="Annual",IF(MOD((YEAR(EDATE(DATE(YEAR(TODAY()),MONTH(TODAY()),1),7))-YEAR(IF(ISNUMBER(Clients!F5),Clients!F5,DATE(YEAR(TODAY()),MONTH(TODAY()),1))))*12+MONTH(EDATE(DATE(YEAR(TODAY()),MONTH(TODAY()),1),7))-MONTH(IF(ISNUMBER(Clients!F5),Clients!F5,DATE(YEAR(TODAY()),MONTH(TODAY()),1))),12)=0,1,0),IF(Clients!E5="One-time",IF(7=0,1,0),1)))))),"")</f>
        <v/>
      </c>
      <c r="N75" s="10" t="str">
        <f ca="1">IFERROR(IF(OR(8&gt;=$B$1,Clients!A5="",NOT(ISNUMBER(Clients!D5)),Clients!L5="Expired",Clients!L5="Terminate"),"",Clients!D5*1*IF(Clients!E5="Monthly",IF(AND(ISNUMBER(Clients!G5),(YEAR(EDATE(DATE(YEAR(TODAY()),MONTH(TODAY()),1),8))*12+MONTH(EDATE(DATE(YEAR(TODAY()),MONTH(TODAY()),1),8)))&gt;(YEAR(Clients!G5)*12+MONTH(Clients!G5))),"",1),IF(Clients!E5="Quarterly",IF(MOD((YEAR(EDATE(DATE(YEAR(TODAY()),MONTH(TODAY()),1),8))-YEAR(IF(ISNUMBER(Clients!F5),Clients!F5,DATE(YEAR(TODAY()),MONTH(TODAY()),1))))*12+MONTH(EDATE(DATE(YEAR(TODAY()),MONTH(TODAY()),1),8))-MONTH(IF(ISNUMBER(Clients!F5),Clients!F5,DATE(YEAR(TODAY()),MONTH(TODAY()),1))),3)=0,1,0),IF(Clients!E5="Semi-annual",IF(MOD((YEAR(EDATE(DATE(YEAR(TODAY()),MONTH(TODAY()),1),8))-YEAR(IF(ISNUMBER(Clients!F5),Clients!F5,DATE(YEAR(TODAY()),MONTH(TODAY()),1))))*12+MONTH(EDATE(DATE(YEAR(TODAY()),MONTH(TODAY()),1),8))-MONTH(IF(ISNUMBER(Clients!F5),Clients!F5,DATE(YEAR(TODAY()),MONTH(TODAY()),1))),6)=0,1,0),IF(Clients!E5="Annual",IF(MOD((YEAR(EDATE(DATE(YEAR(TODAY()),MONTH(TODAY()),1),8))-YEAR(IF(ISNUMBER(Clients!F5),Clients!F5,DATE(YEAR(TODAY()),MONTH(TODAY()),1))))*12+MONTH(EDATE(DATE(YEAR(TODAY()),MONTH(TODAY()),1),8))-MONTH(IF(ISNUMBER(Clients!F5),Clients!F5,DATE(YEAR(TODAY()),MONTH(TODAY()),1))),12)=0,1,0),IF(Clients!E5="One-time",IF(8=0,1,0),1)))))),"")</f>
        <v/>
      </c>
      <c r="O75" s="10" t="str">
        <f ca="1">IFERROR(IF(OR(9&gt;=$B$1,Clients!A5="",NOT(ISNUMBER(Clients!D5)),Clients!L5="Expired",Clients!L5="Terminate"),"",Clients!D5*1*IF(Clients!E5="Monthly",IF(AND(ISNUMBER(Clients!G5),(YEAR(EDATE(DATE(YEAR(TODAY()),MONTH(TODAY()),1),9))*12+MONTH(EDATE(DATE(YEAR(TODAY()),MONTH(TODAY()),1),9)))&gt;(YEAR(Clients!G5)*12+MONTH(Clients!G5))),"",1),IF(Clients!E5="Quarterly",IF(MOD((YEAR(EDATE(DATE(YEAR(TODAY()),MONTH(TODAY()),1),9))-YEAR(IF(ISNUMBER(Clients!F5),Clients!F5,DATE(YEAR(TODAY()),MONTH(TODAY()),1))))*12+MONTH(EDATE(DATE(YEAR(TODAY()),MONTH(TODAY()),1),9))-MONTH(IF(ISNUMBER(Clients!F5),Clients!F5,DATE(YEAR(TODAY()),MONTH(TODAY()),1))),3)=0,1,0),IF(Clients!E5="Semi-annual",IF(MOD((YEAR(EDATE(DATE(YEAR(TODAY()),MONTH(TODAY()),1),9))-YEAR(IF(ISNUMBER(Clients!F5),Clients!F5,DATE(YEAR(TODAY()),MONTH(TODAY()),1))))*12+MONTH(EDATE(DATE(YEAR(TODAY()),MONTH(TODAY()),1),9))-MONTH(IF(ISNUMBER(Clients!F5),Clients!F5,DATE(YEAR(TODAY()),MONTH(TODAY()),1))),6)=0,1,0),IF(Clients!E5="Annual",IF(MOD((YEAR(EDATE(DATE(YEAR(TODAY()),MONTH(TODAY()),1),9))-YEAR(IF(ISNUMBER(Clients!F5),Clients!F5,DATE(YEAR(TODAY()),MONTH(TODAY()),1))))*12+MONTH(EDATE(DATE(YEAR(TODAY()),MONTH(TODAY()),1),9))-MONTH(IF(ISNUMBER(Clients!F5),Clients!F5,DATE(YEAR(TODAY()),MONTH(TODAY()),1))),12)=0,1,0),IF(Clients!E5="One-time",IF(9=0,1,0),1)))))),"")</f>
        <v/>
      </c>
      <c r="P75" s="10" t="str">
        <f ca="1">IFERROR(IF(OR(10&gt;=$B$1,Clients!A5="",NOT(ISNUMBER(Clients!D5)),Clients!L5="Expired",Clients!L5="Terminate"),"",Clients!D5*1*IF(Clients!E5="Monthly",IF(AND(ISNUMBER(Clients!G5),(YEAR(EDATE(DATE(YEAR(TODAY()),MONTH(TODAY()),1),10))*12+MONTH(EDATE(DATE(YEAR(TODAY()),MONTH(TODAY()),1),10)))&gt;(YEAR(Clients!G5)*12+MONTH(Clients!G5))),"",1),IF(Clients!E5="Quarterly",IF(MOD((YEAR(EDATE(DATE(YEAR(TODAY()),MONTH(TODAY()),1),10))-YEAR(IF(ISNUMBER(Clients!F5),Clients!F5,DATE(YEAR(TODAY()),MONTH(TODAY()),1))))*12+MONTH(EDATE(DATE(YEAR(TODAY()),MONTH(TODAY()),1),10))-MONTH(IF(ISNUMBER(Clients!F5),Clients!F5,DATE(YEAR(TODAY()),MONTH(TODAY()),1))),3)=0,1,0),IF(Clients!E5="Semi-annual",IF(MOD((YEAR(EDATE(DATE(YEAR(TODAY()),MONTH(TODAY()),1),10))-YEAR(IF(ISNUMBER(Clients!F5),Clients!F5,DATE(YEAR(TODAY()),MONTH(TODAY()),1))))*12+MONTH(EDATE(DATE(YEAR(TODAY()),MONTH(TODAY()),1),10))-MONTH(IF(ISNUMBER(Clients!F5),Clients!F5,DATE(YEAR(TODAY()),MONTH(TODAY()),1))),6)=0,1,0),IF(Clients!E5="Annual",IF(MOD((YEAR(EDATE(DATE(YEAR(TODAY()),MONTH(TODAY()),1),10))-YEAR(IF(ISNUMBER(Clients!F5),Clients!F5,DATE(YEAR(TODAY()),MONTH(TODAY()),1))))*12+MONTH(EDATE(DATE(YEAR(TODAY()),MONTH(TODAY()),1),10))-MONTH(IF(ISNUMBER(Clients!F5),Clients!F5,DATE(YEAR(TODAY()),MONTH(TODAY()),1))),12)=0,1,0),IF(Clients!E5="One-time",IF(10=0,1,0),1)))))),"")</f>
        <v/>
      </c>
      <c r="Q75" s="10" t="str">
        <f ca="1">IFERROR(IF(OR(11&gt;=$B$1,Clients!A5="",NOT(ISNUMBER(Clients!D5)),Clients!L5="Expired",Clients!L5="Terminate"),"",Clients!D5*1*IF(Clients!E5="Monthly",IF(AND(ISNUMBER(Clients!G5),(YEAR(EDATE(DATE(YEAR(TODAY()),MONTH(TODAY()),1),11))*12+MONTH(EDATE(DATE(YEAR(TODAY()),MONTH(TODAY()),1),11)))&gt;(YEAR(Clients!G5)*12+MONTH(Clients!G5))),"",1),IF(Clients!E5="Quarterly",IF(MOD((YEAR(EDATE(DATE(YEAR(TODAY()),MONTH(TODAY()),1),11))-YEAR(IF(ISNUMBER(Clients!F5),Clients!F5,DATE(YEAR(TODAY()),MONTH(TODAY()),1))))*12+MONTH(EDATE(DATE(YEAR(TODAY()),MONTH(TODAY()),1),11))-MONTH(IF(ISNUMBER(Clients!F5),Clients!F5,DATE(YEAR(TODAY()),MONTH(TODAY()),1))),3)=0,1,0),IF(Clients!E5="Semi-annual",IF(MOD((YEAR(EDATE(DATE(YEAR(TODAY()),MONTH(TODAY()),1),11))-YEAR(IF(ISNUMBER(Clients!F5),Clients!F5,DATE(YEAR(TODAY()),MONTH(TODAY()),1))))*12+MONTH(EDATE(DATE(YEAR(TODAY()),MONTH(TODAY()),1),11))-MONTH(IF(ISNUMBER(Clients!F5),Clients!F5,DATE(YEAR(TODAY()),MONTH(TODAY()),1))),6)=0,1,0),IF(Clients!E5="Annual",IF(MOD((YEAR(EDATE(DATE(YEAR(TODAY()),MONTH(TODAY()),1),11))-YEAR(IF(ISNUMBER(Clients!F5),Clients!F5,DATE(YEAR(TODAY()),MONTH(TODAY()),1))))*12+MONTH(EDATE(DATE(YEAR(TODAY()),MONTH(TODAY()),1),11))-MONTH(IF(ISNUMBER(Clients!F5),Clients!F5,DATE(YEAR(TODAY()),MONTH(TODAY()),1))),12)=0,1,0),IF(Clients!E5="One-time",IF(11=0,1,0),1)))))),"")</f>
        <v/>
      </c>
      <c r="R75" s="10" t="str">
        <f ca="1">IFERROR(IF(OR(12&gt;=$B$1,Suppliers!A73="",NOT(ISNUMBER(Suppliers!D73)),Suppliers!L73="Expired",Suppliers!L73="Terminate"),"",Suppliers!D73*-1*IF(Suppliers!E73="Monthly",IF(AND(ISNUMBER(Suppliers!G73),(YEAR(EDATE(DATE(YEAR(TODAY()),MONTH(TODAY()),1),12))*12+MONTH(EDATE(DATE(YEAR(TODAY()),MONTH(TODAY()),1),12)))&gt;(YEAR(Suppliers!G73)*12+MONTH(Suppliers!G73))),"",1),IF(Suppliers!E73="Quarterly",IF(MOD((YEAR(EDATE(DATE(YEAR(TODAY()),MONTH(TODAY()),1),12))-YEAR(IF(ISNUMBER(Suppliers!F73),Suppliers!F73,DATE(YEAR(TODAY()),MONTH(TODAY()),1))))*12+MONTH(EDATE(DATE(YEAR(TODAY()),MONTH(TODAY()),1),12))-MONTH(IF(ISNUMBER(Suppliers!F73),Suppliers!F73,DATE(YEAR(TODAY()),MONTH(TODAY()),1))),3)=0,1,0),IF(Suppliers!E73="Semi-annual",IF(MOD((YEAR(EDATE(DATE(YEAR(TODAY()),MONTH(TODAY()),1),12))-YEAR(IF(ISNUMBER(Suppliers!F73),Suppliers!F73,DATE(YEAR(TODAY()),MONTH(TODAY()),1))))*12+MONTH(EDATE(DATE(YEAR(TODAY()),MONTH(TODAY()),1),12))-MONTH(IF(ISNUMBER(Suppliers!F73),Suppliers!F73,DATE(YEAR(TODAY()),MONTH(TODAY()),1))),6)=0,1,0),IF(Suppliers!E73="Annual",IF(MOD((YEAR(EDATE(DATE(YEAR(TODAY()),MONTH(TODAY()),1),12))-YEAR(IF(ISNUMBER(Suppliers!F73),Suppliers!F73,DATE(YEAR(TODAY()),MONTH(TODAY()),1))))*12+MONTH(EDATE(DATE(YEAR(TODAY()),MONTH(TODAY()),1),12))-MONTH(IF(ISNUMBER(Suppliers!F73),Suppliers!F73,DATE(YEAR(TODAY()),MONTH(TODAY()),1))),12)=0,1,0),IF(Suppliers!E73="One-time",IF(12=0,1,0),1)))))),"")</f>
        <v/>
      </c>
      <c r="S75" s="10" t="str">
        <f ca="1">IFERROR(IF(OR(13&gt;=$B$1,Suppliers!A73="",NOT(ISNUMBER(Suppliers!D73)),Suppliers!L73="Expired",Suppliers!L73="Terminate"),"",Suppliers!D73*-1*IF(Suppliers!E73="Monthly",IF(AND(ISNUMBER(Suppliers!G73),(YEAR(EDATE(DATE(YEAR(TODAY()),MONTH(TODAY()),1),13))*12+MONTH(EDATE(DATE(YEAR(TODAY()),MONTH(TODAY()),1),13)))&gt;(YEAR(Suppliers!G73)*12+MONTH(Suppliers!G73))),"",1),IF(Suppliers!E73="Quarterly",IF(MOD((YEAR(EDATE(DATE(YEAR(TODAY()),MONTH(TODAY()),1),13))-YEAR(IF(ISNUMBER(Suppliers!F73),Suppliers!F73,DATE(YEAR(TODAY()),MONTH(TODAY()),1))))*12+MONTH(EDATE(DATE(YEAR(TODAY()),MONTH(TODAY()),1),13))-MONTH(IF(ISNUMBER(Suppliers!F73),Suppliers!F73,DATE(YEAR(TODAY()),MONTH(TODAY()),1))),3)=0,1,0),IF(Suppliers!E73="Semi-annual",IF(MOD((YEAR(EDATE(DATE(YEAR(TODAY()),MONTH(TODAY()),1),13))-YEAR(IF(ISNUMBER(Suppliers!F73),Suppliers!F73,DATE(YEAR(TODAY()),MONTH(TODAY()),1))))*12+MONTH(EDATE(DATE(YEAR(TODAY()),MONTH(TODAY()),1),13))-MONTH(IF(ISNUMBER(Suppliers!F73),Suppliers!F73,DATE(YEAR(TODAY()),MONTH(TODAY()),1))),6)=0,1,0),IF(Suppliers!E73="Annual",IF(MOD((YEAR(EDATE(DATE(YEAR(TODAY()),MONTH(TODAY()),1),13))-YEAR(IF(ISNUMBER(Suppliers!F73),Suppliers!F73,DATE(YEAR(TODAY()),MONTH(TODAY()),1))))*12+MONTH(EDATE(DATE(YEAR(TODAY()),MONTH(TODAY()),1),13))-MONTH(IF(ISNUMBER(Suppliers!F73),Suppliers!F73,DATE(YEAR(TODAY()),MONTH(TODAY()),1))),12)=0,1,0),IF(Suppliers!E73="One-time",IF(13=0,1,0),1)))))),"")</f>
        <v/>
      </c>
      <c r="T75" s="10" t="str">
        <f ca="1">IFERROR(IF(OR(14&gt;=$B$1,Suppliers!A73="",NOT(ISNUMBER(Suppliers!D73)),Suppliers!L73="Expired",Suppliers!L73="Terminate"),"",Suppliers!D73*-1*IF(Suppliers!E73="Monthly",IF(AND(ISNUMBER(Suppliers!G73),(YEAR(EDATE(DATE(YEAR(TODAY()),MONTH(TODAY()),1),14))*12+MONTH(EDATE(DATE(YEAR(TODAY()),MONTH(TODAY()),1),14)))&gt;(YEAR(Suppliers!G73)*12+MONTH(Suppliers!G73))),"",1),IF(Suppliers!E73="Quarterly",IF(MOD((YEAR(EDATE(DATE(YEAR(TODAY()),MONTH(TODAY()),1),14))-YEAR(IF(ISNUMBER(Suppliers!F73),Suppliers!F73,DATE(YEAR(TODAY()),MONTH(TODAY()),1))))*12+MONTH(EDATE(DATE(YEAR(TODAY()),MONTH(TODAY()),1),14))-MONTH(IF(ISNUMBER(Suppliers!F73),Suppliers!F73,DATE(YEAR(TODAY()),MONTH(TODAY()),1))),3)=0,1,0),IF(Suppliers!E73="Semi-annual",IF(MOD((YEAR(EDATE(DATE(YEAR(TODAY()),MONTH(TODAY()),1),14))-YEAR(IF(ISNUMBER(Suppliers!F73),Suppliers!F73,DATE(YEAR(TODAY()),MONTH(TODAY()),1))))*12+MONTH(EDATE(DATE(YEAR(TODAY()),MONTH(TODAY()),1),14))-MONTH(IF(ISNUMBER(Suppliers!F73),Suppliers!F73,DATE(YEAR(TODAY()),MONTH(TODAY()),1))),6)=0,1,0),IF(Suppliers!E73="Annual",IF(MOD((YEAR(EDATE(DATE(YEAR(TODAY()),MONTH(TODAY()),1),14))-YEAR(IF(ISNUMBER(Suppliers!F73),Suppliers!F73,DATE(YEAR(TODAY()),MONTH(TODAY()),1))))*12+MONTH(EDATE(DATE(YEAR(TODAY()),MONTH(TODAY()),1),14))-MONTH(IF(ISNUMBER(Suppliers!F73),Suppliers!F73,DATE(YEAR(TODAY()),MONTH(TODAY()),1))),12)=0,1,0),IF(Suppliers!E73="One-time",IF(14=0,1,0),1)))))),"")</f>
        <v/>
      </c>
      <c r="U75" s="10" t="str">
        <f ca="1">IFERROR(IF(OR(15&gt;=$B$1,Suppliers!A73="",NOT(ISNUMBER(Suppliers!D73)),Suppliers!L73="Expired",Suppliers!L73="Terminate"),"",Suppliers!D73*-1*IF(Suppliers!E73="Monthly",IF(AND(ISNUMBER(Suppliers!G73),(YEAR(EDATE(DATE(YEAR(TODAY()),MONTH(TODAY()),1),15))*12+MONTH(EDATE(DATE(YEAR(TODAY()),MONTH(TODAY()),1),15)))&gt;(YEAR(Suppliers!G73)*12+MONTH(Suppliers!G73))),"",1),IF(Suppliers!E73="Quarterly",IF(MOD((YEAR(EDATE(DATE(YEAR(TODAY()),MONTH(TODAY()),1),15))-YEAR(IF(ISNUMBER(Suppliers!F73),Suppliers!F73,DATE(YEAR(TODAY()),MONTH(TODAY()),1))))*12+MONTH(EDATE(DATE(YEAR(TODAY()),MONTH(TODAY()),1),15))-MONTH(IF(ISNUMBER(Suppliers!F73),Suppliers!F73,DATE(YEAR(TODAY()),MONTH(TODAY()),1))),3)=0,1,0),IF(Suppliers!E73="Semi-annual",IF(MOD((YEAR(EDATE(DATE(YEAR(TODAY()),MONTH(TODAY()),1),15))-YEAR(IF(ISNUMBER(Suppliers!F73),Suppliers!F73,DATE(YEAR(TODAY()),MONTH(TODAY()),1))))*12+MONTH(EDATE(DATE(YEAR(TODAY()),MONTH(TODAY()),1),15))-MONTH(IF(ISNUMBER(Suppliers!F73),Suppliers!F73,DATE(YEAR(TODAY()),MONTH(TODAY()),1))),6)=0,1,0),IF(Suppliers!E73="Annual",IF(MOD((YEAR(EDATE(DATE(YEAR(TODAY()),MONTH(TODAY()),1),15))-YEAR(IF(ISNUMBER(Suppliers!F73),Suppliers!F73,DATE(YEAR(TODAY()),MONTH(TODAY()),1))))*12+MONTH(EDATE(DATE(YEAR(TODAY()),MONTH(TODAY()),1),15))-MONTH(IF(ISNUMBER(Suppliers!F73),Suppliers!F73,DATE(YEAR(TODAY()),MONTH(TODAY()),1))),12)=0,1,0),IF(Suppliers!E73="One-time",IF(15=0,1,0),1)))))),"")</f>
        <v/>
      </c>
      <c r="V75" s="10" t="str">
        <f ca="1">IFERROR(IF(OR(16&gt;=$B$1,Suppliers!A73="",NOT(ISNUMBER(Suppliers!D73)),Suppliers!L73="Expired",Suppliers!L73="Terminate"),"",Suppliers!D73*-1*IF(Suppliers!E73="Monthly",IF(AND(ISNUMBER(Suppliers!G73),(YEAR(EDATE(DATE(YEAR(TODAY()),MONTH(TODAY()),1),16))*12+MONTH(EDATE(DATE(YEAR(TODAY()),MONTH(TODAY()),1),16)))&gt;(YEAR(Suppliers!G73)*12+MONTH(Suppliers!G73))),"",1),IF(Suppliers!E73="Quarterly",IF(MOD((YEAR(EDATE(DATE(YEAR(TODAY()),MONTH(TODAY()),1),16))-YEAR(IF(ISNUMBER(Suppliers!F73),Suppliers!F73,DATE(YEAR(TODAY()),MONTH(TODAY()),1))))*12+MONTH(EDATE(DATE(YEAR(TODAY()),MONTH(TODAY()),1),16))-MONTH(IF(ISNUMBER(Suppliers!F73),Suppliers!F73,DATE(YEAR(TODAY()),MONTH(TODAY()),1))),3)=0,1,0),IF(Suppliers!E73="Semi-annual",IF(MOD((YEAR(EDATE(DATE(YEAR(TODAY()),MONTH(TODAY()),1),16))-YEAR(IF(ISNUMBER(Suppliers!F73),Suppliers!F73,DATE(YEAR(TODAY()),MONTH(TODAY()),1))))*12+MONTH(EDATE(DATE(YEAR(TODAY()),MONTH(TODAY()),1),16))-MONTH(IF(ISNUMBER(Suppliers!F73),Suppliers!F73,DATE(YEAR(TODAY()),MONTH(TODAY()),1))),6)=0,1,0),IF(Suppliers!E73="Annual",IF(MOD((YEAR(EDATE(DATE(YEAR(TODAY()),MONTH(TODAY()),1),16))-YEAR(IF(ISNUMBER(Suppliers!F73),Suppliers!F73,DATE(YEAR(TODAY()),MONTH(TODAY()),1))))*12+MONTH(EDATE(DATE(YEAR(TODAY()),MONTH(TODAY()),1),16))-MONTH(IF(ISNUMBER(Suppliers!F73),Suppliers!F73,DATE(YEAR(TODAY()),MONTH(TODAY()),1))),12)=0,1,0),IF(Suppliers!E73="One-time",IF(16=0,1,0),1)))))),"")</f>
        <v/>
      </c>
      <c r="W75" s="10" t="str">
        <f ca="1">IFERROR(IF(OR(17&gt;=$B$1,Suppliers!A73="",NOT(ISNUMBER(Suppliers!D73)),Suppliers!L73="Expired",Suppliers!L73="Terminate"),"",Suppliers!D73*-1*IF(Suppliers!E73="Monthly",IF(AND(ISNUMBER(Suppliers!G73),(YEAR(EDATE(DATE(YEAR(TODAY()),MONTH(TODAY()),1),17))*12+MONTH(EDATE(DATE(YEAR(TODAY()),MONTH(TODAY()),1),17)))&gt;(YEAR(Suppliers!G73)*12+MONTH(Suppliers!G73))),"",1),IF(Suppliers!E73="Quarterly",IF(MOD((YEAR(EDATE(DATE(YEAR(TODAY()),MONTH(TODAY()),1),17))-YEAR(IF(ISNUMBER(Suppliers!F73),Suppliers!F73,DATE(YEAR(TODAY()),MONTH(TODAY()),1))))*12+MONTH(EDATE(DATE(YEAR(TODAY()),MONTH(TODAY()),1),17))-MONTH(IF(ISNUMBER(Suppliers!F73),Suppliers!F73,DATE(YEAR(TODAY()),MONTH(TODAY()),1))),3)=0,1,0),IF(Suppliers!E73="Semi-annual",IF(MOD((YEAR(EDATE(DATE(YEAR(TODAY()),MONTH(TODAY()),1),17))-YEAR(IF(ISNUMBER(Suppliers!F73),Suppliers!F73,DATE(YEAR(TODAY()),MONTH(TODAY()),1))))*12+MONTH(EDATE(DATE(YEAR(TODAY()),MONTH(TODAY()),1),17))-MONTH(IF(ISNUMBER(Suppliers!F73),Suppliers!F73,DATE(YEAR(TODAY()),MONTH(TODAY()),1))),6)=0,1,0),IF(Suppliers!E73="Annual",IF(MOD((YEAR(EDATE(DATE(YEAR(TODAY()),MONTH(TODAY()),1),17))-YEAR(IF(ISNUMBER(Suppliers!F73),Suppliers!F73,DATE(YEAR(TODAY()),MONTH(TODAY()),1))))*12+MONTH(EDATE(DATE(YEAR(TODAY()),MONTH(TODAY()),1),17))-MONTH(IF(ISNUMBER(Suppliers!F73),Suppliers!F73,DATE(YEAR(TODAY()),MONTH(TODAY()),1))),12)=0,1,0),IF(Suppliers!E73="One-time",IF(17=0,1,0),1)))))),"")</f>
        <v/>
      </c>
      <c r="X75" s="10" t="str">
        <f ca="1">IFERROR(IF(OR(18&gt;=$B$1,Suppliers!A73="",NOT(ISNUMBER(Suppliers!D73)),Suppliers!L73="Expired",Suppliers!L73="Terminate"),"",Suppliers!D73*-1*IF(Suppliers!E73="Monthly",IF(AND(ISNUMBER(Suppliers!G73),(YEAR(EDATE(DATE(YEAR(TODAY()),MONTH(TODAY()),1),18))*12+MONTH(EDATE(DATE(YEAR(TODAY()),MONTH(TODAY()),1),18)))&gt;(YEAR(Suppliers!G73)*12+MONTH(Suppliers!G73))),"",1),IF(Suppliers!E73="Quarterly",IF(MOD((YEAR(EDATE(DATE(YEAR(TODAY()),MONTH(TODAY()),1),18))-YEAR(IF(ISNUMBER(Suppliers!F73),Suppliers!F73,DATE(YEAR(TODAY()),MONTH(TODAY()),1))))*12+MONTH(EDATE(DATE(YEAR(TODAY()),MONTH(TODAY()),1),18))-MONTH(IF(ISNUMBER(Suppliers!F73),Suppliers!F73,DATE(YEAR(TODAY()),MONTH(TODAY()),1))),3)=0,1,0),IF(Suppliers!E73="Semi-annual",IF(MOD((YEAR(EDATE(DATE(YEAR(TODAY()),MONTH(TODAY()),1),18))-YEAR(IF(ISNUMBER(Suppliers!F73),Suppliers!F73,DATE(YEAR(TODAY()),MONTH(TODAY()),1))))*12+MONTH(EDATE(DATE(YEAR(TODAY()),MONTH(TODAY()),1),18))-MONTH(IF(ISNUMBER(Suppliers!F73),Suppliers!F73,DATE(YEAR(TODAY()),MONTH(TODAY()),1))),6)=0,1,0),IF(Suppliers!E73="Annual",IF(MOD((YEAR(EDATE(DATE(YEAR(TODAY()),MONTH(TODAY()),1),18))-YEAR(IF(ISNUMBER(Suppliers!F73),Suppliers!F73,DATE(YEAR(TODAY()),MONTH(TODAY()),1))))*12+MONTH(EDATE(DATE(YEAR(TODAY()),MONTH(TODAY()),1),18))-MONTH(IF(ISNUMBER(Suppliers!F73),Suppliers!F73,DATE(YEAR(TODAY()),MONTH(TODAY()),1))),12)=0,1,0),IF(Suppliers!E73="One-time",IF(18=0,1,0),1)))))),"")</f>
        <v/>
      </c>
      <c r="Y75" s="10" t="str">
        <f ca="1">IFERROR(IF(OR(19&gt;=$B$1,Suppliers!A73="",NOT(ISNUMBER(Suppliers!D73)),Suppliers!L73="Expired",Suppliers!L73="Terminate"),"",Suppliers!D73*-1*IF(Suppliers!E73="Monthly",IF(AND(ISNUMBER(Suppliers!G73),(YEAR(EDATE(DATE(YEAR(TODAY()),MONTH(TODAY()),1),19))*12+MONTH(EDATE(DATE(YEAR(TODAY()),MONTH(TODAY()),1),19)))&gt;(YEAR(Suppliers!G73)*12+MONTH(Suppliers!G73))),"",1),IF(Suppliers!E73="Quarterly",IF(MOD((YEAR(EDATE(DATE(YEAR(TODAY()),MONTH(TODAY()),1),19))-YEAR(IF(ISNUMBER(Suppliers!F73),Suppliers!F73,DATE(YEAR(TODAY()),MONTH(TODAY()),1))))*12+MONTH(EDATE(DATE(YEAR(TODAY()),MONTH(TODAY()),1),19))-MONTH(IF(ISNUMBER(Suppliers!F73),Suppliers!F73,DATE(YEAR(TODAY()),MONTH(TODAY()),1))),3)=0,1,0),IF(Suppliers!E73="Semi-annual",IF(MOD((YEAR(EDATE(DATE(YEAR(TODAY()),MONTH(TODAY()),1),19))-YEAR(IF(ISNUMBER(Suppliers!F73),Suppliers!F73,DATE(YEAR(TODAY()),MONTH(TODAY()),1))))*12+MONTH(EDATE(DATE(YEAR(TODAY()),MONTH(TODAY()),1),19))-MONTH(IF(ISNUMBER(Suppliers!F73),Suppliers!F73,DATE(YEAR(TODAY()),MONTH(TODAY()),1))),6)=0,1,0),IF(Suppliers!E73="Annual",IF(MOD((YEAR(EDATE(DATE(YEAR(TODAY()),MONTH(TODAY()),1),19))-YEAR(IF(ISNUMBER(Suppliers!F73),Suppliers!F73,DATE(YEAR(TODAY()),MONTH(TODAY()),1))))*12+MONTH(EDATE(DATE(YEAR(TODAY()),MONTH(TODAY()),1),19))-MONTH(IF(ISNUMBER(Suppliers!F73),Suppliers!F73,DATE(YEAR(TODAY()),MONTH(TODAY()),1))),12)=0,1,0),IF(Suppliers!E73="One-time",IF(19=0,1,0),1)))))),"")</f>
        <v/>
      </c>
      <c r="Z75" s="10" t="str">
        <f ca="1">IFERROR(IF(OR(20&gt;=$B$1,Suppliers!A73="",NOT(ISNUMBER(Suppliers!D73)),Suppliers!L73="Expired",Suppliers!L73="Terminate"),"",Suppliers!D73*-1*IF(Suppliers!E73="Monthly",IF(AND(ISNUMBER(Suppliers!G73),(YEAR(EDATE(DATE(YEAR(TODAY()),MONTH(TODAY()),1),20))*12+MONTH(EDATE(DATE(YEAR(TODAY()),MONTH(TODAY()),1),20)))&gt;(YEAR(Suppliers!G73)*12+MONTH(Suppliers!G73))),"",1),IF(Suppliers!E73="Quarterly",IF(MOD((YEAR(EDATE(DATE(YEAR(TODAY()),MONTH(TODAY()),1),20))-YEAR(IF(ISNUMBER(Suppliers!F73),Suppliers!F73,DATE(YEAR(TODAY()),MONTH(TODAY()),1))))*12+MONTH(EDATE(DATE(YEAR(TODAY()),MONTH(TODAY()),1),20))-MONTH(IF(ISNUMBER(Suppliers!F73),Suppliers!F73,DATE(YEAR(TODAY()),MONTH(TODAY()),1))),3)=0,1,0),IF(Suppliers!E73="Semi-annual",IF(MOD((YEAR(EDATE(DATE(YEAR(TODAY()),MONTH(TODAY()),1),20))-YEAR(IF(ISNUMBER(Suppliers!F73),Suppliers!F73,DATE(YEAR(TODAY()),MONTH(TODAY()),1))))*12+MONTH(EDATE(DATE(YEAR(TODAY()),MONTH(TODAY()),1),20))-MONTH(IF(ISNUMBER(Suppliers!F73),Suppliers!F73,DATE(YEAR(TODAY()),MONTH(TODAY()),1))),6)=0,1,0),IF(Suppliers!E73="Annual",IF(MOD((YEAR(EDATE(DATE(YEAR(TODAY()),MONTH(TODAY()),1),20))-YEAR(IF(ISNUMBER(Suppliers!F73),Suppliers!F73,DATE(YEAR(TODAY()),MONTH(TODAY()),1))))*12+MONTH(EDATE(DATE(YEAR(TODAY()),MONTH(TODAY()),1),20))-MONTH(IF(ISNUMBER(Suppliers!F73),Suppliers!F73,DATE(YEAR(TODAY()),MONTH(TODAY()),1))),12)=0,1,0),IF(Suppliers!E73="One-time",IF(20=0,1,0),1)))))),"")</f>
        <v/>
      </c>
      <c r="AA75" s="10" t="str">
        <f ca="1">IFERROR(IF(OR(21&gt;=$B$1,Suppliers!A73="",NOT(ISNUMBER(Suppliers!D73)),Suppliers!L73="Expired",Suppliers!L73="Terminate"),"",Suppliers!D73*-1*IF(Suppliers!E73="Monthly",IF(AND(ISNUMBER(Suppliers!G73),(YEAR(EDATE(DATE(YEAR(TODAY()),MONTH(TODAY()),1),21))*12+MONTH(EDATE(DATE(YEAR(TODAY()),MONTH(TODAY()),1),21)))&gt;(YEAR(Suppliers!G73)*12+MONTH(Suppliers!G73))),"",1),IF(Suppliers!E73="Quarterly",IF(MOD((YEAR(EDATE(DATE(YEAR(TODAY()),MONTH(TODAY()),1),21))-YEAR(IF(ISNUMBER(Suppliers!F73),Suppliers!F73,DATE(YEAR(TODAY()),MONTH(TODAY()),1))))*12+MONTH(EDATE(DATE(YEAR(TODAY()),MONTH(TODAY()),1),21))-MONTH(IF(ISNUMBER(Suppliers!F73),Suppliers!F73,DATE(YEAR(TODAY()),MONTH(TODAY()),1))),3)=0,1,0),IF(Suppliers!E73="Semi-annual",IF(MOD((YEAR(EDATE(DATE(YEAR(TODAY()),MONTH(TODAY()),1),21))-YEAR(IF(ISNUMBER(Suppliers!F73),Suppliers!F73,DATE(YEAR(TODAY()),MONTH(TODAY()),1))))*12+MONTH(EDATE(DATE(YEAR(TODAY()),MONTH(TODAY()),1),21))-MONTH(IF(ISNUMBER(Suppliers!F73),Suppliers!F73,DATE(YEAR(TODAY()),MONTH(TODAY()),1))),6)=0,1,0),IF(Suppliers!E73="Annual",IF(MOD((YEAR(EDATE(DATE(YEAR(TODAY()),MONTH(TODAY()),1),21))-YEAR(IF(ISNUMBER(Suppliers!F73),Suppliers!F73,DATE(YEAR(TODAY()),MONTH(TODAY()),1))))*12+MONTH(EDATE(DATE(YEAR(TODAY()),MONTH(TODAY()),1),21))-MONTH(IF(ISNUMBER(Suppliers!F73),Suppliers!F73,DATE(YEAR(TODAY()),MONTH(TODAY()),1))),12)=0,1,0),IF(Suppliers!E73="One-time",IF(21=0,1,0),1)))))),"")</f>
        <v/>
      </c>
      <c r="AB75" s="10" t="str">
        <f ca="1">IFERROR(IF(OR(22&gt;=$B$1,Suppliers!A73="",NOT(ISNUMBER(Suppliers!D73)),Suppliers!L73="Expired",Suppliers!L73="Terminate"),"",Suppliers!D73*-1*IF(Suppliers!E73="Monthly",IF(AND(ISNUMBER(Suppliers!G73),(YEAR(EDATE(DATE(YEAR(TODAY()),MONTH(TODAY()),1),22))*12+MONTH(EDATE(DATE(YEAR(TODAY()),MONTH(TODAY()),1),22)))&gt;(YEAR(Suppliers!G73)*12+MONTH(Suppliers!G73))),"",1),IF(Suppliers!E73="Quarterly",IF(MOD((YEAR(EDATE(DATE(YEAR(TODAY()),MONTH(TODAY()),1),22))-YEAR(IF(ISNUMBER(Suppliers!F73),Suppliers!F73,DATE(YEAR(TODAY()),MONTH(TODAY()),1))))*12+MONTH(EDATE(DATE(YEAR(TODAY()),MONTH(TODAY()),1),22))-MONTH(IF(ISNUMBER(Suppliers!F73),Suppliers!F73,DATE(YEAR(TODAY()),MONTH(TODAY()),1))),3)=0,1,0),IF(Suppliers!E73="Semi-annual",IF(MOD((YEAR(EDATE(DATE(YEAR(TODAY()),MONTH(TODAY()),1),22))-YEAR(IF(ISNUMBER(Suppliers!F73),Suppliers!F73,DATE(YEAR(TODAY()),MONTH(TODAY()),1))))*12+MONTH(EDATE(DATE(YEAR(TODAY()),MONTH(TODAY()),1),22))-MONTH(IF(ISNUMBER(Suppliers!F73),Suppliers!F73,DATE(YEAR(TODAY()),MONTH(TODAY()),1))),6)=0,1,0),IF(Suppliers!E73="Annual",IF(MOD((YEAR(EDATE(DATE(YEAR(TODAY()),MONTH(TODAY()),1),22))-YEAR(IF(ISNUMBER(Suppliers!F73),Suppliers!F73,DATE(YEAR(TODAY()),MONTH(TODAY()),1))))*12+MONTH(EDATE(DATE(YEAR(TODAY()),MONTH(TODAY()),1),22))-MONTH(IF(ISNUMBER(Suppliers!F73),Suppliers!F73,DATE(YEAR(TODAY()),MONTH(TODAY()),1))),12)=0,1,0),IF(Suppliers!E73="One-time",IF(22=0,1,0),1)))))),"")</f>
        <v/>
      </c>
      <c r="AC75" s="10" t="str">
        <f ca="1">IFERROR(IF(OR(23&gt;=$B$1,Suppliers!A73="",NOT(ISNUMBER(Suppliers!D73)),Suppliers!L73="Expired",Suppliers!L73="Terminate"),"",Suppliers!D73*-1*IF(Suppliers!E73="Monthly",IF(AND(ISNUMBER(Suppliers!G73),(YEAR(EDATE(DATE(YEAR(TODAY()),MONTH(TODAY()),1),23))*12+MONTH(EDATE(DATE(YEAR(TODAY()),MONTH(TODAY()),1),23)))&gt;(YEAR(Suppliers!G73)*12+MONTH(Suppliers!G73))),"",1),IF(Suppliers!E73="Quarterly",IF(MOD((YEAR(EDATE(DATE(YEAR(TODAY()),MONTH(TODAY()),1),23))-YEAR(IF(ISNUMBER(Suppliers!F73),Suppliers!F73,DATE(YEAR(TODAY()),MONTH(TODAY()),1))))*12+MONTH(EDATE(DATE(YEAR(TODAY()),MONTH(TODAY()),1),23))-MONTH(IF(ISNUMBER(Suppliers!F73),Suppliers!F73,DATE(YEAR(TODAY()),MONTH(TODAY()),1))),3)=0,1,0),IF(Suppliers!E73="Semi-annual",IF(MOD((YEAR(EDATE(DATE(YEAR(TODAY()),MONTH(TODAY()),1),23))-YEAR(IF(ISNUMBER(Suppliers!F73),Suppliers!F73,DATE(YEAR(TODAY()),MONTH(TODAY()),1))))*12+MONTH(EDATE(DATE(YEAR(TODAY()),MONTH(TODAY()),1),23))-MONTH(IF(ISNUMBER(Suppliers!F73),Suppliers!F73,DATE(YEAR(TODAY()),MONTH(TODAY()),1))),6)=0,1,0),IF(Suppliers!E73="Annual",IF(MOD((YEAR(EDATE(DATE(YEAR(TODAY()),MONTH(TODAY()),1),23))-YEAR(IF(ISNUMBER(Suppliers!F73),Suppliers!F73,DATE(YEAR(TODAY()),MONTH(TODAY()),1))))*12+MONTH(EDATE(DATE(YEAR(TODAY()),MONTH(TODAY()),1),23))-MONTH(IF(ISNUMBER(Suppliers!F73),Suppliers!F73,DATE(YEAR(TODAY()),MONTH(TODAY()),1))),12)=0,1,0),IF(Suppliers!E73="One-time",IF(23=0,1,0),1)))))),"")</f>
        <v/>
      </c>
    </row>
    <row r="76" spans="1:29" ht="15" customHeight="1" x14ac:dyDescent="0.35">
      <c r="A76" s="4" t="s">
        <v>81</v>
      </c>
      <c r="B76" s="4" t="str">
        <f>IF(Clients!A6="","",Clients!A6)</f>
        <v/>
      </c>
      <c r="C76" s="10" t="str">
        <f>IF(Clients!C6="","",Clients!C6)</f>
        <v/>
      </c>
      <c r="D76" s="10" t="str">
        <f>IF(Clients!D6="","",Clients!D6)</f>
        <v/>
      </c>
      <c r="E76" s="4" t="str">
        <f>IF(Clients!E6="","",Clients!E6)</f>
        <v/>
      </c>
      <c r="F76" s="10" t="str">
        <f ca="1">IFERROR(IF(OR(0&gt;=$B$1,Clients!A6="",NOT(ISNUMBER(Clients!D6)),Clients!L6="Expired",Clients!L6="Terminate"),"",Clients!D6*1*IF(Clients!E6="Monthly",IF(AND(ISNUMBER(Clients!G6),(YEAR(EDATE(DATE(YEAR(TODAY()),MONTH(TODAY()),1),0))*12+MONTH(EDATE(DATE(YEAR(TODAY()),MONTH(TODAY()),1),0)))&gt;(YEAR(Clients!G6)*12+MONTH(Clients!G6))),"",1),IF(Clients!E6="Quarterly",IF(MOD((YEAR(EDATE(DATE(YEAR(TODAY()),MONTH(TODAY()),1),0))-YEAR(IF(ISNUMBER(Clients!F6),Clients!F6,DATE(YEAR(TODAY()),MONTH(TODAY()),1))))*12+MONTH(EDATE(DATE(YEAR(TODAY()),MONTH(TODAY()),1),0))-MONTH(IF(ISNUMBER(Clients!F6),Clients!F6,DATE(YEAR(TODAY()),MONTH(TODAY()),1))),3)=0,1,0),IF(Clients!E6="Semi-annual",IF(MOD((YEAR(EDATE(DATE(YEAR(TODAY()),MONTH(TODAY()),1),0))-YEAR(IF(ISNUMBER(Clients!F6),Clients!F6,DATE(YEAR(TODAY()),MONTH(TODAY()),1))))*12+MONTH(EDATE(DATE(YEAR(TODAY()),MONTH(TODAY()),1),0))-MONTH(IF(ISNUMBER(Clients!F6),Clients!F6,DATE(YEAR(TODAY()),MONTH(TODAY()),1))),6)=0,1,0),IF(Clients!E6="Annual",IF(MOD((YEAR(EDATE(DATE(YEAR(TODAY()),MONTH(TODAY()),1),0))-YEAR(IF(ISNUMBER(Clients!F6),Clients!F6,DATE(YEAR(TODAY()),MONTH(TODAY()),1))))*12+MONTH(EDATE(DATE(YEAR(TODAY()),MONTH(TODAY()),1),0))-MONTH(IF(ISNUMBER(Clients!F6),Clients!F6,DATE(YEAR(TODAY()),MONTH(TODAY()),1))),12)=0,1,0),IF(Clients!E6="One-time",IF(0=0,1,0),1)))))),"")</f>
        <v/>
      </c>
      <c r="G76" s="10" t="str">
        <f ca="1">IFERROR(IF(OR(1&gt;=$B$1,Clients!A6="",NOT(ISNUMBER(Clients!D6)),Clients!L6="Expired",Clients!L6="Terminate"),"",Clients!D6*1*IF(Clients!E6="Monthly",IF(AND(ISNUMBER(Clients!G6),(YEAR(EDATE(DATE(YEAR(TODAY()),MONTH(TODAY()),1),1))*12+MONTH(EDATE(DATE(YEAR(TODAY()),MONTH(TODAY()),1),1)))&gt;(YEAR(Clients!G6)*12+MONTH(Clients!G6))),"",1),IF(Clients!E6="Quarterly",IF(MOD((YEAR(EDATE(DATE(YEAR(TODAY()),MONTH(TODAY()),1),1))-YEAR(IF(ISNUMBER(Clients!F6),Clients!F6,DATE(YEAR(TODAY()),MONTH(TODAY()),1))))*12+MONTH(EDATE(DATE(YEAR(TODAY()),MONTH(TODAY()),1),1))-MONTH(IF(ISNUMBER(Clients!F6),Clients!F6,DATE(YEAR(TODAY()),MONTH(TODAY()),1))),3)=0,1,0),IF(Clients!E6="Semi-annual",IF(MOD((YEAR(EDATE(DATE(YEAR(TODAY()),MONTH(TODAY()),1),1))-YEAR(IF(ISNUMBER(Clients!F6),Clients!F6,DATE(YEAR(TODAY()),MONTH(TODAY()),1))))*12+MONTH(EDATE(DATE(YEAR(TODAY()),MONTH(TODAY()),1),1))-MONTH(IF(ISNUMBER(Clients!F6),Clients!F6,DATE(YEAR(TODAY()),MONTH(TODAY()),1))),6)=0,1,0),IF(Clients!E6="Annual",IF(MOD((YEAR(EDATE(DATE(YEAR(TODAY()),MONTH(TODAY()),1),1))-YEAR(IF(ISNUMBER(Clients!F6),Clients!F6,DATE(YEAR(TODAY()),MONTH(TODAY()),1))))*12+MONTH(EDATE(DATE(YEAR(TODAY()),MONTH(TODAY()),1),1))-MONTH(IF(ISNUMBER(Clients!F6),Clients!F6,DATE(YEAR(TODAY()),MONTH(TODAY()),1))),12)=0,1,0),IF(Clients!E6="One-time",IF(1=0,1,0),1)))))),"")</f>
        <v/>
      </c>
      <c r="H76" s="10" t="str">
        <f ca="1">IFERROR(IF(OR(2&gt;=$B$1,Clients!A6="",NOT(ISNUMBER(Clients!D6)),Clients!L6="Expired",Clients!L6="Terminate"),"",Clients!D6*1*IF(Clients!E6="Monthly",IF(AND(ISNUMBER(Clients!G6),(YEAR(EDATE(DATE(YEAR(TODAY()),MONTH(TODAY()),1),2))*12+MONTH(EDATE(DATE(YEAR(TODAY()),MONTH(TODAY()),1),2)))&gt;(YEAR(Clients!G6)*12+MONTH(Clients!G6))),"",1),IF(Clients!E6="Quarterly",IF(MOD((YEAR(EDATE(DATE(YEAR(TODAY()),MONTH(TODAY()),1),2))-YEAR(IF(ISNUMBER(Clients!F6),Clients!F6,DATE(YEAR(TODAY()),MONTH(TODAY()),1))))*12+MONTH(EDATE(DATE(YEAR(TODAY()),MONTH(TODAY()),1),2))-MONTH(IF(ISNUMBER(Clients!F6),Clients!F6,DATE(YEAR(TODAY()),MONTH(TODAY()),1))),3)=0,1,0),IF(Clients!E6="Semi-annual",IF(MOD((YEAR(EDATE(DATE(YEAR(TODAY()),MONTH(TODAY()),1),2))-YEAR(IF(ISNUMBER(Clients!F6),Clients!F6,DATE(YEAR(TODAY()),MONTH(TODAY()),1))))*12+MONTH(EDATE(DATE(YEAR(TODAY()),MONTH(TODAY()),1),2))-MONTH(IF(ISNUMBER(Clients!F6),Clients!F6,DATE(YEAR(TODAY()),MONTH(TODAY()),1))),6)=0,1,0),IF(Clients!E6="Annual",IF(MOD((YEAR(EDATE(DATE(YEAR(TODAY()),MONTH(TODAY()),1),2))-YEAR(IF(ISNUMBER(Clients!F6),Clients!F6,DATE(YEAR(TODAY()),MONTH(TODAY()),1))))*12+MONTH(EDATE(DATE(YEAR(TODAY()),MONTH(TODAY()),1),2))-MONTH(IF(ISNUMBER(Clients!F6),Clients!F6,DATE(YEAR(TODAY()),MONTH(TODAY()),1))),12)=0,1,0),IF(Clients!E6="One-time",IF(2=0,1,0),1)))))),"")</f>
        <v/>
      </c>
      <c r="I76" s="10" t="str">
        <f ca="1">IFERROR(IF(OR(3&gt;=$B$1,Clients!A6="",NOT(ISNUMBER(Clients!D6)),Clients!L6="Expired",Clients!L6="Terminate"),"",Clients!D6*1*IF(Clients!E6="Monthly",IF(AND(ISNUMBER(Clients!G6),(YEAR(EDATE(DATE(YEAR(TODAY()),MONTH(TODAY()),1),3))*12+MONTH(EDATE(DATE(YEAR(TODAY()),MONTH(TODAY()),1),3)))&gt;(YEAR(Clients!G6)*12+MONTH(Clients!G6))),"",1),IF(Clients!E6="Quarterly",IF(MOD((YEAR(EDATE(DATE(YEAR(TODAY()),MONTH(TODAY()),1),3))-YEAR(IF(ISNUMBER(Clients!F6),Clients!F6,DATE(YEAR(TODAY()),MONTH(TODAY()),1))))*12+MONTH(EDATE(DATE(YEAR(TODAY()),MONTH(TODAY()),1),3))-MONTH(IF(ISNUMBER(Clients!F6),Clients!F6,DATE(YEAR(TODAY()),MONTH(TODAY()),1))),3)=0,1,0),IF(Clients!E6="Semi-annual",IF(MOD((YEAR(EDATE(DATE(YEAR(TODAY()),MONTH(TODAY()),1),3))-YEAR(IF(ISNUMBER(Clients!F6),Clients!F6,DATE(YEAR(TODAY()),MONTH(TODAY()),1))))*12+MONTH(EDATE(DATE(YEAR(TODAY()),MONTH(TODAY()),1),3))-MONTH(IF(ISNUMBER(Clients!F6),Clients!F6,DATE(YEAR(TODAY()),MONTH(TODAY()),1))),6)=0,1,0),IF(Clients!E6="Annual",IF(MOD((YEAR(EDATE(DATE(YEAR(TODAY()),MONTH(TODAY()),1),3))-YEAR(IF(ISNUMBER(Clients!F6),Clients!F6,DATE(YEAR(TODAY()),MONTH(TODAY()),1))))*12+MONTH(EDATE(DATE(YEAR(TODAY()),MONTH(TODAY()),1),3))-MONTH(IF(ISNUMBER(Clients!F6),Clients!F6,DATE(YEAR(TODAY()),MONTH(TODAY()),1))),12)=0,1,0),IF(Clients!E6="One-time",IF(3=0,1,0),1)))))),"")</f>
        <v/>
      </c>
      <c r="J76" s="10" t="str">
        <f ca="1">IFERROR(IF(OR(4&gt;=$B$1,Clients!A6="",NOT(ISNUMBER(Clients!D6)),Clients!L6="Expired",Clients!L6="Terminate"),"",Clients!D6*1*IF(Clients!E6="Monthly",IF(AND(ISNUMBER(Clients!G6),(YEAR(EDATE(DATE(YEAR(TODAY()),MONTH(TODAY()),1),4))*12+MONTH(EDATE(DATE(YEAR(TODAY()),MONTH(TODAY()),1),4)))&gt;(YEAR(Clients!G6)*12+MONTH(Clients!G6))),"",1),IF(Clients!E6="Quarterly",IF(MOD((YEAR(EDATE(DATE(YEAR(TODAY()),MONTH(TODAY()),1),4))-YEAR(IF(ISNUMBER(Clients!F6),Clients!F6,DATE(YEAR(TODAY()),MONTH(TODAY()),1))))*12+MONTH(EDATE(DATE(YEAR(TODAY()),MONTH(TODAY()),1),4))-MONTH(IF(ISNUMBER(Clients!F6),Clients!F6,DATE(YEAR(TODAY()),MONTH(TODAY()),1))),3)=0,1,0),IF(Clients!E6="Semi-annual",IF(MOD((YEAR(EDATE(DATE(YEAR(TODAY()),MONTH(TODAY()),1),4))-YEAR(IF(ISNUMBER(Clients!F6),Clients!F6,DATE(YEAR(TODAY()),MONTH(TODAY()),1))))*12+MONTH(EDATE(DATE(YEAR(TODAY()),MONTH(TODAY()),1),4))-MONTH(IF(ISNUMBER(Clients!F6),Clients!F6,DATE(YEAR(TODAY()),MONTH(TODAY()),1))),6)=0,1,0),IF(Clients!E6="Annual",IF(MOD((YEAR(EDATE(DATE(YEAR(TODAY()),MONTH(TODAY()),1),4))-YEAR(IF(ISNUMBER(Clients!F6),Clients!F6,DATE(YEAR(TODAY()),MONTH(TODAY()),1))))*12+MONTH(EDATE(DATE(YEAR(TODAY()),MONTH(TODAY()),1),4))-MONTH(IF(ISNUMBER(Clients!F6),Clients!F6,DATE(YEAR(TODAY()),MONTH(TODAY()),1))),12)=0,1,0),IF(Clients!E6="One-time",IF(4=0,1,0),1)))))),"")</f>
        <v/>
      </c>
      <c r="K76" s="10" t="str">
        <f ca="1">IFERROR(IF(OR(5&gt;=$B$1,Clients!A6="",NOT(ISNUMBER(Clients!D6)),Clients!L6="Expired",Clients!L6="Terminate"),"",Clients!D6*1*IF(Clients!E6="Monthly",IF(AND(ISNUMBER(Clients!G6),(YEAR(EDATE(DATE(YEAR(TODAY()),MONTH(TODAY()),1),5))*12+MONTH(EDATE(DATE(YEAR(TODAY()),MONTH(TODAY()),1),5)))&gt;(YEAR(Clients!G6)*12+MONTH(Clients!G6))),"",1),IF(Clients!E6="Quarterly",IF(MOD((YEAR(EDATE(DATE(YEAR(TODAY()),MONTH(TODAY()),1),5))-YEAR(IF(ISNUMBER(Clients!F6),Clients!F6,DATE(YEAR(TODAY()),MONTH(TODAY()),1))))*12+MONTH(EDATE(DATE(YEAR(TODAY()),MONTH(TODAY()),1),5))-MONTH(IF(ISNUMBER(Clients!F6),Clients!F6,DATE(YEAR(TODAY()),MONTH(TODAY()),1))),3)=0,1,0),IF(Clients!E6="Semi-annual",IF(MOD((YEAR(EDATE(DATE(YEAR(TODAY()),MONTH(TODAY()),1),5))-YEAR(IF(ISNUMBER(Clients!F6),Clients!F6,DATE(YEAR(TODAY()),MONTH(TODAY()),1))))*12+MONTH(EDATE(DATE(YEAR(TODAY()),MONTH(TODAY()),1),5))-MONTH(IF(ISNUMBER(Clients!F6),Clients!F6,DATE(YEAR(TODAY()),MONTH(TODAY()),1))),6)=0,1,0),IF(Clients!E6="Annual",IF(MOD((YEAR(EDATE(DATE(YEAR(TODAY()),MONTH(TODAY()),1),5))-YEAR(IF(ISNUMBER(Clients!F6),Clients!F6,DATE(YEAR(TODAY()),MONTH(TODAY()),1))))*12+MONTH(EDATE(DATE(YEAR(TODAY()),MONTH(TODAY()),1),5))-MONTH(IF(ISNUMBER(Clients!F6),Clients!F6,DATE(YEAR(TODAY()),MONTH(TODAY()),1))),12)=0,1,0),IF(Clients!E6="One-time",IF(5=0,1,0),1)))))),"")</f>
        <v/>
      </c>
      <c r="L76" s="10" t="str">
        <f ca="1">IFERROR(IF(OR(6&gt;=$B$1,Clients!A6="",NOT(ISNUMBER(Clients!D6)),Clients!L6="Expired",Clients!L6="Terminate"),"",Clients!D6*1*IF(Clients!E6="Monthly",IF(AND(ISNUMBER(Clients!G6),(YEAR(EDATE(DATE(YEAR(TODAY()),MONTH(TODAY()),1),6))*12+MONTH(EDATE(DATE(YEAR(TODAY()),MONTH(TODAY()),1),6)))&gt;(YEAR(Clients!G6)*12+MONTH(Clients!G6))),"",1),IF(Clients!E6="Quarterly",IF(MOD((YEAR(EDATE(DATE(YEAR(TODAY()),MONTH(TODAY()),1),6))-YEAR(IF(ISNUMBER(Clients!F6),Clients!F6,DATE(YEAR(TODAY()),MONTH(TODAY()),1))))*12+MONTH(EDATE(DATE(YEAR(TODAY()),MONTH(TODAY()),1),6))-MONTH(IF(ISNUMBER(Clients!F6),Clients!F6,DATE(YEAR(TODAY()),MONTH(TODAY()),1))),3)=0,1,0),IF(Clients!E6="Semi-annual",IF(MOD((YEAR(EDATE(DATE(YEAR(TODAY()),MONTH(TODAY()),1),6))-YEAR(IF(ISNUMBER(Clients!F6),Clients!F6,DATE(YEAR(TODAY()),MONTH(TODAY()),1))))*12+MONTH(EDATE(DATE(YEAR(TODAY()),MONTH(TODAY()),1),6))-MONTH(IF(ISNUMBER(Clients!F6),Clients!F6,DATE(YEAR(TODAY()),MONTH(TODAY()),1))),6)=0,1,0),IF(Clients!E6="Annual",IF(MOD((YEAR(EDATE(DATE(YEAR(TODAY()),MONTH(TODAY()),1),6))-YEAR(IF(ISNUMBER(Clients!F6),Clients!F6,DATE(YEAR(TODAY()),MONTH(TODAY()),1))))*12+MONTH(EDATE(DATE(YEAR(TODAY()),MONTH(TODAY()),1),6))-MONTH(IF(ISNUMBER(Clients!F6),Clients!F6,DATE(YEAR(TODAY()),MONTH(TODAY()),1))),12)=0,1,0),IF(Clients!E6="One-time",IF(6=0,1,0),1)))))),"")</f>
        <v/>
      </c>
      <c r="M76" s="10" t="str">
        <f ca="1">IFERROR(IF(OR(7&gt;=$B$1,Clients!A6="",NOT(ISNUMBER(Clients!D6)),Clients!L6="Expired",Clients!L6="Terminate"),"",Clients!D6*1*IF(Clients!E6="Monthly",IF(AND(ISNUMBER(Clients!G6),(YEAR(EDATE(DATE(YEAR(TODAY()),MONTH(TODAY()),1),7))*12+MONTH(EDATE(DATE(YEAR(TODAY()),MONTH(TODAY()),1),7)))&gt;(YEAR(Clients!G6)*12+MONTH(Clients!G6))),"",1),IF(Clients!E6="Quarterly",IF(MOD((YEAR(EDATE(DATE(YEAR(TODAY()),MONTH(TODAY()),1),7))-YEAR(IF(ISNUMBER(Clients!F6),Clients!F6,DATE(YEAR(TODAY()),MONTH(TODAY()),1))))*12+MONTH(EDATE(DATE(YEAR(TODAY()),MONTH(TODAY()),1),7))-MONTH(IF(ISNUMBER(Clients!F6),Clients!F6,DATE(YEAR(TODAY()),MONTH(TODAY()),1))),3)=0,1,0),IF(Clients!E6="Semi-annual",IF(MOD((YEAR(EDATE(DATE(YEAR(TODAY()),MONTH(TODAY()),1),7))-YEAR(IF(ISNUMBER(Clients!F6),Clients!F6,DATE(YEAR(TODAY()),MONTH(TODAY()),1))))*12+MONTH(EDATE(DATE(YEAR(TODAY()),MONTH(TODAY()),1),7))-MONTH(IF(ISNUMBER(Clients!F6),Clients!F6,DATE(YEAR(TODAY()),MONTH(TODAY()),1))),6)=0,1,0),IF(Clients!E6="Annual",IF(MOD((YEAR(EDATE(DATE(YEAR(TODAY()),MONTH(TODAY()),1),7))-YEAR(IF(ISNUMBER(Clients!F6),Clients!F6,DATE(YEAR(TODAY()),MONTH(TODAY()),1))))*12+MONTH(EDATE(DATE(YEAR(TODAY()),MONTH(TODAY()),1),7))-MONTH(IF(ISNUMBER(Clients!F6),Clients!F6,DATE(YEAR(TODAY()),MONTH(TODAY()),1))),12)=0,1,0),IF(Clients!E6="One-time",IF(7=0,1,0),1)))))),"")</f>
        <v/>
      </c>
      <c r="N76" s="10" t="str">
        <f ca="1">IFERROR(IF(OR(8&gt;=$B$1,Clients!A6="",NOT(ISNUMBER(Clients!D6)),Clients!L6="Expired",Clients!L6="Terminate"),"",Clients!D6*1*IF(Clients!E6="Monthly",IF(AND(ISNUMBER(Clients!G6),(YEAR(EDATE(DATE(YEAR(TODAY()),MONTH(TODAY()),1),8))*12+MONTH(EDATE(DATE(YEAR(TODAY()),MONTH(TODAY()),1),8)))&gt;(YEAR(Clients!G6)*12+MONTH(Clients!G6))),"",1),IF(Clients!E6="Quarterly",IF(MOD((YEAR(EDATE(DATE(YEAR(TODAY()),MONTH(TODAY()),1),8))-YEAR(IF(ISNUMBER(Clients!F6),Clients!F6,DATE(YEAR(TODAY()),MONTH(TODAY()),1))))*12+MONTH(EDATE(DATE(YEAR(TODAY()),MONTH(TODAY()),1),8))-MONTH(IF(ISNUMBER(Clients!F6),Clients!F6,DATE(YEAR(TODAY()),MONTH(TODAY()),1))),3)=0,1,0),IF(Clients!E6="Semi-annual",IF(MOD((YEAR(EDATE(DATE(YEAR(TODAY()),MONTH(TODAY()),1),8))-YEAR(IF(ISNUMBER(Clients!F6),Clients!F6,DATE(YEAR(TODAY()),MONTH(TODAY()),1))))*12+MONTH(EDATE(DATE(YEAR(TODAY()),MONTH(TODAY()),1),8))-MONTH(IF(ISNUMBER(Clients!F6),Clients!F6,DATE(YEAR(TODAY()),MONTH(TODAY()),1))),6)=0,1,0),IF(Clients!E6="Annual",IF(MOD((YEAR(EDATE(DATE(YEAR(TODAY()),MONTH(TODAY()),1),8))-YEAR(IF(ISNUMBER(Clients!F6),Clients!F6,DATE(YEAR(TODAY()),MONTH(TODAY()),1))))*12+MONTH(EDATE(DATE(YEAR(TODAY()),MONTH(TODAY()),1),8))-MONTH(IF(ISNUMBER(Clients!F6),Clients!F6,DATE(YEAR(TODAY()),MONTH(TODAY()),1))),12)=0,1,0),IF(Clients!E6="One-time",IF(8=0,1,0),1)))))),"")</f>
        <v/>
      </c>
      <c r="O76" s="10" t="str">
        <f ca="1">IFERROR(IF(OR(9&gt;=$B$1,Clients!A6="",NOT(ISNUMBER(Clients!D6)),Clients!L6="Expired",Clients!L6="Terminate"),"",Clients!D6*1*IF(Clients!E6="Monthly",IF(AND(ISNUMBER(Clients!G6),(YEAR(EDATE(DATE(YEAR(TODAY()),MONTH(TODAY()),1),9))*12+MONTH(EDATE(DATE(YEAR(TODAY()),MONTH(TODAY()),1),9)))&gt;(YEAR(Clients!G6)*12+MONTH(Clients!G6))),"",1),IF(Clients!E6="Quarterly",IF(MOD((YEAR(EDATE(DATE(YEAR(TODAY()),MONTH(TODAY()),1),9))-YEAR(IF(ISNUMBER(Clients!F6),Clients!F6,DATE(YEAR(TODAY()),MONTH(TODAY()),1))))*12+MONTH(EDATE(DATE(YEAR(TODAY()),MONTH(TODAY()),1),9))-MONTH(IF(ISNUMBER(Clients!F6),Clients!F6,DATE(YEAR(TODAY()),MONTH(TODAY()),1))),3)=0,1,0),IF(Clients!E6="Semi-annual",IF(MOD((YEAR(EDATE(DATE(YEAR(TODAY()),MONTH(TODAY()),1),9))-YEAR(IF(ISNUMBER(Clients!F6),Clients!F6,DATE(YEAR(TODAY()),MONTH(TODAY()),1))))*12+MONTH(EDATE(DATE(YEAR(TODAY()),MONTH(TODAY()),1),9))-MONTH(IF(ISNUMBER(Clients!F6),Clients!F6,DATE(YEAR(TODAY()),MONTH(TODAY()),1))),6)=0,1,0),IF(Clients!E6="Annual",IF(MOD((YEAR(EDATE(DATE(YEAR(TODAY()),MONTH(TODAY()),1),9))-YEAR(IF(ISNUMBER(Clients!F6),Clients!F6,DATE(YEAR(TODAY()),MONTH(TODAY()),1))))*12+MONTH(EDATE(DATE(YEAR(TODAY()),MONTH(TODAY()),1),9))-MONTH(IF(ISNUMBER(Clients!F6),Clients!F6,DATE(YEAR(TODAY()),MONTH(TODAY()),1))),12)=0,1,0),IF(Clients!E6="One-time",IF(9=0,1,0),1)))))),"")</f>
        <v/>
      </c>
      <c r="P76" s="10" t="str">
        <f ca="1">IFERROR(IF(OR(10&gt;=$B$1,Clients!A6="",NOT(ISNUMBER(Clients!D6)),Clients!L6="Expired",Clients!L6="Terminate"),"",Clients!D6*1*IF(Clients!E6="Monthly",IF(AND(ISNUMBER(Clients!G6),(YEAR(EDATE(DATE(YEAR(TODAY()),MONTH(TODAY()),1),10))*12+MONTH(EDATE(DATE(YEAR(TODAY()),MONTH(TODAY()),1),10)))&gt;(YEAR(Clients!G6)*12+MONTH(Clients!G6))),"",1),IF(Clients!E6="Quarterly",IF(MOD((YEAR(EDATE(DATE(YEAR(TODAY()),MONTH(TODAY()),1),10))-YEAR(IF(ISNUMBER(Clients!F6),Clients!F6,DATE(YEAR(TODAY()),MONTH(TODAY()),1))))*12+MONTH(EDATE(DATE(YEAR(TODAY()),MONTH(TODAY()),1),10))-MONTH(IF(ISNUMBER(Clients!F6),Clients!F6,DATE(YEAR(TODAY()),MONTH(TODAY()),1))),3)=0,1,0),IF(Clients!E6="Semi-annual",IF(MOD((YEAR(EDATE(DATE(YEAR(TODAY()),MONTH(TODAY()),1),10))-YEAR(IF(ISNUMBER(Clients!F6),Clients!F6,DATE(YEAR(TODAY()),MONTH(TODAY()),1))))*12+MONTH(EDATE(DATE(YEAR(TODAY()),MONTH(TODAY()),1),10))-MONTH(IF(ISNUMBER(Clients!F6),Clients!F6,DATE(YEAR(TODAY()),MONTH(TODAY()),1))),6)=0,1,0),IF(Clients!E6="Annual",IF(MOD((YEAR(EDATE(DATE(YEAR(TODAY()),MONTH(TODAY()),1),10))-YEAR(IF(ISNUMBER(Clients!F6),Clients!F6,DATE(YEAR(TODAY()),MONTH(TODAY()),1))))*12+MONTH(EDATE(DATE(YEAR(TODAY()),MONTH(TODAY()),1),10))-MONTH(IF(ISNUMBER(Clients!F6),Clients!F6,DATE(YEAR(TODAY()),MONTH(TODAY()),1))),12)=0,1,0),IF(Clients!E6="One-time",IF(10=0,1,0),1)))))),"")</f>
        <v/>
      </c>
      <c r="Q76" s="10" t="str">
        <f ca="1">IFERROR(IF(OR(11&gt;=$B$1,Clients!A6="",NOT(ISNUMBER(Clients!D6)),Clients!L6="Expired",Clients!L6="Terminate"),"",Clients!D6*1*IF(Clients!E6="Monthly",IF(AND(ISNUMBER(Clients!G6),(YEAR(EDATE(DATE(YEAR(TODAY()),MONTH(TODAY()),1),11))*12+MONTH(EDATE(DATE(YEAR(TODAY()),MONTH(TODAY()),1),11)))&gt;(YEAR(Clients!G6)*12+MONTH(Clients!G6))),"",1),IF(Clients!E6="Quarterly",IF(MOD((YEAR(EDATE(DATE(YEAR(TODAY()),MONTH(TODAY()),1),11))-YEAR(IF(ISNUMBER(Clients!F6),Clients!F6,DATE(YEAR(TODAY()),MONTH(TODAY()),1))))*12+MONTH(EDATE(DATE(YEAR(TODAY()),MONTH(TODAY()),1),11))-MONTH(IF(ISNUMBER(Clients!F6),Clients!F6,DATE(YEAR(TODAY()),MONTH(TODAY()),1))),3)=0,1,0),IF(Clients!E6="Semi-annual",IF(MOD((YEAR(EDATE(DATE(YEAR(TODAY()),MONTH(TODAY()),1),11))-YEAR(IF(ISNUMBER(Clients!F6),Clients!F6,DATE(YEAR(TODAY()),MONTH(TODAY()),1))))*12+MONTH(EDATE(DATE(YEAR(TODAY()),MONTH(TODAY()),1),11))-MONTH(IF(ISNUMBER(Clients!F6),Clients!F6,DATE(YEAR(TODAY()),MONTH(TODAY()),1))),6)=0,1,0),IF(Clients!E6="Annual",IF(MOD((YEAR(EDATE(DATE(YEAR(TODAY()),MONTH(TODAY()),1),11))-YEAR(IF(ISNUMBER(Clients!F6),Clients!F6,DATE(YEAR(TODAY()),MONTH(TODAY()),1))))*12+MONTH(EDATE(DATE(YEAR(TODAY()),MONTH(TODAY()),1),11))-MONTH(IF(ISNUMBER(Clients!F6),Clients!F6,DATE(YEAR(TODAY()),MONTH(TODAY()),1))),12)=0,1,0),IF(Clients!E6="One-time",IF(11=0,1,0),1)))))),"")</f>
        <v/>
      </c>
      <c r="R76" s="10" t="str">
        <f ca="1">IFERROR(IF(OR(12&gt;=$B$1,Suppliers!A74="",NOT(ISNUMBER(Suppliers!D74)),Suppliers!L74="Expired",Suppliers!L74="Terminate"),"",Suppliers!D74*-1*IF(Suppliers!E74="Monthly",IF(AND(ISNUMBER(Suppliers!G74),(YEAR(EDATE(DATE(YEAR(TODAY()),MONTH(TODAY()),1),12))*12+MONTH(EDATE(DATE(YEAR(TODAY()),MONTH(TODAY()),1),12)))&gt;(YEAR(Suppliers!G74)*12+MONTH(Suppliers!G74))),"",1),IF(Suppliers!E74="Quarterly",IF(MOD((YEAR(EDATE(DATE(YEAR(TODAY()),MONTH(TODAY()),1),12))-YEAR(IF(ISNUMBER(Suppliers!F74),Suppliers!F74,DATE(YEAR(TODAY()),MONTH(TODAY()),1))))*12+MONTH(EDATE(DATE(YEAR(TODAY()),MONTH(TODAY()),1),12))-MONTH(IF(ISNUMBER(Suppliers!F74),Suppliers!F74,DATE(YEAR(TODAY()),MONTH(TODAY()),1))),3)=0,1,0),IF(Suppliers!E74="Semi-annual",IF(MOD((YEAR(EDATE(DATE(YEAR(TODAY()),MONTH(TODAY()),1),12))-YEAR(IF(ISNUMBER(Suppliers!F74),Suppliers!F74,DATE(YEAR(TODAY()),MONTH(TODAY()),1))))*12+MONTH(EDATE(DATE(YEAR(TODAY()),MONTH(TODAY()),1),12))-MONTH(IF(ISNUMBER(Suppliers!F74),Suppliers!F74,DATE(YEAR(TODAY()),MONTH(TODAY()),1))),6)=0,1,0),IF(Suppliers!E74="Annual",IF(MOD((YEAR(EDATE(DATE(YEAR(TODAY()),MONTH(TODAY()),1),12))-YEAR(IF(ISNUMBER(Suppliers!F74),Suppliers!F74,DATE(YEAR(TODAY()),MONTH(TODAY()),1))))*12+MONTH(EDATE(DATE(YEAR(TODAY()),MONTH(TODAY()),1),12))-MONTH(IF(ISNUMBER(Suppliers!F74),Suppliers!F74,DATE(YEAR(TODAY()),MONTH(TODAY()),1))),12)=0,1,0),IF(Suppliers!E74="One-time",IF(12=0,1,0),1)))))),"")</f>
        <v/>
      </c>
      <c r="S76" s="10" t="str">
        <f ca="1">IFERROR(IF(OR(13&gt;=$B$1,Suppliers!A74="",NOT(ISNUMBER(Suppliers!D74)),Suppliers!L74="Expired",Suppliers!L74="Terminate"),"",Suppliers!D74*-1*IF(Suppliers!E74="Monthly",IF(AND(ISNUMBER(Suppliers!G74),(YEAR(EDATE(DATE(YEAR(TODAY()),MONTH(TODAY()),1),13))*12+MONTH(EDATE(DATE(YEAR(TODAY()),MONTH(TODAY()),1),13)))&gt;(YEAR(Suppliers!G74)*12+MONTH(Suppliers!G74))),"",1),IF(Suppliers!E74="Quarterly",IF(MOD((YEAR(EDATE(DATE(YEAR(TODAY()),MONTH(TODAY()),1),13))-YEAR(IF(ISNUMBER(Suppliers!F74),Suppliers!F74,DATE(YEAR(TODAY()),MONTH(TODAY()),1))))*12+MONTH(EDATE(DATE(YEAR(TODAY()),MONTH(TODAY()),1),13))-MONTH(IF(ISNUMBER(Suppliers!F74),Suppliers!F74,DATE(YEAR(TODAY()),MONTH(TODAY()),1))),3)=0,1,0),IF(Suppliers!E74="Semi-annual",IF(MOD((YEAR(EDATE(DATE(YEAR(TODAY()),MONTH(TODAY()),1),13))-YEAR(IF(ISNUMBER(Suppliers!F74),Suppliers!F74,DATE(YEAR(TODAY()),MONTH(TODAY()),1))))*12+MONTH(EDATE(DATE(YEAR(TODAY()),MONTH(TODAY()),1),13))-MONTH(IF(ISNUMBER(Suppliers!F74),Suppliers!F74,DATE(YEAR(TODAY()),MONTH(TODAY()),1))),6)=0,1,0),IF(Suppliers!E74="Annual",IF(MOD((YEAR(EDATE(DATE(YEAR(TODAY()),MONTH(TODAY()),1),13))-YEAR(IF(ISNUMBER(Suppliers!F74),Suppliers!F74,DATE(YEAR(TODAY()),MONTH(TODAY()),1))))*12+MONTH(EDATE(DATE(YEAR(TODAY()),MONTH(TODAY()),1),13))-MONTH(IF(ISNUMBER(Suppliers!F74),Suppliers!F74,DATE(YEAR(TODAY()),MONTH(TODAY()),1))),12)=0,1,0),IF(Suppliers!E74="One-time",IF(13=0,1,0),1)))))),"")</f>
        <v/>
      </c>
      <c r="T76" s="10" t="str">
        <f ca="1">IFERROR(IF(OR(14&gt;=$B$1,Suppliers!A74="",NOT(ISNUMBER(Suppliers!D74)),Suppliers!L74="Expired",Suppliers!L74="Terminate"),"",Suppliers!D74*-1*IF(Suppliers!E74="Monthly",IF(AND(ISNUMBER(Suppliers!G74),(YEAR(EDATE(DATE(YEAR(TODAY()),MONTH(TODAY()),1),14))*12+MONTH(EDATE(DATE(YEAR(TODAY()),MONTH(TODAY()),1),14)))&gt;(YEAR(Suppliers!G74)*12+MONTH(Suppliers!G74))),"",1),IF(Suppliers!E74="Quarterly",IF(MOD((YEAR(EDATE(DATE(YEAR(TODAY()),MONTH(TODAY()),1),14))-YEAR(IF(ISNUMBER(Suppliers!F74),Suppliers!F74,DATE(YEAR(TODAY()),MONTH(TODAY()),1))))*12+MONTH(EDATE(DATE(YEAR(TODAY()),MONTH(TODAY()),1),14))-MONTH(IF(ISNUMBER(Suppliers!F74),Suppliers!F74,DATE(YEAR(TODAY()),MONTH(TODAY()),1))),3)=0,1,0),IF(Suppliers!E74="Semi-annual",IF(MOD((YEAR(EDATE(DATE(YEAR(TODAY()),MONTH(TODAY()),1),14))-YEAR(IF(ISNUMBER(Suppliers!F74),Suppliers!F74,DATE(YEAR(TODAY()),MONTH(TODAY()),1))))*12+MONTH(EDATE(DATE(YEAR(TODAY()),MONTH(TODAY()),1),14))-MONTH(IF(ISNUMBER(Suppliers!F74),Suppliers!F74,DATE(YEAR(TODAY()),MONTH(TODAY()),1))),6)=0,1,0),IF(Suppliers!E74="Annual",IF(MOD((YEAR(EDATE(DATE(YEAR(TODAY()),MONTH(TODAY()),1),14))-YEAR(IF(ISNUMBER(Suppliers!F74),Suppliers!F74,DATE(YEAR(TODAY()),MONTH(TODAY()),1))))*12+MONTH(EDATE(DATE(YEAR(TODAY()),MONTH(TODAY()),1),14))-MONTH(IF(ISNUMBER(Suppliers!F74),Suppliers!F74,DATE(YEAR(TODAY()),MONTH(TODAY()),1))),12)=0,1,0),IF(Suppliers!E74="One-time",IF(14=0,1,0),1)))))),"")</f>
        <v/>
      </c>
      <c r="U76" s="10" t="str">
        <f ca="1">IFERROR(IF(OR(15&gt;=$B$1,Suppliers!A74="",NOT(ISNUMBER(Suppliers!D74)),Suppliers!L74="Expired",Suppliers!L74="Terminate"),"",Suppliers!D74*-1*IF(Suppliers!E74="Monthly",IF(AND(ISNUMBER(Suppliers!G74),(YEAR(EDATE(DATE(YEAR(TODAY()),MONTH(TODAY()),1),15))*12+MONTH(EDATE(DATE(YEAR(TODAY()),MONTH(TODAY()),1),15)))&gt;(YEAR(Suppliers!G74)*12+MONTH(Suppliers!G74))),"",1),IF(Suppliers!E74="Quarterly",IF(MOD((YEAR(EDATE(DATE(YEAR(TODAY()),MONTH(TODAY()),1),15))-YEAR(IF(ISNUMBER(Suppliers!F74),Suppliers!F74,DATE(YEAR(TODAY()),MONTH(TODAY()),1))))*12+MONTH(EDATE(DATE(YEAR(TODAY()),MONTH(TODAY()),1),15))-MONTH(IF(ISNUMBER(Suppliers!F74),Suppliers!F74,DATE(YEAR(TODAY()),MONTH(TODAY()),1))),3)=0,1,0),IF(Suppliers!E74="Semi-annual",IF(MOD((YEAR(EDATE(DATE(YEAR(TODAY()),MONTH(TODAY()),1),15))-YEAR(IF(ISNUMBER(Suppliers!F74),Suppliers!F74,DATE(YEAR(TODAY()),MONTH(TODAY()),1))))*12+MONTH(EDATE(DATE(YEAR(TODAY()),MONTH(TODAY()),1),15))-MONTH(IF(ISNUMBER(Suppliers!F74),Suppliers!F74,DATE(YEAR(TODAY()),MONTH(TODAY()),1))),6)=0,1,0),IF(Suppliers!E74="Annual",IF(MOD((YEAR(EDATE(DATE(YEAR(TODAY()),MONTH(TODAY()),1),15))-YEAR(IF(ISNUMBER(Suppliers!F74),Suppliers!F74,DATE(YEAR(TODAY()),MONTH(TODAY()),1))))*12+MONTH(EDATE(DATE(YEAR(TODAY()),MONTH(TODAY()),1),15))-MONTH(IF(ISNUMBER(Suppliers!F74),Suppliers!F74,DATE(YEAR(TODAY()),MONTH(TODAY()),1))),12)=0,1,0),IF(Suppliers!E74="One-time",IF(15=0,1,0),1)))))),"")</f>
        <v/>
      </c>
      <c r="V76" s="10" t="str">
        <f ca="1">IFERROR(IF(OR(16&gt;=$B$1,Suppliers!A74="",NOT(ISNUMBER(Suppliers!D74)),Suppliers!L74="Expired",Suppliers!L74="Terminate"),"",Suppliers!D74*-1*IF(Suppliers!E74="Monthly",IF(AND(ISNUMBER(Suppliers!G74),(YEAR(EDATE(DATE(YEAR(TODAY()),MONTH(TODAY()),1),16))*12+MONTH(EDATE(DATE(YEAR(TODAY()),MONTH(TODAY()),1),16)))&gt;(YEAR(Suppliers!G74)*12+MONTH(Suppliers!G74))),"",1),IF(Suppliers!E74="Quarterly",IF(MOD((YEAR(EDATE(DATE(YEAR(TODAY()),MONTH(TODAY()),1),16))-YEAR(IF(ISNUMBER(Suppliers!F74),Suppliers!F74,DATE(YEAR(TODAY()),MONTH(TODAY()),1))))*12+MONTH(EDATE(DATE(YEAR(TODAY()),MONTH(TODAY()),1),16))-MONTH(IF(ISNUMBER(Suppliers!F74),Suppliers!F74,DATE(YEAR(TODAY()),MONTH(TODAY()),1))),3)=0,1,0),IF(Suppliers!E74="Semi-annual",IF(MOD((YEAR(EDATE(DATE(YEAR(TODAY()),MONTH(TODAY()),1),16))-YEAR(IF(ISNUMBER(Suppliers!F74),Suppliers!F74,DATE(YEAR(TODAY()),MONTH(TODAY()),1))))*12+MONTH(EDATE(DATE(YEAR(TODAY()),MONTH(TODAY()),1),16))-MONTH(IF(ISNUMBER(Suppliers!F74),Suppliers!F74,DATE(YEAR(TODAY()),MONTH(TODAY()),1))),6)=0,1,0),IF(Suppliers!E74="Annual",IF(MOD((YEAR(EDATE(DATE(YEAR(TODAY()),MONTH(TODAY()),1),16))-YEAR(IF(ISNUMBER(Suppliers!F74),Suppliers!F74,DATE(YEAR(TODAY()),MONTH(TODAY()),1))))*12+MONTH(EDATE(DATE(YEAR(TODAY()),MONTH(TODAY()),1),16))-MONTH(IF(ISNUMBER(Suppliers!F74),Suppliers!F74,DATE(YEAR(TODAY()),MONTH(TODAY()),1))),12)=0,1,0),IF(Suppliers!E74="One-time",IF(16=0,1,0),1)))))),"")</f>
        <v/>
      </c>
      <c r="W76" s="10" t="str">
        <f ca="1">IFERROR(IF(OR(17&gt;=$B$1,Suppliers!A74="",NOT(ISNUMBER(Suppliers!D74)),Suppliers!L74="Expired",Suppliers!L74="Terminate"),"",Suppliers!D74*-1*IF(Suppliers!E74="Monthly",IF(AND(ISNUMBER(Suppliers!G74),(YEAR(EDATE(DATE(YEAR(TODAY()),MONTH(TODAY()),1),17))*12+MONTH(EDATE(DATE(YEAR(TODAY()),MONTH(TODAY()),1),17)))&gt;(YEAR(Suppliers!G74)*12+MONTH(Suppliers!G74))),"",1),IF(Suppliers!E74="Quarterly",IF(MOD((YEAR(EDATE(DATE(YEAR(TODAY()),MONTH(TODAY()),1),17))-YEAR(IF(ISNUMBER(Suppliers!F74),Suppliers!F74,DATE(YEAR(TODAY()),MONTH(TODAY()),1))))*12+MONTH(EDATE(DATE(YEAR(TODAY()),MONTH(TODAY()),1),17))-MONTH(IF(ISNUMBER(Suppliers!F74),Suppliers!F74,DATE(YEAR(TODAY()),MONTH(TODAY()),1))),3)=0,1,0),IF(Suppliers!E74="Semi-annual",IF(MOD((YEAR(EDATE(DATE(YEAR(TODAY()),MONTH(TODAY()),1),17))-YEAR(IF(ISNUMBER(Suppliers!F74),Suppliers!F74,DATE(YEAR(TODAY()),MONTH(TODAY()),1))))*12+MONTH(EDATE(DATE(YEAR(TODAY()),MONTH(TODAY()),1),17))-MONTH(IF(ISNUMBER(Suppliers!F74),Suppliers!F74,DATE(YEAR(TODAY()),MONTH(TODAY()),1))),6)=0,1,0),IF(Suppliers!E74="Annual",IF(MOD((YEAR(EDATE(DATE(YEAR(TODAY()),MONTH(TODAY()),1),17))-YEAR(IF(ISNUMBER(Suppliers!F74),Suppliers!F74,DATE(YEAR(TODAY()),MONTH(TODAY()),1))))*12+MONTH(EDATE(DATE(YEAR(TODAY()),MONTH(TODAY()),1),17))-MONTH(IF(ISNUMBER(Suppliers!F74),Suppliers!F74,DATE(YEAR(TODAY()),MONTH(TODAY()),1))),12)=0,1,0),IF(Suppliers!E74="One-time",IF(17=0,1,0),1)))))),"")</f>
        <v/>
      </c>
      <c r="X76" s="10" t="str">
        <f ca="1">IFERROR(IF(OR(18&gt;=$B$1,Suppliers!A74="",NOT(ISNUMBER(Suppliers!D74)),Suppliers!L74="Expired",Suppliers!L74="Terminate"),"",Suppliers!D74*-1*IF(Suppliers!E74="Monthly",IF(AND(ISNUMBER(Suppliers!G74),(YEAR(EDATE(DATE(YEAR(TODAY()),MONTH(TODAY()),1),18))*12+MONTH(EDATE(DATE(YEAR(TODAY()),MONTH(TODAY()),1),18)))&gt;(YEAR(Suppliers!G74)*12+MONTH(Suppliers!G74))),"",1),IF(Suppliers!E74="Quarterly",IF(MOD((YEAR(EDATE(DATE(YEAR(TODAY()),MONTH(TODAY()),1),18))-YEAR(IF(ISNUMBER(Suppliers!F74),Suppliers!F74,DATE(YEAR(TODAY()),MONTH(TODAY()),1))))*12+MONTH(EDATE(DATE(YEAR(TODAY()),MONTH(TODAY()),1),18))-MONTH(IF(ISNUMBER(Suppliers!F74),Suppliers!F74,DATE(YEAR(TODAY()),MONTH(TODAY()),1))),3)=0,1,0),IF(Suppliers!E74="Semi-annual",IF(MOD((YEAR(EDATE(DATE(YEAR(TODAY()),MONTH(TODAY()),1),18))-YEAR(IF(ISNUMBER(Suppliers!F74),Suppliers!F74,DATE(YEAR(TODAY()),MONTH(TODAY()),1))))*12+MONTH(EDATE(DATE(YEAR(TODAY()),MONTH(TODAY()),1),18))-MONTH(IF(ISNUMBER(Suppliers!F74),Suppliers!F74,DATE(YEAR(TODAY()),MONTH(TODAY()),1))),6)=0,1,0),IF(Suppliers!E74="Annual",IF(MOD((YEAR(EDATE(DATE(YEAR(TODAY()),MONTH(TODAY()),1),18))-YEAR(IF(ISNUMBER(Suppliers!F74),Suppliers!F74,DATE(YEAR(TODAY()),MONTH(TODAY()),1))))*12+MONTH(EDATE(DATE(YEAR(TODAY()),MONTH(TODAY()),1),18))-MONTH(IF(ISNUMBER(Suppliers!F74),Suppliers!F74,DATE(YEAR(TODAY()),MONTH(TODAY()),1))),12)=0,1,0),IF(Suppliers!E74="One-time",IF(18=0,1,0),1)))))),"")</f>
        <v/>
      </c>
      <c r="Y76" s="10" t="str">
        <f ca="1">IFERROR(IF(OR(19&gt;=$B$1,Suppliers!A74="",NOT(ISNUMBER(Suppliers!D74)),Suppliers!L74="Expired",Suppliers!L74="Terminate"),"",Suppliers!D74*-1*IF(Suppliers!E74="Monthly",IF(AND(ISNUMBER(Suppliers!G74),(YEAR(EDATE(DATE(YEAR(TODAY()),MONTH(TODAY()),1),19))*12+MONTH(EDATE(DATE(YEAR(TODAY()),MONTH(TODAY()),1),19)))&gt;(YEAR(Suppliers!G74)*12+MONTH(Suppliers!G74))),"",1),IF(Suppliers!E74="Quarterly",IF(MOD((YEAR(EDATE(DATE(YEAR(TODAY()),MONTH(TODAY()),1),19))-YEAR(IF(ISNUMBER(Suppliers!F74),Suppliers!F74,DATE(YEAR(TODAY()),MONTH(TODAY()),1))))*12+MONTH(EDATE(DATE(YEAR(TODAY()),MONTH(TODAY()),1),19))-MONTH(IF(ISNUMBER(Suppliers!F74),Suppliers!F74,DATE(YEAR(TODAY()),MONTH(TODAY()),1))),3)=0,1,0),IF(Suppliers!E74="Semi-annual",IF(MOD((YEAR(EDATE(DATE(YEAR(TODAY()),MONTH(TODAY()),1),19))-YEAR(IF(ISNUMBER(Suppliers!F74),Suppliers!F74,DATE(YEAR(TODAY()),MONTH(TODAY()),1))))*12+MONTH(EDATE(DATE(YEAR(TODAY()),MONTH(TODAY()),1),19))-MONTH(IF(ISNUMBER(Suppliers!F74),Suppliers!F74,DATE(YEAR(TODAY()),MONTH(TODAY()),1))),6)=0,1,0),IF(Suppliers!E74="Annual",IF(MOD((YEAR(EDATE(DATE(YEAR(TODAY()),MONTH(TODAY()),1),19))-YEAR(IF(ISNUMBER(Suppliers!F74),Suppliers!F74,DATE(YEAR(TODAY()),MONTH(TODAY()),1))))*12+MONTH(EDATE(DATE(YEAR(TODAY()),MONTH(TODAY()),1),19))-MONTH(IF(ISNUMBER(Suppliers!F74),Suppliers!F74,DATE(YEAR(TODAY()),MONTH(TODAY()),1))),12)=0,1,0),IF(Suppliers!E74="One-time",IF(19=0,1,0),1)))))),"")</f>
        <v/>
      </c>
      <c r="Z76" s="10" t="str">
        <f ca="1">IFERROR(IF(OR(20&gt;=$B$1,Suppliers!A74="",NOT(ISNUMBER(Suppliers!D74)),Suppliers!L74="Expired",Suppliers!L74="Terminate"),"",Suppliers!D74*-1*IF(Suppliers!E74="Monthly",IF(AND(ISNUMBER(Suppliers!G74),(YEAR(EDATE(DATE(YEAR(TODAY()),MONTH(TODAY()),1),20))*12+MONTH(EDATE(DATE(YEAR(TODAY()),MONTH(TODAY()),1),20)))&gt;(YEAR(Suppliers!G74)*12+MONTH(Suppliers!G74))),"",1),IF(Suppliers!E74="Quarterly",IF(MOD((YEAR(EDATE(DATE(YEAR(TODAY()),MONTH(TODAY()),1),20))-YEAR(IF(ISNUMBER(Suppliers!F74),Suppliers!F74,DATE(YEAR(TODAY()),MONTH(TODAY()),1))))*12+MONTH(EDATE(DATE(YEAR(TODAY()),MONTH(TODAY()),1),20))-MONTH(IF(ISNUMBER(Suppliers!F74),Suppliers!F74,DATE(YEAR(TODAY()),MONTH(TODAY()),1))),3)=0,1,0),IF(Suppliers!E74="Semi-annual",IF(MOD((YEAR(EDATE(DATE(YEAR(TODAY()),MONTH(TODAY()),1),20))-YEAR(IF(ISNUMBER(Suppliers!F74),Suppliers!F74,DATE(YEAR(TODAY()),MONTH(TODAY()),1))))*12+MONTH(EDATE(DATE(YEAR(TODAY()),MONTH(TODAY()),1),20))-MONTH(IF(ISNUMBER(Suppliers!F74),Suppliers!F74,DATE(YEAR(TODAY()),MONTH(TODAY()),1))),6)=0,1,0),IF(Suppliers!E74="Annual",IF(MOD((YEAR(EDATE(DATE(YEAR(TODAY()),MONTH(TODAY()),1),20))-YEAR(IF(ISNUMBER(Suppliers!F74),Suppliers!F74,DATE(YEAR(TODAY()),MONTH(TODAY()),1))))*12+MONTH(EDATE(DATE(YEAR(TODAY()),MONTH(TODAY()),1),20))-MONTH(IF(ISNUMBER(Suppliers!F74),Suppliers!F74,DATE(YEAR(TODAY()),MONTH(TODAY()),1))),12)=0,1,0),IF(Suppliers!E74="One-time",IF(20=0,1,0),1)))))),"")</f>
        <v/>
      </c>
      <c r="AA76" s="10" t="str">
        <f ca="1">IFERROR(IF(OR(21&gt;=$B$1,Suppliers!A74="",NOT(ISNUMBER(Suppliers!D74)),Suppliers!L74="Expired",Suppliers!L74="Terminate"),"",Suppliers!D74*-1*IF(Suppliers!E74="Monthly",IF(AND(ISNUMBER(Suppliers!G74),(YEAR(EDATE(DATE(YEAR(TODAY()),MONTH(TODAY()),1),21))*12+MONTH(EDATE(DATE(YEAR(TODAY()),MONTH(TODAY()),1),21)))&gt;(YEAR(Suppliers!G74)*12+MONTH(Suppliers!G74))),"",1),IF(Suppliers!E74="Quarterly",IF(MOD((YEAR(EDATE(DATE(YEAR(TODAY()),MONTH(TODAY()),1),21))-YEAR(IF(ISNUMBER(Suppliers!F74),Suppliers!F74,DATE(YEAR(TODAY()),MONTH(TODAY()),1))))*12+MONTH(EDATE(DATE(YEAR(TODAY()),MONTH(TODAY()),1),21))-MONTH(IF(ISNUMBER(Suppliers!F74),Suppliers!F74,DATE(YEAR(TODAY()),MONTH(TODAY()),1))),3)=0,1,0),IF(Suppliers!E74="Semi-annual",IF(MOD((YEAR(EDATE(DATE(YEAR(TODAY()),MONTH(TODAY()),1),21))-YEAR(IF(ISNUMBER(Suppliers!F74),Suppliers!F74,DATE(YEAR(TODAY()),MONTH(TODAY()),1))))*12+MONTH(EDATE(DATE(YEAR(TODAY()),MONTH(TODAY()),1),21))-MONTH(IF(ISNUMBER(Suppliers!F74),Suppliers!F74,DATE(YEAR(TODAY()),MONTH(TODAY()),1))),6)=0,1,0),IF(Suppliers!E74="Annual",IF(MOD((YEAR(EDATE(DATE(YEAR(TODAY()),MONTH(TODAY()),1),21))-YEAR(IF(ISNUMBER(Suppliers!F74),Suppliers!F74,DATE(YEAR(TODAY()),MONTH(TODAY()),1))))*12+MONTH(EDATE(DATE(YEAR(TODAY()),MONTH(TODAY()),1),21))-MONTH(IF(ISNUMBER(Suppliers!F74),Suppliers!F74,DATE(YEAR(TODAY()),MONTH(TODAY()),1))),12)=0,1,0),IF(Suppliers!E74="One-time",IF(21=0,1,0),1)))))),"")</f>
        <v/>
      </c>
      <c r="AB76" s="10" t="str">
        <f ca="1">IFERROR(IF(OR(22&gt;=$B$1,Suppliers!A74="",NOT(ISNUMBER(Suppliers!D74)),Suppliers!L74="Expired",Suppliers!L74="Terminate"),"",Suppliers!D74*-1*IF(Suppliers!E74="Monthly",IF(AND(ISNUMBER(Suppliers!G74),(YEAR(EDATE(DATE(YEAR(TODAY()),MONTH(TODAY()),1),22))*12+MONTH(EDATE(DATE(YEAR(TODAY()),MONTH(TODAY()),1),22)))&gt;(YEAR(Suppliers!G74)*12+MONTH(Suppliers!G74))),"",1),IF(Suppliers!E74="Quarterly",IF(MOD((YEAR(EDATE(DATE(YEAR(TODAY()),MONTH(TODAY()),1),22))-YEAR(IF(ISNUMBER(Suppliers!F74),Suppliers!F74,DATE(YEAR(TODAY()),MONTH(TODAY()),1))))*12+MONTH(EDATE(DATE(YEAR(TODAY()),MONTH(TODAY()),1),22))-MONTH(IF(ISNUMBER(Suppliers!F74),Suppliers!F74,DATE(YEAR(TODAY()),MONTH(TODAY()),1))),3)=0,1,0),IF(Suppliers!E74="Semi-annual",IF(MOD((YEAR(EDATE(DATE(YEAR(TODAY()),MONTH(TODAY()),1),22))-YEAR(IF(ISNUMBER(Suppliers!F74),Suppliers!F74,DATE(YEAR(TODAY()),MONTH(TODAY()),1))))*12+MONTH(EDATE(DATE(YEAR(TODAY()),MONTH(TODAY()),1),22))-MONTH(IF(ISNUMBER(Suppliers!F74),Suppliers!F74,DATE(YEAR(TODAY()),MONTH(TODAY()),1))),6)=0,1,0),IF(Suppliers!E74="Annual",IF(MOD((YEAR(EDATE(DATE(YEAR(TODAY()),MONTH(TODAY()),1),22))-YEAR(IF(ISNUMBER(Suppliers!F74),Suppliers!F74,DATE(YEAR(TODAY()),MONTH(TODAY()),1))))*12+MONTH(EDATE(DATE(YEAR(TODAY()),MONTH(TODAY()),1),22))-MONTH(IF(ISNUMBER(Suppliers!F74),Suppliers!F74,DATE(YEAR(TODAY()),MONTH(TODAY()),1))),12)=0,1,0),IF(Suppliers!E74="One-time",IF(22=0,1,0),1)))))),"")</f>
        <v/>
      </c>
      <c r="AC76" s="10" t="str">
        <f ca="1">IFERROR(IF(OR(23&gt;=$B$1,Suppliers!A74="",NOT(ISNUMBER(Suppliers!D74)),Suppliers!L74="Expired",Suppliers!L74="Terminate"),"",Suppliers!D74*-1*IF(Suppliers!E74="Monthly",IF(AND(ISNUMBER(Suppliers!G74),(YEAR(EDATE(DATE(YEAR(TODAY()),MONTH(TODAY()),1),23))*12+MONTH(EDATE(DATE(YEAR(TODAY()),MONTH(TODAY()),1),23)))&gt;(YEAR(Suppliers!G74)*12+MONTH(Suppliers!G74))),"",1),IF(Suppliers!E74="Quarterly",IF(MOD((YEAR(EDATE(DATE(YEAR(TODAY()),MONTH(TODAY()),1),23))-YEAR(IF(ISNUMBER(Suppliers!F74),Suppliers!F74,DATE(YEAR(TODAY()),MONTH(TODAY()),1))))*12+MONTH(EDATE(DATE(YEAR(TODAY()),MONTH(TODAY()),1),23))-MONTH(IF(ISNUMBER(Suppliers!F74),Suppliers!F74,DATE(YEAR(TODAY()),MONTH(TODAY()),1))),3)=0,1,0),IF(Suppliers!E74="Semi-annual",IF(MOD((YEAR(EDATE(DATE(YEAR(TODAY()),MONTH(TODAY()),1),23))-YEAR(IF(ISNUMBER(Suppliers!F74),Suppliers!F74,DATE(YEAR(TODAY()),MONTH(TODAY()),1))))*12+MONTH(EDATE(DATE(YEAR(TODAY()),MONTH(TODAY()),1),23))-MONTH(IF(ISNUMBER(Suppliers!F74),Suppliers!F74,DATE(YEAR(TODAY()),MONTH(TODAY()),1))),6)=0,1,0),IF(Suppliers!E74="Annual",IF(MOD((YEAR(EDATE(DATE(YEAR(TODAY()),MONTH(TODAY()),1),23))-YEAR(IF(ISNUMBER(Suppliers!F74),Suppliers!F74,DATE(YEAR(TODAY()),MONTH(TODAY()),1))))*12+MONTH(EDATE(DATE(YEAR(TODAY()),MONTH(TODAY()),1),23))-MONTH(IF(ISNUMBER(Suppliers!F74),Suppliers!F74,DATE(YEAR(TODAY()),MONTH(TODAY()),1))),12)=0,1,0),IF(Suppliers!E74="One-time",IF(23=0,1,0),1)))))),"")</f>
        <v/>
      </c>
    </row>
    <row r="77" spans="1:29" ht="15" customHeight="1" x14ac:dyDescent="0.35">
      <c r="A77" s="4" t="s">
        <v>81</v>
      </c>
      <c r="B77" s="4" t="str">
        <f>IF(Clients!A7="","",Clients!A7)</f>
        <v/>
      </c>
      <c r="C77" s="10" t="str">
        <f>IF(Clients!C7="","",Clients!C7)</f>
        <v/>
      </c>
      <c r="D77" s="10" t="str">
        <f>IF(Clients!D7="","",Clients!D7)</f>
        <v/>
      </c>
      <c r="E77" s="4" t="str">
        <f>IF(Clients!E7="","",Clients!E7)</f>
        <v/>
      </c>
      <c r="F77" s="10" t="str">
        <f ca="1">IFERROR(IF(OR(0&gt;=$B$1,Clients!A7="",NOT(ISNUMBER(Clients!D7)),Clients!L7="Expired",Clients!L7="Terminate"),"",Clients!D7*1*IF(Clients!E7="Monthly",IF(AND(ISNUMBER(Clients!G7),(YEAR(EDATE(DATE(YEAR(TODAY()),MONTH(TODAY()),1),0))*12+MONTH(EDATE(DATE(YEAR(TODAY()),MONTH(TODAY()),1),0)))&gt;(YEAR(Clients!G7)*12+MONTH(Clients!G7))),"",1),IF(Clients!E7="Quarterly",IF(MOD((YEAR(EDATE(DATE(YEAR(TODAY()),MONTH(TODAY()),1),0))-YEAR(IF(ISNUMBER(Clients!F7),Clients!F7,DATE(YEAR(TODAY()),MONTH(TODAY()),1))))*12+MONTH(EDATE(DATE(YEAR(TODAY()),MONTH(TODAY()),1),0))-MONTH(IF(ISNUMBER(Clients!F7),Clients!F7,DATE(YEAR(TODAY()),MONTH(TODAY()),1))),3)=0,1,0),IF(Clients!E7="Semi-annual",IF(MOD((YEAR(EDATE(DATE(YEAR(TODAY()),MONTH(TODAY()),1),0))-YEAR(IF(ISNUMBER(Clients!F7),Clients!F7,DATE(YEAR(TODAY()),MONTH(TODAY()),1))))*12+MONTH(EDATE(DATE(YEAR(TODAY()),MONTH(TODAY()),1),0))-MONTH(IF(ISNUMBER(Clients!F7),Clients!F7,DATE(YEAR(TODAY()),MONTH(TODAY()),1))),6)=0,1,0),IF(Clients!E7="Annual",IF(MOD((YEAR(EDATE(DATE(YEAR(TODAY()),MONTH(TODAY()),1),0))-YEAR(IF(ISNUMBER(Clients!F7),Clients!F7,DATE(YEAR(TODAY()),MONTH(TODAY()),1))))*12+MONTH(EDATE(DATE(YEAR(TODAY()),MONTH(TODAY()),1),0))-MONTH(IF(ISNUMBER(Clients!F7),Clients!F7,DATE(YEAR(TODAY()),MONTH(TODAY()),1))),12)=0,1,0),IF(Clients!E7="One-time",IF(0=0,1,0),1)))))),"")</f>
        <v/>
      </c>
      <c r="G77" s="10" t="str">
        <f ca="1">IFERROR(IF(OR(1&gt;=$B$1,Clients!A7="",NOT(ISNUMBER(Clients!D7)),Clients!L7="Expired",Clients!L7="Terminate"),"",Clients!D7*1*IF(Clients!E7="Monthly",IF(AND(ISNUMBER(Clients!G7),(YEAR(EDATE(DATE(YEAR(TODAY()),MONTH(TODAY()),1),1))*12+MONTH(EDATE(DATE(YEAR(TODAY()),MONTH(TODAY()),1),1)))&gt;(YEAR(Clients!G7)*12+MONTH(Clients!G7))),"",1),IF(Clients!E7="Quarterly",IF(MOD((YEAR(EDATE(DATE(YEAR(TODAY()),MONTH(TODAY()),1),1))-YEAR(IF(ISNUMBER(Clients!F7),Clients!F7,DATE(YEAR(TODAY()),MONTH(TODAY()),1))))*12+MONTH(EDATE(DATE(YEAR(TODAY()),MONTH(TODAY()),1),1))-MONTH(IF(ISNUMBER(Clients!F7),Clients!F7,DATE(YEAR(TODAY()),MONTH(TODAY()),1))),3)=0,1,0),IF(Clients!E7="Semi-annual",IF(MOD((YEAR(EDATE(DATE(YEAR(TODAY()),MONTH(TODAY()),1),1))-YEAR(IF(ISNUMBER(Clients!F7),Clients!F7,DATE(YEAR(TODAY()),MONTH(TODAY()),1))))*12+MONTH(EDATE(DATE(YEAR(TODAY()),MONTH(TODAY()),1),1))-MONTH(IF(ISNUMBER(Clients!F7),Clients!F7,DATE(YEAR(TODAY()),MONTH(TODAY()),1))),6)=0,1,0),IF(Clients!E7="Annual",IF(MOD((YEAR(EDATE(DATE(YEAR(TODAY()),MONTH(TODAY()),1),1))-YEAR(IF(ISNUMBER(Clients!F7),Clients!F7,DATE(YEAR(TODAY()),MONTH(TODAY()),1))))*12+MONTH(EDATE(DATE(YEAR(TODAY()),MONTH(TODAY()),1),1))-MONTH(IF(ISNUMBER(Clients!F7),Clients!F7,DATE(YEAR(TODAY()),MONTH(TODAY()),1))),12)=0,1,0),IF(Clients!E7="One-time",IF(1=0,1,0),1)))))),"")</f>
        <v/>
      </c>
      <c r="H77" s="10" t="str">
        <f ca="1">IFERROR(IF(OR(2&gt;=$B$1,Clients!A7="",NOT(ISNUMBER(Clients!D7)),Clients!L7="Expired",Clients!L7="Terminate"),"",Clients!D7*1*IF(Clients!E7="Monthly",IF(AND(ISNUMBER(Clients!G7),(YEAR(EDATE(DATE(YEAR(TODAY()),MONTH(TODAY()),1),2))*12+MONTH(EDATE(DATE(YEAR(TODAY()),MONTH(TODAY()),1),2)))&gt;(YEAR(Clients!G7)*12+MONTH(Clients!G7))),"",1),IF(Clients!E7="Quarterly",IF(MOD((YEAR(EDATE(DATE(YEAR(TODAY()),MONTH(TODAY()),1),2))-YEAR(IF(ISNUMBER(Clients!F7),Clients!F7,DATE(YEAR(TODAY()),MONTH(TODAY()),1))))*12+MONTH(EDATE(DATE(YEAR(TODAY()),MONTH(TODAY()),1),2))-MONTH(IF(ISNUMBER(Clients!F7),Clients!F7,DATE(YEAR(TODAY()),MONTH(TODAY()),1))),3)=0,1,0),IF(Clients!E7="Semi-annual",IF(MOD((YEAR(EDATE(DATE(YEAR(TODAY()),MONTH(TODAY()),1),2))-YEAR(IF(ISNUMBER(Clients!F7),Clients!F7,DATE(YEAR(TODAY()),MONTH(TODAY()),1))))*12+MONTH(EDATE(DATE(YEAR(TODAY()),MONTH(TODAY()),1),2))-MONTH(IF(ISNUMBER(Clients!F7),Clients!F7,DATE(YEAR(TODAY()),MONTH(TODAY()),1))),6)=0,1,0),IF(Clients!E7="Annual",IF(MOD((YEAR(EDATE(DATE(YEAR(TODAY()),MONTH(TODAY()),1),2))-YEAR(IF(ISNUMBER(Clients!F7),Clients!F7,DATE(YEAR(TODAY()),MONTH(TODAY()),1))))*12+MONTH(EDATE(DATE(YEAR(TODAY()),MONTH(TODAY()),1),2))-MONTH(IF(ISNUMBER(Clients!F7),Clients!F7,DATE(YEAR(TODAY()),MONTH(TODAY()),1))),12)=0,1,0),IF(Clients!E7="One-time",IF(2=0,1,0),1)))))),"")</f>
        <v/>
      </c>
      <c r="I77" s="10" t="str">
        <f ca="1">IFERROR(IF(OR(3&gt;=$B$1,Clients!A7="",NOT(ISNUMBER(Clients!D7)),Clients!L7="Expired",Clients!L7="Terminate"),"",Clients!D7*1*IF(Clients!E7="Monthly",IF(AND(ISNUMBER(Clients!G7),(YEAR(EDATE(DATE(YEAR(TODAY()),MONTH(TODAY()),1),3))*12+MONTH(EDATE(DATE(YEAR(TODAY()),MONTH(TODAY()),1),3)))&gt;(YEAR(Clients!G7)*12+MONTH(Clients!G7))),"",1),IF(Clients!E7="Quarterly",IF(MOD((YEAR(EDATE(DATE(YEAR(TODAY()),MONTH(TODAY()),1),3))-YEAR(IF(ISNUMBER(Clients!F7),Clients!F7,DATE(YEAR(TODAY()),MONTH(TODAY()),1))))*12+MONTH(EDATE(DATE(YEAR(TODAY()),MONTH(TODAY()),1),3))-MONTH(IF(ISNUMBER(Clients!F7),Clients!F7,DATE(YEAR(TODAY()),MONTH(TODAY()),1))),3)=0,1,0),IF(Clients!E7="Semi-annual",IF(MOD((YEAR(EDATE(DATE(YEAR(TODAY()),MONTH(TODAY()),1),3))-YEAR(IF(ISNUMBER(Clients!F7),Clients!F7,DATE(YEAR(TODAY()),MONTH(TODAY()),1))))*12+MONTH(EDATE(DATE(YEAR(TODAY()),MONTH(TODAY()),1),3))-MONTH(IF(ISNUMBER(Clients!F7),Clients!F7,DATE(YEAR(TODAY()),MONTH(TODAY()),1))),6)=0,1,0),IF(Clients!E7="Annual",IF(MOD((YEAR(EDATE(DATE(YEAR(TODAY()),MONTH(TODAY()),1),3))-YEAR(IF(ISNUMBER(Clients!F7),Clients!F7,DATE(YEAR(TODAY()),MONTH(TODAY()),1))))*12+MONTH(EDATE(DATE(YEAR(TODAY()),MONTH(TODAY()),1),3))-MONTH(IF(ISNUMBER(Clients!F7),Clients!F7,DATE(YEAR(TODAY()),MONTH(TODAY()),1))),12)=0,1,0),IF(Clients!E7="One-time",IF(3=0,1,0),1)))))),"")</f>
        <v/>
      </c>
      <c r="J77" s="10" t="str">
        <f ca="1">IFERROR(IF(OR(4&gt;=$B$1,Clients!A7="",NOT(ISNUMBER(Clients!D7)),Clients!L7="Expired",Clients!L7="Terminate"),"",Clients!D7*1*IF(Clients!E7="Monthly",IF(AND(ISNUMBER(Clients!G7),(YEAR(EDATE(DATE(YEAR(TODAY()),MONTH(TODAY()),1),4))*12+MONTH(EDATE(DATE(YEAR(TODAY()),MONTH(TODAY()),1),4)))&gt;(YEAR(Clients!G7)*12+MONTH(Clients!G7))),"",1),IF(Clients!E7="Quarterly",IF(MOD((YEAR(EDATE(DATE(YEAR(TODAY()),MONTH(TODAY()),1),4))-YEAR(IF(ISNUMBER(Clients!F7),Clients!F7,DATE(YEAR(TODAY()),MONTH(TODAY()),1))))*12+MONTH(EDATE(DATE(YEAR(TODAY()),MONTH(TODAY()),1),4))-MONTH(IF(ISNUMBER(Clients!F7),Clients!F7,DATE(YEAR(TODAY()),MONTH(TODAY()),1))),3)=0,1,0),IF(Clients!E7="Semi-annual",IF(MOD((YEAR(EDATE(DATE(YEAR(TODAY()),MONTH(TODAY()),1),4))-YEAR(IF(ISNUMBER(Clients!F7),Clients!F7,DATE(YEAR(TODAY()),MONTH(TODAY()),1))))*12+MONTH(EDATE(DATE(YEAR(TODAY()),MONTH(TODAY()),1),4))-MONTH(IF(ISNUMBER(Clients!F7),Clients!F7,DATE(YEAR(TODAY()),MONTH(TODAY()),1))),6)=0,1,0),IF(Clients!E7="Annual",IF(MOD((YEAR(EDATE(DATE(YEAR(TODAY()),MONTH(TODAY()),1),4))-YEAR(IF(ISNUMBER(Clients!F7),Clients!F7,DATE(YEAR(TODAY()),MONTH(TODAY()),1))))*12+MONTH(EDATE(DATE(YEAR(TODAY()),MONTH(TODAY()),1),4))-MONTH(IF(ISNUMBER(Clients!F7),Clients!F7,DATE(YEAR(TODAY()),MONTH(TODAY()),1))),12)=0,1,0),IF(Clients!E7="One-time",IF(4=0,1,0),1)))))),"")</f>
        <v/>
      </c>
      <c r="K77" s="10" t="str">
        <f ca="1">IFERROR(IF(OR(5&gt;=$B$1,Clients!A7="",NOT(ISNUMBER(Clients!D7)),Clients!L7="Expired",Clients!L7="Terminate"),"",Clients!D7*1*IF(Clients!E7="Monthly",IF(AND(ISNUMBER(Clients!G7),(YEAR(EDATE(DATE(YEAR(TODAY()),MONTH(TODAY()),1),5))*12+MONTH(EDATE(DATE(YEAR(TODAY()),MONTH(TODAY()),1),5)))&gt;(YEAR(Clients!G7)*12+MONTH(Clients!G7))),"",1),IF(Clients!E7="Quarterly",IF(MOD((YEAR(EDATE(DATE(YEAR(TODAY()),MONTH(TODAY()),1),5))-YEAR(IF(ISNUMBER(Clients!F7),Clients!F7,DATE(YEAR(TODAY()),MONTH(TODAY()),1))))*12+MONTH(EDATE(DATE(YEAR(TODAY()),MONTH(TODAY()),1),5))-MONTH(IF(ISNUMBER(Clients!F7),Clients!F7,DATE(YEAR(TODAY()),MONTH(TODAY()),1))),3)=0,1,0),IF(Clients!E7="Semi-annual",IF(MOD((YEAR(EDATE(DATE(YEAR(TODAY()),MONTH(TODAY()),1),5))-YEAR(IF(ISNUMBER(Clients!F7),Clients!F7,DATE(YEAR(TODAY()),MONTH(TODAY()),1))))*12+MONTH(EDATE(DATE(YEAR(TODAY()),MONTH(TODAY()),1),5))-MONTH(IF(ISNUMBER(Clients!F7),Clients!F7,DATE(YEAR(TODAY()),MONTH(TODAY()),1))),6)=0,1,0),IF(Clients!E7="Annual",IF(MOD((YEAR(EDATE(DATE(YEAR(TODAY()),MONTH(TODAY()),1),5))-YEAR(IF(ISNUMBER(Clients!F7),Clients!F7,DATE(YEAR(TODAY()),MONTH(TODAY()),1))))*12+MONTH(EDATE(DATE(YEAR(TODAY()),MONTH(TODAY()),1),5))-MONTH(IF(ISNUMBER(Clients!F7),Clients!F7,DATE(YEAR(TODAY()),MONTH(TODAY()),1))),12)=0,1,0),IF(Clients!E7="One-time",IF(5=0,1,0),1)))))),"")</f>
        <v/>
      </c>
      <c r="L77" s="10" t="str">
        <f ca="1">IFERROR(IF(OR(6&gt;=$B$1,Clients!A7="",NOT(ISNUMBER(Clients!D7)),Clients!L7="Expired",Clients!L7="Terminate"),"",Clients!D7*1*IF(Clients!E7="Monthly",IF(AND(ISNUMBER(Clients!G7),(YEAR(EDATE(DATE(YEAR(TODAY()),MONTH(TODAY()),1),6))*12+MONTH(EDATE(DATE(YEAR(TODAY()),MONTH(TODAY()),1),6)))&gt;(YEAR(Clients!G7)*12+MONTH(Clients!G7))),"",1),IF(Clients!E7="Quarterly",IF(MOD((YEAR(EDATE(DATE(YEAR(TODAY()),MONTH(TODAY()),1),6))-YEAR(IF(ISNUMBER(Clients!F7),Clients!F7,DATE(YEAR(TODAY()),MONTH(TODAY()),1))))*12+MONTH(EDATE(DATE(YEAR(TODAY()),MONTH(TODAY()),1),6))-MONTH(IF(ISNUMBER(Clients!F7),Clients!F7,DATE(YEAR(TODAY()),MONTH(TODAY()),1))),3)=0,1,0),IF(Clients!E7="Semi-annual",IF(MOD((YEAR(EDATE(DATE(YEAR(TODAY()),MONTH(TODAY()),1),6))-YEAR(IF(ISNUMBER(Clients!F7),Clients!F7,DATE(YEAR(TODAY()),MONTH(TODAY()),1))))*12+MONTH(EDATE(DATE(YEAR(TODAY()),MONTH(TODAY()),1),6))-MONTH(IF(ISNUMBER(Clients!F7),Clients!F7,DATE(YEAR(TODAY()),MONTH(TODAY()),1))),6)=0,1,0),IF(Clients!E7="Annual",IF(MOD((YEAR(EDATE(DATE(YEAR(TODAY()),MONTH(TODAY()),1),6))-YEAR(IF(ISNUMBER(Clients!F7),Clients!F7,DATE(YEAR(TODAY()),MONTH(TODAY()),1))))*12+MONTH(EDATE(DATE(YEAR(TODAY()),MONTH(TODAY()),1),6))-MONTH(IF(ISNUMBER(Clients!F7),Clients!F7,DATE(YEAR(TODAY()),MONTH(TODAY()),1))),12)=0,1,0),IF(Clients!E7="One-time",IF(6=0,1,0),1)))))),"")</f>
        <v/>
      </c>
      <c r="M77" s="10" t="str">
        <f ca="1">IFERROR(IF(OR(7&gt;=$B$1,Clients!A7="",NOT(ISNUMBER(Clients!D7)),Clients!L7="Expired",Clients!L7="Terminate"),"",Clients!D7*1*IF(Clients!E7="Monthly",IF(AND(ISNUMBER(Clients!G7),(YEAR(EDATE(DATE(YEAR(TODAY()),MONTH(TODAY()),1),7))*12+MONTH(EDATE(DATE(YEAR(TODAY()),MONTH(TODAY()),1),7)))&gt;(YEAR(Clients!G7)*12+MONTH(Clients!G7))),"",1),IF(Clients!E7="Quarterly",IF(MOD((YEAR(EDATE(DATE(YEAR(TODAY()),MONTH(TODAY()),1),7))-YEAR(IF(ISNUMBER(Clients!F7),Clients!F7,DATE(YEAR(TODAY()),MONTH(TODAY()),1))))*12+MONTH(EDATE(DATE(YEAR(TODAY()),MONTH(TODAY()),1),7))-MONTH(IF(ISNUMBER(Clients!F7),Clients!F7,DATE(YEAR(TODAY()),MONTH(TODAY()),1))),3)=0,1,0),IF(Clients!E7="Semi-annual",IF(MOD((YEAR(EDATE(DATE(YEAR(TODAY()),MONTH(TODAY()),1),7))-YEAR(IF(ISNUMBER(Clients!F7),Clients!F7,DATE(YEAR(TODAY()),MONTH(TODAY()),1))))*12+MONTH(EDATE(DATE(YEAR(TODAY()),MONTH(TODAY()),1),7))-MONTH(IF(ISNUMBER(Clients!F7),Clients!F7,DATE(YEAR(TODAY()),MONTH(TODAY()),1))),6)=0,1,0),IF(Clients!E7="Annual",IF(MOD((YEAR(EDATE(DATE(YEAR(TODAY()),MONTH(TODAY()),1),7))-YEAR(IF(ISNUMBER(Clients!F7),Clients!F7,DATE(YEAR(TODAY()),MONTH(TODAY()),1))))*12+MONTH(EDATE(DATE(YEAR(TODAY()),MONTH(TODAY()),1),7))-MONTH(IF(ISNUMBER(Clients!F7),Clients!F7,DATE(YEAR(TODAY()),MONTH(TODAY()),1))),12)=0,1,0),IF(Clients!E7="One-time",IF(7=0,1,0),1)))))),"")</f>
        <v/>
      </c>
      <c r="N77" s="10" t="str">
        <f ca="1">IFERROR(IF(OR(8&gt;=$B$1,Clients!A7="",NOT(ISNUMBER(Clients!D7)),Clients!L7="Expired",Clients!L7="Terminate"),"",Clients!D7*1*IF(Clients!E7="Monthly",IF(AND(ISNUMBER(Clients!G7),(YEAR(EDATE(DATE(YEAR(TODAY()),MONTH(TODAY()),1),8))*12+MONTH(EDATE(DATE(YEAR(TODAY()),MONTH(TODAY()),1),8)))&gt;(YEAR(Clients!G7)*12+MONTH(Clients!G7))),"",1),IF(Clients!E7="Quarterly",IF(MOD((YEAR(EDATE(DATE(YEAR(TODAY()),MONTH(TODAY()),1),8))-YEAR(IF(ISNUMBER(Clients!F7),Clients!F7,DATE(YEAR(TODAY()),MONTH(TODAY()),1))))*12+MONTH(EDATE(DATE(YEAR(TODAY()),MONTH(TODAY()),1),8))-MONTH(IF(ISNUMBER(Clients!F7),Clients!F7,DATE(YEAR(TODAY()),MONTH(TODAY()),1))),3)=0,1,0),IF(Clients!E7="Semi-annual",IF(MOD((YEAR(EDATE(DATE(YEAR(TODAY()),MONTH(TODAY()),1),8))-YEAR(IF(ISNUMBER(Clients!F7),Clients!F7,DATE(YEAR(TODAY()),MONTH(TODAY()),1))))*12+MONTH(EDATE(DATE(YEAR(TODAY()),MONTH(TODAY()),1),8))-MONTH(IF(ISNUMBER(Clients!F7),Clients!F7,DATE(YEAR(TODAY()),MONTH(TODAY()),1))),6)=0,1,0),IF(Clients!E7="Annual",IF(MOD((YEAR(EDATE(DATE(YEAR(TODAY()),MONTH(TODAY()),1),8))-YEAR(IF(ISNUMBER(Clients!F7),Clients!F7,DATE(YEAR(TODAY()),MONTH(TODAY()),1))))*12+MONTH(EDATE(DATE(YEAR(TODAY()),MONTH(TODAY()),1),8))-MONTH(IF(ISNUMBER(Clients!F7),Clients!F7,DATE(YEAR(TODAY()),MONTH(TODAY()),1))),12)=0,1,0),IF(Clients!E7="One-time",IF(8=0,1,0),1)))))),"")</f>
        <v/>
      </c>
      <c r="O77" s="10" t="str">
        <f ca="1">IFERROR(IF(OR(9&gt;=$B$1,Clients!A7="",NOT(ISNUMBER(Clients!D7)),Clients!L7="Expired",Clients!L7="Terminate"),"",Clients!D7*1*IF(Clients!E7="Monthly",IF(AND(ISNUMBER(Clients!G7),(YEAR(EDATE(DATE(YEAR(TODAY()),MONTH(TODAY()),1),9))*12+MONTH(EDATE(DATE(YEAR(TODAY()),MONTH(TODAY()),1),9)))&gt;(YEAR(Clients!G7)*12+MONTH(Clients!G7))),"",1),IF(Clients!E7="Quarterly",IF(MOD((YEAR(EDATE(DATE(YEAR(TODAY()),MONTH(TODAY()),1),9))-YEAR(IF(ISNUMBER(Clients!F7),Clients!F7,DATE(YEAR(TODAY()),MONTH(TODAY()),1))))*12+MONTH(EDATE(DATE(YEAR(TODAY()),MONTH(TODAY()),1),9))-MONTH(IF(ISNUMBER(Clients!F7),Clients!F7,DATE(YEAR(TODAY()),MONTH(TODAY()),1))),3)=0,1,0),IF(Clients!E7="Semi-annual",IF(MOD((YEAR(EDATE(DATE(YEAR(TODAY()),MONTH(TODAY()),1),9))-YEAR(IF(ISNUMBER(Clients!F7),Clients!F7,DATE(YEAR(TODAY()),MONTH(TODAY()),1))))*12+MONTH(EDATE(DATE(YEAR(TODAY()),MONTH(TODAY()),1),9))-MONTH(IF(ISNUMBER(Clients!F7),Clients!F7,DATE(YEAR(TODAY()),MONTH(TODAY()),1))),6)=0,1,0),IF(Clients!E7="Annual",IF(MOD((YEAR(EDATE(DATE(YEAR(TODAY()),MONTH(TODAY()),1),9))-YEAR(IF(ISNUMBER(Clients!F7),Clients!F7,DATE(YEAR(TODAY()),MONTH(TODAY()),1))))*12+MONTH(EDATE(DATE(YEAR(TODAY()),MONTH(TODAY()),1),9))-MONTH(IF(ISNUMBER(Clients!F7),Clients!F7,DATE(YEAR(TODAY()),MONTH(TODAY()),1))),12)=0,1,0),IF(Clients!E7="One-time",IF(9=0,1,0),1)))))),"")</f>
        <v/>
      </c>
      <c r="P77" s="10" t="str">
        <f ca="1">IFERROR(IF(OR(10&gt;=$B$1,Clients!A7="",NOT(ISNUMBER(Clients!D7)),Clients!L7="Expired",Clients!L7="Terminate"),"",Clients!D7*1*IF(Clients!E7="Monthly",IF(AND(ISNUMBER(Clients!G7),(YEAR(EDATE(DATE(YEAR(TODAY()),MONTH(TODAY()),1),10))*12+MONTH(EDATE(DATE(YEAR(TODAY()),MONTH(TODAY()),1),10)))&gt;(YEAR(Clients!G7)*12+MONTH(Clients!G7))),"",1),IF(Clients!E7="Quarterly",IF(MOD((YEAR(EDATE(DATE(YEAR(TODAY()),MONTH(TODAY()),1),10))-YEAR(IF(ISNUMBER(Clients!F7),Clients!F7,DATE(YEAR(TODAY()),MONTH(TODAY()),1))))*12+MONTH(EDATE(DATE(YEAR(TODAY()),MONTH(TODAY()),1),10))-MONTH(IF(ISNUMBER(Clients!F7),Clients!F7,DATE(YEAR(TODAY()),MONTH(TODAY()),1))),3)=0,1,0),IF(Clients!E7="Semi-annual",IF(MOD((YEAR(EDATE(DATE(YEAR(TODAY()),MONTH(TODAY()),1),10))-YEAR(IF(ISNUMBER(Clients!F7),Clients!F7,DATE(YEAR(TODAY()),MONTH(TODAY()),1))))*12+MONTH(EDATE(DATE(YEAR(TODAY()),MONTH(TODAY()),1),10))-MONTH(IF(ISNUMBER(Clients!F7),Clients!F7,DATE(YEAR(TODAY()),MONTH(TODAY()),1))),6)=0,1,0),IF(Clients!E7="Annual",IF(MOD((YEAR(EDATE(DATE(YEAR(TODAY()),MONTH(TODAY()),1),10))-YEAR(IF(ISNUMBER(Clients!F7),Clients!F7,DATE(YEAR(TODAY()),MONTH(TODAY()),1))))*12+MONTH(EDATE(DATE(YEAR(TODAY()),MONTH(TODAY()),1),10))-MONTH(IF(ISNUMBER(Clients!F7),Clients!F7,DATE(YEAR(TODAY()),MONTH(TODAY()),1))),12)=0,1,0),IF(Clients!E7="One-time",IF(10=0,1,0),1)))))),"")</f>
        <v/>
      </c>
      <c r="Q77" s="10" t="str">
        <f ca="1">IFERROR(IF(OR(11&gt;=$B$1,Clients!A7="",NOT(ISNUMBER(Clients!D7)),Clients!L7="Expired",Clients!L7="Terminate"),"",Clients!D7*1*IF(Clients!E7="Monthly",IF(AND(ISNUMBER(Clients!G7),(YEAR(EDATE(DATE(YEAR(TODAY()),MONTH(TODAY()),1),11))*12+MONTH(EDATE(DATE(YEAR(TODAY()),MONTH(TODAY()),1),11)))&gt;(YEAR(Clients!G7)*12+MONTH(Clients!G7))),"",1),IF(Clients!E7="Quarterly",IF(MOD((YEAR(EDATE(DATE(YEAR(TODAY()),MONTH(TODAY()),1),11))-YEAR(IF(ISNUMBER(Clients!F7),Clients!F7,DATE(YEAR(TODAY()),MONTH(TODAY()),1))))*12+MONTH(EDATE(DATE(YEAR(TODAY()),MONTH(TODAY()),1),11))-MONTH(IF(ISNUMBER(Clients!F7),Clients!F7,DATE(YEAR(TODAY()),MONTH(TODAY()),1))),3)=0,1,0),IF(Clients!E7="Semi-annual",IF(MOD((YEAR(EDATE(DATE(YEAR(TODAY()),MONTH(TODAY()),1),11))-YEAR(IF(ISNUMBER(Clients!F7),Clients!F7,DATE(YEAR(TODAY()),MONTH(TODAY()),1))))*12+MONTH(EDATE(DATE(YEAR(TODAY()),MONTH(TODAY()),1),11))-MONTH(IF(ISNUMBER(Clients!F7),Clients!F7,DATE(YEAR(TODAY()),MONTH(TODAY()),1))),6)=0,1,0),IF(Clients!E7="Annual",IF(MOD((YEAR(EDATE(DATE(YEAR(TODAY()),MONTH(TODAY()),1),11))-YEAR(IF(ISNUMBER(Clients!F7),Clients!F7,DATE(YEAR(TODAY()),MONTH(TODAY()),1))))*12+MONTH(EDATE(DATE(YEAR(TODAY()),MONTH(TODAY()),1),11))-MONTH(IF(ISNUMBER(Clients!F7),Clients!F7,DATE(YEAR(TODAY()),MONTH(TODAY()),1))),12)=0,1,0),IF(Clients!E7="One-time",IF(11=0,1,0),1)))))),"")</f>
        <v/>
      </c>
      <c r="R77" s="10" t="str">
        <f ca="1">IFERROR(IF(OR(12&gt;=$B$1,Suppliers!A75="",NOT(ISNUMBER(Suppliers!D75)),Suppliers!L75="Expired",Suppliers!L75="Terminate"),"",Suppliers!D75*-1*IF(Suppliers!E75="Monthly",IF(AND(ISNUMBER(Suppliers!G75),(YEAR(EDATE(DATE(YEAR(TODAY()),MONTH(TODAY()),1),12))*12+MONTH(EDATE(DATE(YEAR(TODAY()),MONTH(TODAY()),1),12)))&gt;(YEAR(Suppliers!G75)*12+MONTH(Suppliers!G75))),"",1),IF(Suppliers!E75="Quarterly",IF(MOD((YEAR(EDATE(DATE(YEAR(TODAY()),MONTH(TODAY()),1),12))-YEAR(IF(ISNUMBER(Suppliers!F75),Suppliers!F75,DATE(YEAR(TODAY()),MONTH(TODAY()),1))))*12+MONTH(EDATE(DATE(YEAR(TODAY()),MONTH(TODAY()),1),12))-MONTH(IF(ISNUMBER(Suppliers!F75),Suppliers!F75,DATE(YEAR(TODAY()),MONTH(TODAY()),1))),3)=0,1,0),IF(Suppliers!E75="Semi-annual",IF(MOD((YEAR(EDATE(DATE(YEAR(TODAY()),MONTH(TODAY()),1),12))-YEAR(IF(ISNUMBER(Suppliers!F75),Suppliers!F75,DATE(YEAR(TODAY()),MONTH(TODAY()),1))))*12+MONTH(EDATE(DATE(YEAR(TODAY()),MONTH(TODAY()),1),12))-MONTH(IF(ISNUMBER(Suppliers!F75),Suppliers!F75,DATE(YEAR(TODAY()),MONTH(TODAY()),1))),6)=0,1,0),IF(Suppliers!E75="Annual",IF(MOD((YEAR(EDATE(DATE(YEAR(TODAY()),MONTH(TODAY()),1),12))-YEAR(IF(ISNUMBER(Suppliers!F75),Suppliers!F75,DATE(YEAR(TODAY()),MONTH(TODAY()),1))))*12+MONTH(EDATE(DATE(YEAR(TODAY()),MONTH(TODAY()),1),12))-MONTH(IF(ISNUMBER(Suppliers!F75),Suppliers!F75,DATE(YEAR(TODAY()),MONTH(TODAY()),1))),12)=0,1,0),IF(Suppliers!E75="One-time",IF(12=0,1,0),1)))))),"")</f>
        <v/>
      </c>
      <c r="S77" s="10" t="str">
        <f ca="1">IFERROR(IF(OR(13&gt;=$B$1,Suppliers!A75="",NOT(ISNUMBER(Suppliers!D75)),Suppliers!L75="Expired",Suppliers!L75="Terminate"),"",Suppliers!D75*-1*IF(Suppliers!E75="Monthly",IF(AND(ISNUMBER(Suppliers!G75),(YEAR(EDATE(DATE(YEAR(TODAY()),MONTH(TODAY()),1),13))*12+MONTH(EDATE(DATE(YEAR(TODAY()),MONTH(TODAY()),1),13)))&gt;(YEAR(Suppliers!G75)*12+MONTH(Suppliers!G75))),"",1),IF(Suppliers!E75="Quarterly",IF(MOD((YEAR(EDATE(DATE(YEAR(TODAY()),MONTH(TODAY()),1),13))-YEAR(IF(ISNUMBER(Suppliers!F75),Suppliers!F75,DATE(YEAR(TODAY()),MONTH(TODAY()),1))))*12+MONTH(EDATE(DATE(YEAR(TODAY()),MONTH(TODAY()),1),13))-MONTH(IF(ISNUMBER(Suppliers!F75),Suppliers!F75,DATE(YEAR(TODAY()),MONTH(TODAY()),1))),3)=0,1,0),IF(Suppliers!E75="Semi-annual",IF(MOD((YEAR(EDATE(DATE(YEAR(TODAY()),MONTH(TODAY()),1),13))-YEAR(IF(ISNUMBER(Suppliers!F75),Suppliers!F75,DATE(YEAR(TODAY()),MONTH(TODAY()),1))))*12+MONTH(EDATE(DATE(YEAR(TODAY()),MONTH(TODAY()),1),13))-MONTH(IF(ISNUMBER(Suppliers!F75),Suppliers!F75,DATE(YEAR(TODAY()),MONTH(TODAY()),1))),6)=0,1,0),IF(Suppliers!E75="Annual",IF(MOD((YEAR(EDATE(DATE(YEAR(TODAY()),MONTH(TODAY()),1),13))-YEAR(IF(ISNUMBER(Suppliers!F75),Suppliers!F75,DATE(YEAR(TODAY()),MONTH(TODAY()),1))))*12+MONTH(EDATE(DATE(YEAR(TODAY()),MONTH(TODAY()),1),13))-MONTH(IF(ISNUMBER(Suppliers!F75),Suppliers!F75,DATE(YEAR(TODAY()),MONTH(TODAY()),1))),12)=0,1,0),IF(Suppliers!E75="One-time",IF(13=0,1,0),1)))))),"")</f>
        <v/>
      </c>
      <c r="T77" s="10" t="str">
        <f ca="1">IFERROR(IF(OR(14&gt;=$B$1,Suppliers!A75="",NOT(ISNUMBER(Suppliers!D75)),Suppliers!L75="Expired",Suppliers!L75="Terminate"),"",Suppliers!D75*-1*IF(Suppliers!E75="Monthly",IF(AND(ISNUMBER(Suppliers!G75),(YEAR(EDATE(DATE(YEAR(TODAY()),MONTH(TODAY()),1),14))*12+MONTH(EDATE(DATE(YEAR(TODAY()),MONTH(TODAY()),1),14)))&gt;(YEAR(Suppliers!G75)*12+MONTH(Suppliers!G75))),"",1),IF(Suppliers!E75="Quarterly",IF(MOD((YEAR(EDATE(DATE(YEAR(TODAY()),MONTH(TODAY()),1),14))-YEAR(IF(ISNUMBER(Suppliers!F75),Suppliers!F75,DATE(YEAR(TODAY()),MONTH(TODAY()),1))))*12+MONTH(EDATE(DATE(YEAR(TODAY()),MONTH(TODAY()),1),14))-MONTH(IF(ISNUMBER(Suppliers!F75),Suppliers!F75,DATE(YEAR(TODAY()),MONTH(TODAY()),1))),3)=0,1,0),IF(Suppliers!E75="Semi-annual",IF(MOD((YEAR(EDATE(DATE(YEAR(TODAY()),MONTH(TODAY()),1),14))-YEAR(IF(ISNUMBER(Suppliers!F75),Suppliers!F75,DATE(YEAR(TODAY()),MONTH(TODAY()),1))))*12+MONTH(EDATE(DATE(YEAR(TODAY()),MONTH(TODAY()),1),14))-MONTH(IF(ISNUMBER(Suppliers!F75),Suppliers!F75,DATE(YEAR(TODAY()),MONTH(TODAY()),1))),6)=0,1,0),IF(Suppliers!E75="Annual",IF(MOD((YEAR(EDATE(DATE(YEAR(TODAY()),MONTH(TODAY()),1),14))-YEAR(IF(ISNUMBER(Suppliers!F75),Suppliers!F75,DATE(YEAR(TODAY()),MONTH(TODAY()),1))))*12+MONTH(EDATE(DATE(YEAR(TODAY()),MONTH(TODAY()),1),14))-MONTH(IF(ISNUMBER(Suppliers!F75),Suppliers!F75,DATE(YEAR(TODAY()),MONTH(TODAY()),1))),12)=0,1,0),IF(Suppliers!E75="One-time",IF(14=0,1,0),1)))))),"")</f>
        <v/>
      </c>
      <c r="U77" s="10" t="str">
        <f ca="1">IFERROR(IF(OR(15&gt;=$B$1,Suppliers!A75="",NOT(ISNUMBER(Suppliers!D75)),Suppliers!L75="Expired",Suppliers!L75="Terminate"),"",Suppliers!D75*-1*IF(Suppliers!E75="Monthly",IF(AND(ISNUMBER(Suppliers!G75),(YEAR(EDATE(DATE(YEAR(TODAY()),MONTH(TODAY()),1),15))*12+MONTH(EDATE(DATE(YEAR(TODAY()),MONTH(TODAY()),1),15)))&gt;(YEAR(Suppliers!G75)*12+MONTH(Suppliers!G75))),"",1),IF(Suppliers!E75="Quarterly",IF(MOD((YEAR(EDATE(DATE(YEAR(TODAY()),MONTH(TODAY()),1),15))-YEAR(IF(ISNUMBER(Suppliers!F75),Suppliers!F75,DATE(YEAR(TODAY()),MONTH(TODAY()),1))))*12+MONTH(EDATE(DATE(YEAR(TODAY()),MONTH(TODAY()),1),15))-MONTH(IF(ISNUMBER(Suppliers!F75),Suppliers!F75,DATE(YEAR(TODAY()),MONTH(TODAY()),1))),3)=0,1,0),IF(Suppliers!E75="Semi-annual",IF(MOD((YEAR(EDATE(DATE(YEAR(TODAY()),MONTH(TODAY()),1),15))-YEAR(IF(ISNUMBER(Suppliers!F75),Suppliers!F75,DATE(YEAR(TODAY()),MONTH(TODAY()),1))))*12+MONTH(EDATE(DATE(YEAR(TODAY()),MONTH(TODAY()),1),15))-MONTH(IF(ISNUMBER(Suppliers!F75),Suppliers!F75,DATE(YEAR(TODAY()),MONTH(TODAY()),1))),6)=0,1,0),IF(Suppliers!E75="Annual",IF(MOD((YEAR(EDATE(DATE(YEAR(TODAY()),MONTH(TODAY()),1),15))-YEAR(IF(ISNUMBER(Suppliers!F75),Suppliers!F75,DATE(YEAR(TODAY()),MONTH(TODAY()),1))))*12+MONTH(EDATE(DATE(YEAR(TODAY()),MONTH(TODAY()),1),15))-MONTH(IF(ISNUMBER(Suppliers!F75),Suppliers!F75,DATE(YEAR(TODAY()),MONTH(TODAY()),1))),12)=0,1,0),IF(Suppliers!E75="One-time",IF(15=0,1,0),1)))))),"")</f>
        <v/>
      </c>
      <c r="V77" s="10" t="str">
        <f ca="1">IFERROR(IF(OR(16&gt;=$B$1,Suppliers!A75="",NOT(ISNUMBER(Suppliers!D75)),Suppliers!L75="Expired",Suppliers!L75="Terminate"),"",Suppliers!D75*-1*IF(Suppliers!E75="Monthly",IF(AND(ISNUMBER(Suppliers!G75),(YEAR(EDATE(DATE(YEAR(TODAY()),MONTH(TODAY()),1),16))*12+MONTH(EDATE(DATE(YEAR(TODAY()),MONTH(TODAY()),1),16)))&gt;(YEAR(Suppliers!G75)*12+MONTH(Suppliers!G75))),"",1),IF(Suppliers!E75="Quarterly",IF(MOD((YEAR(EDATE(DATE(YEAR(TODAY()),MONTH(TODAY()),1),16))-YEAR(IF(ISNUMBER(Suppliers!F75),Suppliers!F75,DATE(YEAR(TODAY()),MONTH(TODAY()),1))))*12+MONTH(EDATE(DATE(YEAR(TODAY()),MONTH(TODAY()),1),16))-MONTH(IF(ISNUMBER(Suppliers!F75),Suppliers!F75,DATE(YEAR(TODAY()),MONTH(TODAY()),1))),3)=0,1,0),IF(Suppliers!E75="Semi-annual",IF(MOD((YEAR(EDATE(DATE(YEAR(TODAY()),MONTH(TODAY()),1),16))-YEAR(IF(ISNUMBER(Suppliers!F75),Suppliers!F75,DATE(YEAR(TODAY()),MONTH(TODAY()),1))))*12+MONTH(EDATE(DATE(YEAR(TODAY()),MONTH(TODAY()),1),16))-MONTH(IF(ISNUMBER(Suppliers!F75),Suppliers!F75,DATE(YEAR(TODAY()),MONTH(TODAY()),1))),6)=0,1,0),IF(Suppliers!E75="Annual",IF(MOD((YEAR(EDATE(DATE(YEAR(TODAY()),MONTH(TODAY()),1),16))-YEAR(IF(ISNUMBER(Suppliers!F75),Suppliers!F75,DATE(YEAR(TODAY()),MONTH(TODAY()),1))))*12+MONTH(EDATE(DATE(YEAR(TODAY()),MONTH(TODAY()),1),16))-MONTH(IF(ISNUMBER(Suppliers!F75),Suppliers!F75,DATE(YEAR(TODAY()),MONTH(TODAY()),1))),12)=0,1,0),IF(Suppliers!E75="One-time",IF(16=0,1,0),1)))))),"")</f>
        <v/>
      </c>
      <c r="W77" s="10" t="str">
        <f ca="1">IFERROR(IF(OR(17&gt;=$B$1,Suppliers!A75="",NOT(ISNUMBER(Suppliers!D75)),Suppliers!L75="Expired",Suppliers!L75="Terminate"),"",Suppliers!D75*-1*IF(Suppliers!E75="Monthly",IF(AND(ISNUMBER(Suppliers!G75),(YEAR(EDATE(DATE(YEAR(TODAY()),MONTH(TODAY()),1),17))*12+MONTH(EDATE(DATE(YEAR(TODAY()),MONTH(TODAY()),1),17)))&gt;(YEAR(Suppliers!G75)*12+MONTH(Suppliers!G75))),"",1),IF(Suppliers!E75="Quarterly",IF(MOD((YEAR(EDATE(DATE(YEAR(TODAY()),MONTH(TODAY()),1),17))-YEAR(IF(ISNUMBER(Suppliers!F75),Suppliers!F75,DATE(YEAR(TODAY()),MONTH(TODAY()),1))))*12+MONTH(EDATE(DATE(YEAR(TODAY()),MONTH(TODAY()),1),17))-MONTH(IF(ISNUMBER(Suppliers!F75),Suppliers!F75,DATE(YEAR(TODAY()),MONTH(TODAY()),1))),3)=0,1,0),IF(Suppliers!E75="Semi-annual",IF(MOD((YEAR(EDATE(DATE(YEAR(TODAY()),MONTH(TODAY()),1),17))-YEAR(IF(ISNUMBER(Suppliers!F75),Suppliers!F75,DATE(YEAR(TODAY()),MONTH(TODAY()),1))))*12+MONTH(EDATE(DATE(YEAR(TODAY()),MONTH(TODAY()),1),17))-MONTH(IF(ISNUMBER(Suppliers!F75),Suppliers!F75,DATE(YEAR(TODAY()),MONTH(TODAY()),1))),6)=0,1,0),IF(Suppliers!E75="Annual",IF(MOD((YEAR(EDATE(DATE(YEAR(TODAY()),MONTH(TODAY()),1),17))-YEAR(IF(ISNUMBER(Suppliers!F75),Suppliers!F75,DATE(YEAR(TODAY()),MONTH(TODAY()),1))))*12+MONTH(EDATE(DATE(YEAR(TODAY()),MONTH(TODAY()),1),17))-MONTH(IF(ISNUMBER(Suppliers!F75),Suppliers!F75,DATE(YEAR(TODAY()),MONTH(TODAY()),1))),12)=0,1,0),IF(Suppliers!E75="One-time",IF(17=0,1,0),1)))))),"")</f>
        <v/>
      </c>
      <c r="X77" s="10" t="str">
        <f ca="1">IFERROR(IF(OR(18&gt;=$B$1,Suppliers!A75="",NOT(ISNUMBER(Suppliers!D75)),Suppliers!L75="Expired",Suppliers!L75="Terminate"),"",Suppliers!D75*-1*IF(Suppliers!E75="Monthly",IF(AND(ISNUMBER(Suppliers!G75),(YEAR(EDATE(DATE(YEAR(TODAY()),MONTH(TODAY()),1),18))*12+MONTH(EDATE(DATE(YEAR(TODAY()),MONTH(TODAY()),1),18)))&gt;(YEAR(Suppliers!G75)*12+MONTH(Suppliers!G75))),"",1),IF(Suppliers!E75="Quarterly",IF(MOD((YEAR(EDATE(DATE(YEAR(TODAY()),MONTH(TODAY()),1),18))-YEAR(IF(ISNUMBER(Suppliers!F75),Suppliers!F75,DATE(YEAR(TODAY()),MONTH(TODAY()),1))))*12+MONTH(EDATE(DATE(YEAR(TODAY()),MONTH(TODAY()),1),18))-MONTH(IF(ISNUMBER(Suppliers!F75),Suppliers!F75,DATE(YEAR(TODAY()),MONTH(TODAY()),1))),3)=0,1,0),IF(Suppliers!E75="Semi-annual",IF(MOD((YEAR(EDATE(DATE(YEAR(TODAY()),MONTH(TODAY()),1),18))-YEAR(IF(ISNUMBER(Suppliers!F75),Suppliers!F75,DATE(YEAR(TODAY()),MONTH(TODAY()),1))))*12+MONTH(EDATE(DATE(YEAR(TODAY()),MONTH(TODAY()),1),18))-MONTH(IF(ISNUMBER(Suppliers!F75),Suppliers!F75,DATE(YEAR(TODAY()),MONTH(TODAY()),1))),6)=0,1,0),IF(Suppliers!E75="Annual",IF(MOD((YEAR(EDATE(DATE(YEAR(TODAY()),MONTH(TODAY()),1),18))-YEAR(IF(ISNUMBER(Suppliers!F75),Suppliers!F75,DATE(YEAR(TODAY()),MONTH(TODAY()),1))))*12+MONTH(EDATE(DATE(YEAR(TODAY()),MONTH(TODAY()),1),18))-MONTH(IF(ISNUMBER(Suppliers!F75),Suppliers!F75,DATE(YEAR(TODAY()),MONTH(TODAY()),1))),12)=0,1,0),IF(Suppliers!E75="One-time",IF(18=0,1,0),1)))))),"")</f>
        <v/>
      </c>
      <c r="Y77" s="10" t="str">
        <f ca="1">IFERROR(IF(OR(19&gt;=$B$1,Suppliers!A75="",NOT(ISNUMBER(Suppliers!D75)),Suppliers!L75="Expired",Suppliers!L75="Terminate"),"",Suppliers!D75*-1*IF(Suppliers!E75="Monthly",IF(AND(ISNUMBER(Suppliers!G75),(YEAR(EDATE(DATE(YEAR(TODAY()),MONTH(TODAY()),1),19))*12+MONTH(EDATE(DATE(YEAR(TODAY()),MONTH(TODAY()),1),19)))&gt;(YEAR(Suppliers!G75)*12+MONTH(Suppliers!G75))),"",1),IF(Suppliers!E75="Quarterly",IF(MOD((YEAR(EDATE(DATE(YEAR(TODAY()),MONTH(TODAY()),1),19))-YEAR(IF(ISNUMBER(Suppliers!F75),Suppliers!F75,DATE(YEAR(TODAY()),MONTH(TODAY()),1))))*12+MONTH(EDATE(DATE(YEAR(TODAY()),MONTH(TODAY()),1),19))-MONTH(IF(ISNUMBER(Suppliers!F75),Suppliers!F75,DATE(YEAR(TODAY()),MONTH(TODAY()),1))),3)=0,1,0),IF(Suppliers!E75="Semi-annual",IF(MOD((YEAR(EDATE(DATE(YEAR(TODAY()),MONTH(TODAY()),1),19))-YEAR(IF(ISNUMBER(Suppliers!F75),Suppliers!F75,DATE(YEAR(TODAY()),MONTH(TODAY()),1))))*12+MONTH(EDATE(DATE(YEAR(TODAY()),MONTH(TODAY()),1),19))-MONTH(IF(ISNUMBER(Suppliers!F75),Suppliers!F75,DATE(YEAR(TODAY()),MONTH(TODAY()),1))),6)=0,1,0),IF(Suppliers!E75="Annual",IF(MOD((YEAR(EDATE(DATE(YEAR(TODAY()),MONTH(TODAY()),1),19))-YEAR(IF(ISNUMBER(Suppliers!F75),Suppliers!F75,DATE(YEAR(TODAY()),MONTH(TODAY()),1))))*12+MONTH(EDATE(DATE(YEAR(TODAY()),MONTH(TODAY()),1),19))-MONTH(IF(ISNUMBER(Suppliers!F75),Suppliers!F75,DATE(YEAR(TODAY()),MONTH(TODAY()),1))),12)=0,1,0),IF(Suppliers!E75="One-time",IF(19=0,1,0),1)))))),"")</f>
        <v/>
      </c>
      <c r="Z77" s="10" t="str">
        <f ca="1">IFERROR(IF(OR(20&gt;=$B$1,Suppliers!A75="",NOT(ISNUMBER(Suppliers!D75)),Suppliers!L75="Expired",Suppliers!L75="Terminate"),"",Suppliers!D75*-1*IF(Suppliers!E75="Monthly",IF(AND(ISNUMBER(Suppliers!G75),(YEAR(EDATE(DATE(YEAR(TODAY()),MONTH(TODAY()),1),20))*12+MONTH(EDATE(DATE(YEAR(TODAY()),MONTH(TODAY()),1),20)))&gt;(YEAR(Suppliers!G75)*12+MONTH(Suppliers!G75))),"",1),IF(Suppliers!E75="Quarterly",IF(MOD((YEAR(EDATE(DATE(YEAR(TODAY()),MONTH(TODAY()),1),20))-YEAR(IF(ISNUMBER(Suppliers!F75),Suppliers!F75,DATE(YEAR(TODAY()),MONTH(TODAY()),1))))*12+MONTH(EDATE(DATE(YEAR(TODAY()),MONTH(TODAY()),1),20))-MONTH(IF(ISNUMBER(Suppliers!F75),Suppliers!F75,DATE(YEAR(TODAY()),MONTH(TODAY()),1))),3)=0,1,0),IF(Suppliers!E75="Semi-annual",IF(MOD((YEAR(EDATE(DATE(YEAR(TODAY()),MONTH(TODAY()),1),20))-YEAR(IF(ISNUMBER(Suppliers!F75),Suppliers!F75,DATE(YEAR(TODAY()),MONTH(TODAY()),1))))*12+MONTH(EDATE(DATE(YEAR(TODAY()),MONTH(TODAY()),1),20))-MONTH(IF(ISNUMBER(Suppliers!F75),Suppliers!F75,DATE(YEAR(TODAY()),MONTH(TODAY()),1))),6)=0,1,0),IF(Suppliers!E75="Annual",IF(MOD((YEAR(EDATE(DATE(YEAR(TODAY()),MONTH(TODAY()),1),20))-YEAR(IF(ISNUMBER(Suppliers!F75),Suppliers!F75,DATE(YEAR(TODAY()),MONTH(TODAY()),1))))*12+MONTH(EDATE(DATE(YEAR(TODAY()),MONTH(TODAY()),1),20))-MONTH(IF(ISNUMBER(Suppliers!F75),Suppliers!F75,DATE(YEAR(TODAY()),MONTH(TODAY()),1))),12)=0,1,0),IF(Suppliers!E75="One-time",IF(20=0,1,0),1)))))),"")</f>
        <v/>
      </c>
      <c r="AA77" s="10" t="str">
        <f ca="1">IFERROR(IF(OR(21&gt;=$B$1,Suppliers!A75="",NOT(ISNUMBER(Suppliers!D75)),Suppliers!L75="Expired",Suppliers!L75="Terminate"),"",Suppliers!D75*-1*IF(Suppliers!E75="Monthly",IF(AND(ISNUMBER(Suppliers!G75),(YEAR(EDATE(DATE(YEAR(TODAY()),MONTH(TODAY()),1),21))*12+MONTH(EDATE(DATE(YEAR(TODAY()),MONTH(TODAY()),1),21)))&gt;(YEAR(Suppliers!G75)*12+MONTH(Suppliers!G75))),"",1),IF(Suppliers!E75="Quarterly",IF(MOD((YEAR(EDATE(DATE(YEAR(TODAY()),MONTH(TODAY()),1),21))-YEAR(IF(ISNUMBER(Suppliers!F75),Suppliers!F75,DATE(YEAR(TODAY()),MONTH(TODAY()),1))))*12+MONTH(EDATE(DATE(YEAR(TODAY()),MONTH(TODAY()),1),21))-MONTH(IF(ISNUMBER(Suppliers!F75),Suppliers!F75,DATE(YEAR(TODAY()),MONTH(TODAY()),1))),3)=0,1,0),IF(Suppliers!E75="Semi-annual",IF(MOD((YEAR(EDATE(DATE(YEAR(TODAY()),MONTH(TODAY()),1),21))-YEAR(IF(ISNUMBER(Suppliers!F75),Suppliers!F75,DATE(YEAR(TODAY()),MONTH(TODAY()),1))))*12+MONTH(EDATE(DATE(YEAR(TODAY()),MONTH(TODAY()),1),21))-MONTH(IF(ISNUMBER(Suppliers!F75),Suppliers!F75,DATE(YEAR(TODAY()),MONTH(TODAY()),1))),6)=0,1,0),IF(Suppliers!E75="Annual",IF(MOD((YEAR(EDATE(DATE(YEAR(TODAY()),MONTH(TODAY()),1),21))-YEAR(IF(ISNUMBER(Suppliers!F75),Suppliers!F75,DATE(YEAR(TODAY()),MONTH(TODAY()),1))))*12+MONTH(EDATE(DATE(YEAR(TODAY()),MONTH(TODAY()),1),21))-MONTH(IF(ISNUMBER(Suppliers!F75),Suppliers!F75,DATE(YEAR(TODAY()),MONTH(TODAY()),1))),12)=0,1,0),IF(Suppliers!E75="One-time",IF(21=0,1,0),1)))))),"")</f>
        <v/>
      </c>
      <c r="AB77" s="10" t="str">
        <f ca="1">IFERROR(IF(OR(22&gt;=$B$1,Suppliers!A75="",NOT(ISNUMBER(Suppliers!D75)),Suppliers!L75="Expired",Suppliers!L75="Terminate"),"",Suppliers!D75*-1*IF(Suppliers!E75="Monthly",IF(AND(ISNUMBER(Suppliers!G75),(YEAR(EDATE(DATE(YEAR(TODAY()),MONTH(TODAY()),1),22))*12+MONTH(EDATE(DATE(YEAR(TODAY()),MONTH(TODAY()),1),22)))&gt;(YEAR(Suppliers!G75)*12+MONTH(Suppliers!G75))),"",1),IF(Suppliers!E75="Quarterly",IF(MOD((YEAR(EDATE(DATE(YEAR(TODAY()),MONTH(TODAY()),1),22))-YEAR(IF(ISNUMBER(Suppliers!F75),Suppliers!F75,DATE(YEAR(TODAY()),MONTH(TODAY()),1))))*12+MONTH(EDATE(DATE(YEAR(TODAY()),MONTH(TODAY()),1),22))-MONTH(IF(ISNUMBER(Suppliers!F75),Suppliers!F75,DATE(YEAR(TODAY()),MONTH(TODAY()),1))),3)=0,1,0),IF(Suppliers!E75="Semi-annual",IF(MOD((YEAR(EDATE(DATE(YEAR(TODAY()),MONTH(TODAY()),1),22))-YEAR(IF(ISNUMBER(Suppliers!F75),Suppliers!F75,DATE(YEAR(TODAY()),MONTH(TODAY()),1))))*12+MONTH(EDATE(DATE(YEAR(TODAY()),MONTH(TODAY()),1),22))-MONTH(IF(ISNUMBER(Suppliers!F75),Suppliers!F75,DATE(YEAR(TODAY()),MONTH(TODAY()),1))),6)=0,1,0),IF(Suppliers!E75="Annual",IF(MOD((YEAR(EDATE(DATE(YEAR(TODAY()),MONTH(TODAY()),1),22))-YEAR(IF(ISNUMBER(Suppliers!F75),Suppliers!F75,DATE(YEAR(TODAY()),MONTH(TODAY()),1))))*12+MONTH(EDATE(DATE(YEAR(TODAY()),MONTH(TODAY()),1),22))-MONTH(IF(ISNUMBER(Suppliers!F75),Suppliers!F75,DATE(YEAR(TODAY()),MONTH(TODAY()),1))),12)=0,1,0),IF(Suppliers!E75="One-time",IF(22=0,1,0),1)))))),"")</f>
        <v/>
      </c>
      <c r="AC77" s="10" t="str">
        <f ca="1">IFERROR(IF(OR(23&gt;=$B$1,Suppliers!A75="",NOT(ISNUMBER(Suppliers!D75)),Suppliers!L75="Expired",Suppliers!L75="Terminate"),"",Suppliers!D75*-1*IF(Suppliers!E75="Monthly",IF(AND(ISNUMBER(Suppliers!G75),(YEAR(EDATE(DATE(YEAR(TODAY()),MONTH(TODAY()),1),23))*12+MONTH(EDATE(DATE(YEAR(TODAY()),MONTH(TODAY()),1),23)))&gt;(YEAR(Suppliers!G75)*12+MONTH(Suppliers!G75))),"",1),IF(Suppliers!E75="Quarterly",IF(MOD((YEAR(EDATE(DATE(YEAR(TODAY()),MONTH(TODAY()),1),23))-YEAR(IF(ISNUMBER(Suppliers!F75),Suppliers!F75,DATE(YEAR(TODAY()),MONTH(TODAY()),1))))*12+MONTH(EDATE(DATE(YEAR(TODAY()),MONTH(TODAY()),1),23))-MONTH(IF(ISNUMBER(Suppliers!F75),Suppliers!F75,DATE(YEAR(TODAY()),MONTH(TODAY()),1))),3)=0,1,0),IF(Suppliers!E75="Semi-annual",IF(MOD((YEAR(EDATE(DATE(YEAR(TODAY()),MONTH(TODAY()),1),23))-YEAR(IF(ISNUMBER(Suppliers!F75),Suppliers!F75,DATE(YEAR(TODAY()),MONTH(TODAY()),1))))*12+MONTH(EDATE(DATE(YEAR(TODAY()),MONTH(TODAY()),1),23))-MONTH(IF(ISNUMBER(Suppliers!F75),Suppliers!F75,DATE(YEAR(TODAY()),MONTH(TODAY()),1))),6)=0,1,0),IF(Suppliers!E75="Annual",IF(MOD((YEAR(EDATE(DATE(YEAR(TODAY()),MONTH(TODAY()),1),23))-YEAR(IF(ISNUMBER(Suppliers!F75),Suppliers!F75,DATE(YEAR(TODAY()),MONTH(TODAY()),1))))*12+MONTH(EDATE(DATE(YEAR(TODAY()),MONTH(TODAY()),1),23))-MONTH(IF(ISNUMBER(Suppliers!F75),Suppliers!F75,DATE(YEAR(TODAY()),MONTH(TODAY()),1))),12)=0,1,0),IF(Suppliers!E75="One-time",IF(23=0,1,0),1)))))),"")</f>
        <v/>
      </c>
    </row>
    <row r="78" spans="1:29" ht="15" customHeight="1" x14ac:dyDescent="0.35">
      <c r="A78" s="4" t="s">
        <v>81</v>
      </c>
      <c r="B78" s="4" t="str">
        <f>IF(Clients!A8="","",Clients!A8)</f>
        <v/>
      </c>
      <c r="C78" s="10" t="str">
        <f>IF(Clients!C8="","",Clients!C8)</f>
        <v/>
      </c>
      <c r="D78" s="10" t="str">
        <f>IF(Clients!D8="","",Clients!D8)</f>
        <v/>
      </c>
      <c r="E78" s="4" t="str">
        <f>IF(Clients!E8="","",Clients!E8)</f>
        <v/>
      </c>
      <c r="F78" s="10" t="str">
        <f ca="1">IFERROR(IF(OR(0&gt;=$B$1,Clients!A8="",NOT(ISNUMBER(Clients!D8)),Clients!L8="Expired",Clients!L8="Terminate"),"",Clients!D8*1*IF(Clients!E8="Monthly",IF(AND(ISNUMBER(Clients!G8),(YEAR(EDATE(DATE(YEAR(TODAY()),MONTH(TODAY()),1),0))*12+MONTH(EDATE(DATE(YEAR(TODAY()),MONTH(TODAY()),1),0)))&gt;(YEAR(Clients!G8)*12+MONTH(Clients!G8))),"",1),IF(Clients!E8="Quarterly",IF(MOD((YEAR(EDATE(DATE(YEAR(TODAY()),MONTH(TODAY()),1),0))-YEAR(IF(ISNUMBER(Clients!F8),Clients!F8,DATE(YEAR(TODAY()),MONTH(TODAY()),1))))*12+MONTH(EDATE(DATE(YEAR(TODAY()),MONTH(TODAY()),1),0))-MONTH(IF(ISNUMBER(Clients!F8),Clients!F8,DATE(YEAR(TODAY()),MONTH(TODAY()),1))),3)=0,1,0),IF(Clients!E8="Semi-annual",IF(MOD((YEAR(EDATE(DATE(YEAR(TODAY()),MONTH(TODAY()),1),0))-YEAR(IF(ISNUMBER(Clients!F8),Clients!F8,DATE(YEAR(TODAY()),MONTH(TODAY()),1))))*12+MONTH(EDATE(DATE(YEAR(TODAY()),MONTH(TODAY()),1),0))-MONTH(IF(ISNUMBER(Clients!F8),Clients!F8,DATE(YEAR(TODAY()),MONTH(TODAY()),1))),6)=0,1,0),IF(Clients!E8="Annual",IF(MOD((YEAR(EDATE(DATE(YEAR(TODAY()),MONTH(TODAY()),1),0))-YEAR(IF(ISNUMBER(Clients!F8),Clients!F8,DATE(YEAR(TODAY()),MONTH(TODAY()),1))))*12+MONTH(EDATE(DATE(YEAR(TODAY()),MONTH(TODAY()),1),0))-MONTH(IF(ISNUMBER(Clients!F8),Clients!F8,DATE(YEAR(TODAY()),MONTH(TODAY()),1))),12)=0,1,0),IF(Clients!E8="One-time",IF(0=0,1,0),1)))))),"")</f>
        <v/>
      </c>
      <c r="G78" s="10" t="str">
        <f ca="1">IFERROR(IF(OR(1&gt;=$B$1,Clients!A8="",NOT(ISNUMBER(Clients!D8)),Clients!L8="Expired",Clients!L8="Terminate"),"",Clients!D8*1*IF(Clients!E8="Monthly",IF(AND(ISNUMBER(Clients!G8),(YEAR(EDATE(DATE(YEAR(TODAY()),MONTH(TODAY()),1),1))*12+MONTH(EDATE(DATE(YEAR(TODAY()),MONTH(TODAY()),1),1)))&gt;(YEAR(Clients!G8)*12+MONTH(Clients!G8))),"",1),IF(Clients!E8="Quarterly",IF(MOD((YEAR(EDATE(DATE(YEAR(TODAY()),MONTH(TODAY()),1),1))-YEAR(IF(ISNUMBER(Clients!F8),Clients!F8,DATE(YEAR(TODAY()),MONTH(TODAY()),1))))*12+MONTH(EDATE(DATE(YEAR(TODAY()),MONTH(TODAY()),1),1))-MONTH(IF(ISNUMBER(Clients!F8),Clients!F8,DATE(YEAR(TODAY()),MONTH(TODAY()),1))),3)=0,1,0),IF(Clients!E8="Semi-annual",IF(MOD((YEAR(EDATE(DATE(YEAR(TODAY()),MONTH(TODAY()),1),1))-YEAR(IF(ISNUMBER(Clients!F8),Clients!F8,DATE(YEAR(TODAY()),MONTH(TODAY()),1))))*12+MONTH(EDATE(DATE(YEAR(TODAY()),MONTH(TODAY()),1),1))-MONTH(IF(ISNUMBER(Clients!F8),Clients!F8,DATE(YEAR(TODAY()),MONTH(TODAY()),1))),6)=0,1,0),IF(Clients!E8="Annual",IF(MOD((YEAR(EDATE(DATE(YEAR(TODAY()),MONTH(TODAY()),1),1))-YEAR(IF(ISNUMBER(Clients!F8),Clients!F8,DATE(YEAR(TODAY()),MONTH(TODAY()),1))))*12+MONTH(EDATE(DATE(YEAR(TODAY()),MONTH(TODAY()),1),1))-MONTH(IF(ISNUMBER(Clients!F8),Clients!F8,DATE(YEAR(TODAY()),MONTH(TODAY()),1))),12)=0,1,0),IF(Clients!E8="One-time",IF(1=0,1,0),1)))))),"")</f>
        <v/>
      </c>
      <c r="H78" s="10" t="str">
        <f ca="1">IFERROR(IF(OR(2&gt;=$B$1,Clients!A8="",NOT(ISNUMBER(Clients!D8)),Clients!L8="Expired",Clients!L8="Terminate"),"",Clients!D8*1*IF(Clients!E8="Monthly",IF(AND(ISNUMBER(Clients!G8),(YEAR(EDATE(DATE(YEAR(TODAY()),MONTH(TODAY()),1),2))*12+MONTH(EDATE(DATE(YEAR(TODAY()),MONTH(TODAY()),1),2)))&gt;(YEAR(Clients!G8)*12+MONTH(Clients!G8))),"",1),IF(Clients!E8="Quarterly",IF(MOD((YEAR(EDATE(DATE(YEAR(TODAY()),MONTH(TODAY()),1),2))-YEAR(IF(ISNUMBER(Clients!F8),Clients!F8,DATE(YEAR(TODAY()),MONTH(TODAY()),1))))*12+MONTH(EDATE(DATE(YEAR(TODAY()),MONTH(TODAY()),1),2))-MONTH(IF(ISNUMBER(Clients!F8),Clients!F8,DATE(YEAR(TODAY()),MONTH(TODAY()),1))),3)=0,1,0),IF(Clients!E8="Semi-annual",IF(MOD((YEAR(EDATE(DATE(YEAR(TODAY()),MONTH(TODAY()),1),2))-YEAR(IF(ISNUMBER(Clients!F8),Clients!F8,DATE(YEAR(TODAY()),MONTH(TODAY()),1))))*12+MONTH(EDATE(DATE(YEAR(TODAY()),MONTH(TODAY()),1),2))-MONTH(IF(ISNUMBER(Clients!F8),Clients!F8,DATE(YEAR(TODAY()),MONTH(TODAY()),1))),6)=0,1,0),IF(Clients!E8="Annual",IF(MOD((YEAR(EDATE(DATE(YEAR(TODAY()),MONTH(TODAY()),1),2))-YEAR(IF(ISNUMBER(Clients!F8),Clients!F8,DATE(YEAR(TODAY()),MONTH(TODAY()),1))))*12+MONTH(EDATE(DATE(YEAR(TODAY()),MONTH(TODAY()),1),2))-MONTH(IF(ISNUMBER(Clients!F8),Clients!F8,DATE(YEAR(TODAY()),MONTH(TODAY()),1))),12)=0,1,0),IF(Clients!E8="One-time",IF(2=0,1,0),1)))))),"")</f>
        <v/>
      </c>
      <c r="I78" s="10" t="str">
        <f ca="1">IFERROR(IF(OR(3&gt;=$B$1,Clients!A8="",NOT(ISNUMBER(Clients!D8)),Clients!L8="Expired",Clients!L8="Terminate"),"",Clients!D8*1*IF(Clients!E8="Monthly",IF(AND(ISNUMBER(Clients!G8),(YEAR(EDATE(DATE(YEAR(TODAY()),MONTH(TODAY()),1),3))*12+MONTH(EDATE(DATE(YEAR(TODAY()),MONTH(TODAY()),1),3)))&gt;(YEAR(Clients!G8)*12+MONTH(Clients!G8))),"",1),IF(Clients!E8="Quarterly",IF(MOD((YEAR(EDATE(DATE(YEAR(TODAY()),MONTH(TODAY()),1),3))-YEAR(IF(ISNUMBER(Clients!F8),Clients!F8,DATE(YEAR(TODAY()),MONTH(TODAY()),1))))*12+MONTH(EDATE(DATE(YEAR(TODAY()),MONTH(TODAY()),1),3))-MONTH(IF(ISNUMBER(Clients!F8),Clients!F8,DATE(YEAR(TODAY()),MONTH(TODAY()),1))),3)=0,1,0),IF(Clients!E8="Semi-annual",IF(MOD((YEAR(EDATE(DATE(YEAR(TODAY()),MONTH(TODAY()),1),3))-YEAR(IF(ISNUMBER(Clients!F8),Clients!F8,DATE(YEAR(TODAY()),MONTH(TODAY()),1))))*12+MONTH(EDATE(DATE(YEAR(TODAY()),MONTH(TODAY()),1),3))-MONTH(IF(ISNUMBER(Clients!F8),Clients!F8,DATE(YEAR(TODAY()),MONTH(TODAY()),1))),6)=0,1,0),IF(Clients!E8="Annual",IF(MOD((YEAR(EDATE(DATE(YEAR(TODAY()),MONTH(TODAY()),1),3))-YEAR(IF(ISNUMBER(Clients!F8),Clients!F8,DATE(YEAR(TODAY()),MONTH(TODAY()),1))))*12+MONTH(EDATE(DATE(YEAR(TODAY()),MONTH(TODAY()),1),3))-MONTH(IF(ISNUMBER(Clients!F8),Clients!F8,DATE(YEAR(TODAY()),MONTH(TODAY()),1))),12)=0,1,0),IF(Clients!E8="One-time",IF(3=0,1,0),1)))))),"")</f>
        <v/>
      </c>
      <c r="J78" s="10" t="str">
        <f ca="1">IFERROR(IF(OR(4&gt;=$B$1,Clients!A8="",NOT(ISNUMBER(Clients!D8)),Clients!L8="Expired",Clients!L8="Terminate"),"",Clients!D8*1*IF(Clients!E8="Monthly",IF(AND(ISNUMBER(Clients!G8),(YEAR(EDATE(DATE(YEAR(TODAY()),MONTH(TODAY()),1),4))*12+MONTH(EDATE(DATE(YEAR(TODAY()),MONTH(TODAY()),1),4)))&gt;(YEAR(Clients!G8)*12+MONTH(Clients!G8))),"",1),IF(Clients!E8="Quarterly",IF(MOD((YEAR(EDATE(DATE(YEAR(TODAY()),MONTH(TODAY()),1),4))-YEAR(IF(ISNUMBER(Clients!F8),Clients!F8,DATE(YEAR(TODAY()),MONTH(TODAY()),1))))*12+MONTH(EDATE(DATE(YEAR(TODAY()),MONTH(TODAY()),1),4))-MONTH(IF(ISNUMBER(Clients!F8),Clients!F8,DATE(YEAR(TODAY()),MONTH(TODAY()),1))),3)=0,1,0),IF(Clients!E8="Semi-annual",IF(MOD((YEAR(EDATE(DATE(YEAR(TODAY()),MONTH(TODAY()),1),4))-YEAR(IF(ISNUMBER(Clients!F8),Clients!F8,DATE(YEAR(TODAY()),MONTH(TODAY()),1))))*12+MONTH(EDATE(DATE(YEAR(TODAY()),MONTH(TODAY()),1),4))-MONTH(IF(ISNUMBER(Clients!F8),Clients!F8,DATE(YEAR(TODAY()),MONTH(TODAY()),1))),6)=0,1,0),IF(Clients!E8="Annual",IF(MOD((YEAR(EDATE(DATE(YEAR(TODAY()),MONTH(TODAY()),1),4))-YEAR(IF(ISNUMBER(Clients!F8),Clients!F8,DATE(YEAR(TODAY()),MONTH(TODAY()),1))))*12+MONTH(EDATE(DATE(YEAR(TODAY()),MONTH(TODAY()),1),4))-MONTH(IF(ISNUMBER(Clients!F8),Clients!F8,DATE(YEAR(TODAY()),MONTH(TODAY()),1))),12)=0,1,0),IF(Clients!E8="One-time",IF(4=0,1,0),1)))))),"")</f>
        <v/>
      </c>
      <c r="K78" s="10" t="str">
        <f ca="1">IFERROR(IF(OR(5&gt;=$B$1,Clients!A8="",NOT(ISNUMBER(Clients!D8)),Clients!L8="Expired",Clients!L8="Terminate"),"",Clients!D8*1*IF(Clients!E8="Monthly",IF(AND(ISNUMBER(Clients!G8),(YEAR(EDATE(DATE(YEAR(TODAY()),MONTH(TODAY()),1),5))*12+MONTH(EDATE(DATE(YEAR(TODAY()),MONTH(TODAY()),1),5)))&gt;(YEAR(Clients!G8)*12+MONTH(Clients!G8))),"",1),IF(Clients!E8="Quarterly",IF(MOD((YEAR(EDATE(DATE(YEAR(TODAY()),MONTH(TODAY()),1),5))-YEAR(IF(ISNUMBER(Clients!F8),Clients!F8,DATE(YEAR(TODAY()),MONTH(TODAY()),1))))*12+MONTH(EDATE(DATE(YEAR(TODAY()),MONTH(TODAY()),1),5))-MONTH(IF(ISNUMBER(Clients!F8),Clients!F8,DATE(YEAR(TODAY()),MONTH(TODAY()),1))),3)=0,1,0),IF(Clients!E8="Semi-annual",IF(MOD((YEAR(EDATE(DATE(YEAR(TODAY()),MONTH(TODAY()),1),5))-YEAR(IF(ISNUMBER(Clients!F8),Clients!F8,DATE(YEAR(TODAY()),MONTH(TODAY()),1))))*12+MONTH(EDATE(DATE(YEAR(TODAY()),MONTH(TODAY()),1),5))-MONTH(IF(ISNUMBER(Clients!F8),Clients!F8,DATE(YEAR(TODAY()),MONTH(TODAY()),1))),6)=0,1,0),IF(Clients!E8="Annual",IF(MOD((YEAR(EDATE(DATE(YEAR(TODAY()),MONTH(TODAY()),1),5))-YEAR(IF(ISNUMBER(Clients!F8),Clients!F8,DATE(YEAR(TODAY()),MONTH(TODAY()),1))))*12+MONTH(EDATE(DATE(YEAR(TODAY()),MONTH(TODAY()),1),5))-MONTH(IF(ISNUMBER(Clients!F8),Clients!F8,DATE(YEAR(TODAY()),MONTH(TODAY()),1))),12)=0,1,0),IF(Clients!E8="One-time",IF(5=0,1,0),1)))))),"")</f>
        <v/>
      </c>
      <c r="L78" s="10" t="str">
        <f ca="1">IFERROR(IF(OR(6&gt;=$B$1,Clients!A8="",NOT(ISNUMBER(Clients!D8)),Clients!L8="Expired",Clients!L8="Terminate"),"",Clients!D8*1*IF(Clients!E8="Monthly",IF(AND(ISNUMBER(Clients!G8),(YEAR(EDATE(DATE(YEAR(TODAY()),MONTH(TODAY()),1),6))*12+MONTH(EDATE(DATE(YEAR(TODAY()),MONTH(TODAY()),1),6)))&gt;(YEAR(Clients!G8)*12+MONTH(Clients!G8))),"",1),IF(Clients!E8="Quarterly",IF(MOD((YEAR(EDATE(DATE(YEAR(TODAY()),MONTH(TODAY()),1),6))-YEAR(IF(ISNUMBER(Clients!F8),Clients!F8,DATE(YEAR(TODAY()),MONTH(TODAY()),1))))*12+MONTH(EDATE(DATE(YEAR(TODAY()),MONTH(TODAY()),1),6))-MONTH(IF(ISNUMBER(Clients!F8),Clients!F8,DATE(YEAR(TODAY()),MONTH(TODAY()),1))),3)=0,1,0),IF(Clients!E8="Semi-annual",IF(MOD((YEAR(EDATE(DATE(YEAR(TODAY()),MONTH(TODAY()),1),6))-YEAR(IF(ISNUMBER(Clients!F8),Clients!F8,DATE(YEAR(TODAY()),MONTH(TODAY()),1))))*12+MONTH(EDATE(DATE(YEAR(TODAY()),MONTH(TODAY()),1),6))-MONTH(IF(ISNUMBER(Clients!F8),Clients!F8,DATE(YEAR(TODAY()),MONTH(TODAY()),1))),6)=0,1,0),IF(Clients!E8="Annual",IF(MOD((YEAR(EDATE(DATE(YEAR(TODAY()),MONTH(TODAY()),1),6))-YEAR(IF(ISNUMBER(Clients!F8),Clients!F8,DATE(YEAR(TODAY()),MONTH(TODAY()),1))))*12+MONTH(EDATE(DATE(YEAR(TODAY()),MONTH(TODAY()),1),6))-MONTH(IF(ISNUMBER(Clients!F8),Clients!F8,DATE(YEAR(TODAY()),MONTH(TODAY()),1))),12)=0,1,0),IF(Clients!E8="One-time",IF(6=0,1,0),1)))))),"")</f>
        <v/>
      </c>
      <c r="M78" s="10" t="str">
        <f ca="1">IFERROR(IF(OR(7&gt;=$B$1,Clients!A8="",NOT(ISNUMBER(Clients!D8)),Clients!L8="Expired",Clients!L8="Terminate"),"",Clients!D8*1*IF(Clients!E8="Monthly",IF(AND(ISNUMBER(Clients!G8),(YEAR(EDATE(DATE(YEAR(TODAY()),MONTH(TODAY()),1),7))*12+MONTH(EDATE(DATE(YEAR(TODAY()),MONTH(TODAY()),1),7)))&gt;(YEAR(Clients!G8)*12+MONTH(Clients!G8))),"",1),IF(Clients!E8="Quarterly",IF(MOD((YEAR(EDATE(DATE(YEAR(TODAY()),MONTH(TODAY()),1),7))-YEAR(IF(ISNUMBER(Clients!F8),Clients!F8,DATE(YEAR(TODAY()),MONTH(TODAY()),1))))*12+MONTH(EDATE(DATE(YEAR(TODAY()),MONTH(TODAY()),1),7))-MONTH(IF(ISNUMBER(Clients!F8),Clients!F8,DATE(YEAR(TODAY()),MONTH(TODAY()),1))),3)=0,1,0),IF(Clients!E8="Semi-annual",IF(MOD((YEAR(EDATE(DATE(YEAR(TODAY()),MONTH(TODAY()),1),7))-YEAR(IF(ISNUMBER(Clients!F8),Clients!F8,DATE(YEAR(TODAY()),MONTH(TODAY()),1))))*12+MONTH(EDATE(DATE(YEAR(TODAY()),MONTH(TODAY()),1),7))-MONTH(IF(ISNUMBER(Clients!F8),Clients!F8,DATE(YEAR(TODAY()),MONTH(TODAY()),1))),6)=0,1,0),IF(Clients!E8="Annual",IF(MOD((YEAR(EDATE(DATE(YEAR(TODAY()),MONTH(TODAY()),1),7))-YEAR(IF(ISNUMBER(Clients!F8),Clients!F8,DATE(YEAR(TODAY()),MONTH(TODAY()),1))))*12+MONTH(EDATE(DATE(YEAR(TODAY()),MONTH(TODAY()),1),7))-MONTH(IF(ISNUMBER(Clients!F8),Clients!F8,DATE(YEAR(TODAY()),MONTH(TODAY()),1))),12)=0,1,0),IF(Clients!E8="One-time",IF(7=0,1,0),1)))))),"")</f>
        <v/>
      </c>
      <c r="N78" s="10" t="str">
        <f ca="1">IFERROR(IF(OR(8&gt;=$B$1,Clients!A8="",NOT(ISNUMBER(Clients!D8)),Clients!L8="Expired",Clients!L8="Terminate"),"",Clients!D8*1*IF(Clients!E8="Monthly",IF(AND(ISNUMBER(Clients!G8),(YEAR(EDATE(DATE(YEAR(TODAY()),MONTH(TODAY()),1),8))*12+MONTH(EDATE(DATE(YEAR(TODAY()),MONTH(TODAY()),1),8)))&gt;(YEAR(Clients!G8)*12+MONTH(Clients!G8))),"",1),IF(Clients!E8="Quarterly",IF(MOD((YEAR(EDATE(DATE(YEAR(TODAY()),MONTH(TODAY()),1),8))-YEAR(IF(ISNUMBER(Clients!F8),Clients!F8,DATE(YEAR(TODAY()),MONTH(TODAY()),1))))*12+MONTH(EDATE(DATE(YEAR(TODAY()),MONTH(TODAY()),1),8))-MONTH(IF(ISNUMBER(Clients!F8),Clients!F8,DATE(YEAR(TODAY()),MONTH(TODAY()),1))),3)=0,1,0),IF(Clients!E8="Semi-annual",IF(MOD((YEAR(EDATE(DATE(YEAR(TODAY()),MONTH(TODAY()),1),8))-YEAR(IF(ISNUMBER(Clients!F8),Clients!F8,DATE(YEAR(TODAY()),MONTH(TODAY()),1))))*12+MONTH(EDATE(DATE(YEAR(TODAY()),MONTH(TODAY()),1),8))-MONTH(IF(ISNUMBER(Clients!F8),Clients!F8,DATE(YEAR(TODAY()),MONTH(TODAY()),1))),6)=0,1,0),IF(Clients!E8="Annual",IF(MOD((YEAR(EDATE(DATE(YEAR(TODAY()),MONTH(TODAY()),1),8))-YEAR(IF(ISNUMBER(Clients!F8),Clients!F8,DATE(YEAR(TODAY()),MONTH(TODAY()),1))))*12+MONTH(EDATE(DATE(YEAR(TODAY()),MONTH(TODAY()),1),8))-MONTH(IF(ISNUMBER(Clients!F8),Clients!F8,DATE(YEAR(TODAY()),MONTH(TODAY()),1))),12)=0,1,0),IF(Clients!E8="One-time",IF(8=0,1,0),1)))))),"")</f>
        <v/>
      </c>
      <c r="O78" s="10" t="str">
        <f ca="1">IFERROR(IF(OR(9&gt;=$B$1,Clients!A8="",NOT(ISNUMBER(Clients!D8)),Clients!L8="Expired",Clients!L8="Terminate"),"",Clients!D8*1*IF(Clients!E8="Monthly",IF(AND(ISNUMBER(Clients!G8),(YEAR(EDATE(DATE(YEAR(TODAY()),MONTH(TODAY()),1),9))*12+MONTH(EDATE(DATE(YEAR(TODAY()),MONTH(TODAY()),1),9)))&gt;(YEAR(Clients!G8)*12+MONTH(Clients!G8))),"",1),IF(Clients!E8="Quarterly",IF(MOD((YEAR(EDATE(DATE(YEAR(TODAY()),MONTH(TODAY()),1),9))-YEAR(IF(ISNUMBER(Clients!F8),Clients!F8,DATE(YEAR(TODAY()),MONTH(TODAY()),1))))*12+MONTH(EDATE(DATE(YEAR(TODAY()),MONTH(TODAY()),1),9))-MONTH(IF(ISNUMBER(Clients!F8),Clients!F8,DATE(YEAR(TODAY()),MONTH(TODAY()),1))),3)=0,1,0),IF(Clients!E8="Semi-annual",IF(MOD((YEAR(EDATE(DATE(YEAR(TODAY()),MONTH(TODAY()),1),9))-YEAR(IF(ISNUMBER(Clients!F8),Clients!F8,DATE(YEAR(TODAY()),MONTH(TODAY()),1))))*12+MONTH(EDATE(DATE(YEAR(TODAY()),MONTH(TODAY()),1),9))-MONTH(IF(ISNUMBER(Clients!F8),Clients!F8,DATE(YEAR(TODAY()),MONTH(TODAY()),1))),6)=0,1,0),IF(Clients!E8="Annual",IF(MOD((YEAR(EDATE(DATE(YEAR(TODAY()),MONTH(TODAY()),1),9))-YEAR(IF(ISNUMBER(Clients!F8),Clients!F8,DATE(YEAR(TODAY()),MONTH(TODAY()),1))))*12+MONTH(EDATE(DATE(YEAR(TODAY()),MONTH(TODAY()),1),9))-MONTH(IF(ISNUMBER(Clients!F8),Clients!F8,DATE(YEAR(TODAY()),MONTH(TODAY()),1))),12)=0,1,0),IF(Clients!E8="One-time",IF(9=0,1,0),1)))))),"")</f>
        <v/>
      </c>
      <c r="P78" s="10" t="str">
        <f ca="1">IFERROR(IF(OR(10&gt;=$B$1,Clients!A8="",NOT(ISNUMBER(Clients!D8)),Clients!L8="Expired",Clients!L8="Terminate"),"",Clients!D8*1*IF(Clients!E8="Monthly",IF(AND(ISNUMBER(Clients!G8),(YEAR(EDATE(DATE(YEAR(TODAY()),MONTH(TODAY()),1),10))*12+MONTH(EDATE(DATE(YEAR(TODAY()),MONTH(TODAY()),1),10)))&gt;(YEAR(Clients!G8)*12+MONTH(Clients!G8))),"",1),IF(Clients!E8="Quarterly",IF(MOD((YEAR(EDATE(DATE(YEAR(TODAY()),MONTH(TODAY()),1),10))-YEAR(IF(ISNUMBER(Clients!F8),Clients!F8,DATE(YEAR(TODAY()),MONTH(TODAY()),1))))*12+MONTH(EDATE(DATE(YEAR(TODAY()),MONTH(TODAY()),1),10))-MONTH(IF(ISNUMBER(Clients!F8),Clients!F8,DATE(YEAR(TODAY()),MONTH(TODAY()),1))),3)=0,1,0),IF(Clients!E8="Semi-annual",IF(MOD((YEAR(EDATE(DATE(YEAR(TODAY()),MONTH(TODAY()),1),10))-YEAR(IF(ISNUMBER(Clients!F8),Clients!F8,DATE(YEAR(TODAY()),MONTH(TODAY()),1))))*12+MONTH(EDATE(DATE(YEAR(TODAY()),MONTH(TODAY()),1),10))-MONTH(IF(ISNUMBER(Clients!F8),Clients!F8,DATE(YEAR(TODAY()),MONTH(TODAY()),1))),6)=0,1,0),IF(Clients!E8="Annual",IF(MOD((YEAR(EDATE(DATE(YEAR(TODAY()),MONTH(TODAY()),1),10))-YEAR(IF(ISNUMBER(Clients!F8),Clients!F8,DATE(YEAR(TODAY()),MONTH(TODAY()),1))))*12+MONTH(EDATE(DATE(YEAR(TODAY()),MONTH(TODAY()),1),10))-MONTH(IF(ISNUMBER(Clients!F8),Clients!F8,DATE(YEAR(TODAY()),MONTH(TODAY()),1))),12)=0,1,0),IF(Clients!E8="One-time",IF(10=0,1,0),1)))))),"")</f>
        <v/>
      </c>
      <c r="Q78" s="10" t="str">
        <f ca="1">IFERROR(IF(OR(11&gt;=$B$1,Clients!A8="",NOT(ISNUMBER(Clients!D8)),Clients!L8="Expired",Clients!L8="Terminate"),"",Clients!D8*1*IF(Clients!E8="Monthly",IF(AND(ISNUMBER(Clients!G8),(YEAR(EDATE(DATE(YEAR(TODAY()),MONTH(TODAY()),1),11))*12+MONTH(EDATE(DATE(YEAR(TODAY()),MONTH(TODAY()),1),11)))&gt;(YEAR(Clients!G8)*12+MONTH(Clients!G8))),"",1),IF(Clients!E8="Quarterly",IF(MOD((YEAR(EDATE(DATE(YEAR(TODAY()),MONTH(TODAY()),1),11))-YEAR(IF(ISNUMBER(Clients!F8),Clients!F8,DATE(YEAR(TODAY()),MONTH(TODAY()),1))))*12+MONTH(EDATE(DATE(YEAR(TODAY()),MONTH(TODAY()),1),11))-MONTH(IF(ISNUMBER(Clients!F8),Clients!F8,DATE(YEAR(TODAY()),MONTH(TODAY()),1))),3)=0,1,0),IF(Clients!E8="Semi-annual",IF(MOD((YEAR(EDATE(DATE(YEAR(TODAY()),MONTH(TODAY()),1),11))-YEAR(IF(ISNUMBER(Clients!F8),Clients!F8,DATE(YEAR(TODAY()),MONTH(TODAY()),1))))*12+MONTH(EDATE(DATE(YEAR(TODAY()),MONTH(TODAY()),1),11))-MONTH(IF(ISNUMBER(Clients!F8),Clients!F8,DATE(YEAR(TODAY()),MONTH(TODAY()),1))),6)=0,1,0),IF(Clients!E8="Annual",IF(MOD((YEAR(EDATE(DATE(YEAR(TODAY()),MONTH(TODAY()),1),11))-YEAR(IF(ISNUMBER(Clients!F8),Clients!F8,DATE(YEAR(TODAY()),MONTH(TODAY()),1))))*12+MONTH(EDATE(DATE(YEAR(TODAY()),MONTH(TODAY()),1),11))-MONTH(IF(ISNUMBER(Clients!F8),Clients!F8,DATE(YEAR(TODAY()),MONTH(TODAY()),1))),12)=0,1,0),IF(Clients!E8="One-time",IF(11=0,1,0),1)))))),"")</f>
        <v/>
      </c>
      <c r="R78" s="10" t="str">
        <f ca="1">IFERROR(IF(OR(12&gt;=$B$1,Suppliers!A76="",NOT(ISNUMBER(Suppliers!D76)),Suppliers!L76="Expired",Suppliers!L76="Terminate"),"",Suppliers!D76*-1*IF(Suppliers!E76="Monthly",IF(AND(ISNUMBER(Suppliers!G76),(YEAR(EDATE(DATE(YEAR(TODAY()),MONTH(TODAY()),1),12))*12+MONTH(EDATE(DATE(YEAR(TODAY()),MONTH(TODAY()),1),12)))&gt;(YEAR(Suppliers!G76)*12+MONTH(Suppliers!G76))),"",1),IF(Suppliers!E76="Quarterly",IF(MOD((YEAR(EDATE(DATE(YEAR(TODAY()),MONTH(TODAY()),1),12))-YEAR(IF(ISNUMBER(Suppliers!F76),Suppliers!F76,DATE(YEAR(TODAY()),MONTH(TODAY()),1))))*12+MONTH(EDATE(DATE(YEAR(TODAY()),MONTH(TODAY()),1),12))-MONTH(IF(ISNUMBER(Suppliers!F76),Suppliers!F76,DATE(YEAR(TODAY()),MONTH(TODAY()),1))),3)=0,1,0),IF(Suppliers!E76="Semi-annual",IF(MOD((YEAR(EDATE(DATE(YEAR(TODAY()),MONTH(TODAY()),1),12))-YEAR(IF(ISNUMBER(Suppliers!F76),Suppliers!F76,DATE(YEAR(TODAY()),MONTH(TODAY()),1))))*12+MONTH(EDATE(DATE(YEAR(TODAY()),MONTH(TODAY()),1),12))-MONTH(IF(ISNUMBER(Suppliers!F76),Suppliers!F76,DATE(YEAR(TODAY()),MONTH(TODAY()),1))),6)=0,1,0),IF(Suppliers!E76="Annual",IF(MOD((YEAR(EDATE(DATE(YEAR(TODAY()),MONTH(TODAY()),1),12))-YEAR(IF(ISNUMBER(Suppliers!F76),Suppliers!F76,DATE(YEAR(TODAY()),MONTH(TODAY()),1))))*12+MONTH(EDATE(DATE(YEAR(TODAY()),MONTH(TODAY()),1),12))-MONTH(IF(ISNUMBER(Suppliers!F76),Suppliers!F76,DATE(YEAR(TODAY()),MONTH(TODAY()),1))),12)=0,1,0),IF(Suppliers!E76="One-time",IF(12=0,1,0),1)))))),"")</f>
        <v/>
      </c>
      <c r="S78" s="10" t="str">
        <f ca="1">IFERROR(IF(OR(13&gt;=$B$1,Suppliers!A76="",NOT(ISNUMBER(Suppliers!D76)),Suppliers!L76="Expired",Suppliers!L76="Terminate"),"",Suppliers!D76*-1*IF(Suppliers!E76="Monthly",IF(AND(ISNUMBER(Suppliers!G76),(YEAR(EDATE(DATE(YEAR(TODAY()),MONTH(TODAY()),1),13))*12+MONTH(EDATE(DATE(YEAR(TODAY()),MONTH(TODAY()),1),13)))&gt;(YEAR(Suppliers!G76)*12+MONTH(Suppliers!G76))),"",1),IF(Suppliers!E76="Quarterly",IF(MOD((YEAR(EDATE(DATE(YEAR(TODAY()),MONTH(TODAY()),1),13))-YEAR(IF(ISNUMBER(Suppliers!F76),Suppliers!F76,DATE(YEAR(TODAY()),MONTH(TODAY()),1))))*12+MONTH(EDATE(DATE(YEAR(TODAY()),MONTH(TODAY()),1),13))-MONTH(IF(ISNUMBER(Suppliers!F76),Suppliers!F76,DATE(YEAR(TODAY()),MONTH(TODAY()),1))),3)=0,1,0),IF(Suppliers!E76="Semi-annual",IF(MOD((YEAR(EDATE(DATE(YEAR(TODAY()),MONTH(TODAY()),1),13))-YEAR(IF(ISNUMBER(Suppliers!F76),Suppliers!F76,DATE(YEAR(TODAY()),MONTH(TODAY()),1))))*12+MONTH(EDATE(DATE(YEAR(TODAY()),MONTH(TODAY()),1),13))-MONTH(IF(ISNUMBER(Suppliers!F76),Suppliers!F76,DATE(YEAR(TODAY()),MONTH(TODAY()),1))),6)=0,1,0),IF(Suppliers!E76="Annual",IF(MOD((YEAR(EDATE(DATE(YEAR(TODAY()),MONTH(TODAY()),1),13))-YEAR(IF(ISNUMBER(Suppliers!F76),Suppliers!F76,DATE(YEAR(TODAY()),MONTH(TODAY()),1))))*12+MONTH(EDATE(DATE(YEAR(TODAY()),MONTH(TODAY()),1),13))-MONTH(IF(ISNUMBER(Suppliers!F76),Suppliers!F76,DATE(YEAR(TODAY()),MONTH(TODAY()),1))),12)=0,1,0),IF(Suppliers!E76="One-time",IF(13=0,1,0),1)))))),"")</f>
        <v/>
      </c>
      <c r="T78" s="10" t="str">
        <f ca="1">IFERROR(IF(OR(14&gt;=$B$1,Suppliers!A76="",NOT(ISNUMBER(Suppliers!D76)),Suppliers!L76="Expired",Suppliers!L76="Terminate"),"",Suppliers!D76*-1*IF(Suppliers!E76="Monthly",IF(AND(ISNUMBER(Suppliers!G76),(YEAR(EDATE(DATE(YEAR(TODAY()),MONTH(TODAY()),1),14))*12+MONTH(EDATE(DATE(YEAR(TODAY()),MONTH(TODAY()),1),14)))&gt;(YEAR(Suppliers!G76)*12+MONTH(Suppliers!G76))),"",1),IF(Suppliers!E76="Quarterly",IF(MOD((YEAR(EDATE(DATE(YEAR(TODAY()),MONTH(TODAY()),1),14))-YEAR(IF(ISNUMBER(Suppliers!F76),Suppliers!F76,DATE(YEAR(TODAY()),MONTH(TODAY()),1))))*12+MONTH(EDATE(DATE(YEAR(TODAY()),MONTH(TODAY()),1),14))-MONTH(IF(ISNUMBER(Suppliers!F76),Suppliers!F76,DATE(YEAR(TODAY()),MONTH(TODAY()),1))),3)=0,1,0),IF(Suppliers!E76="Semi-annual",IF(MOD((YEAR(EDATE(DATE(YEAR(TODAY()),MONTH(TODAY()),1),14))-YEAR(IF(ISNUMBER(Suppliers!F76),Suppliers!F76,DATE(YEAR(TODAY()),MONTH(TODAY()),1))))*12+MONTH(EDATE(DATE(YEAR(TODAY()),MONTH(TODAY()),1),14))-MONTH(IF(ISNUMBER(Suppliers!F76),Suppliers!F76,DATE(YEAR(TODAY()),MONTH(TODAY()),1))),6)=0,1,0),IF(Suppliers!E76="Annual",IF(MOD((YEAR(EDATE(DATE(YEAR(TODAY()),MONTH(TODAY()),1),14))-YEAR(IF(ISNUMBER(Suppliers!F76),Suppliers!F76,DATE(YEAR(TODAY()),MONTH(TODAY()),1))))*12+MONTH(EDATE(DATE(YEAR(TODAY()),MONTH(TODAY()),1),14))-MONTH(IF(ISNUMBER(Suppliers!F76),Suppliers!F76,DATE(YEAR(TODAY()),MONTH(TODAY()),1))),12)=0,1,0),IF(Suppliers!E76="One-time",IF(14=0,1,0),1)))))),"")</f>
        <v/>
      </c>
      <c r="U78" s="10" t="str">
        <f ca="1">IFERROR(IF(OR(15&gt;=$B$1,Suppliers!A76="",NOT(ISNUMBER(Suppliers!D76)),Suppliers!L76="Expired",Suppliers!L76="Terminate"),"",Suppliers!D76*-1*IF(Suppliers!E76="Monthly",IF(AND(ISNUMBER(Suppliers!G76),(YEAR(EDATE(DATE(YEAR(TODAY()),MONTH(TODAY()),1),15))*12+MONTH(EDATE(DATE(YEAR(TODAY()),MONTH(TODAY()),1),15)))&gt;(YEAR(Suppliers!G76)*12+MONTH(Suppliers!G76))),"",1),IF(Suppliers!E76="Quarterly",IF(MOD((YEAR(EDATE(DATE(YEAR(TODAY()),MONTH(TODAY()),1),15))-YEAR(IF(ISNUMBER(Suppliers!F76),Suppliers!F76,DATE(YEAR(TODAY()),MONTH(TODAY()),1))))*12+MONTH(EDATE(DATE(YEAR(TODAY()),MONTH(TODAY()),1),15))-MONTH(IF(ISNUMBER(Suppliers!F76),Suppliers!F76,DATE(YEAR(TODAY()),MONTH(TODAY()),1))),3)=0,1,0),IF(Suppliers!E76="Semi-annual",IF(MOD((YEAR(EDATE(DATE(YEAR(TODAY()),MONTH(TODAY()),1),15))-YEAR(IF(ISNUMBER(Suppliers!F76),Suppliers!F76,DATE(YEAR(TODAY()),MONTH(TODAY()),1))))*12+MONTH(EDATE(DATE(YEAR(TODAY()),MONTH(TODAY()),1),15))-MONTH(IF(ISNUMBER(Suppliers!F76),Suppliers!F76,DATE(YEAR(TODAY()),MONTH(TODAY()),1))),6)=0,1,0),IF(Suppliers!E76="Annual",IF(MOD((YEAR(EDATE(DATE(YEAR(TODAY()),MONTH(TODAY()),1),15))-YEAR(IF(ISNUMBER(Suppliers!F76),Suppliers!F76,DATE(YEAR(TODAY()),MONTH(TODAY()),1))))*12+MONTH(EDATE(DATE(YEAR(TODAY()),MONTH(TODAY()),1),15))-MONTH(IF(ISNUMBER(Suppliers!F76),Suppliers!F76,DATE(YEAR(TODAY()),MONTH(TODAY()),1))),12)=0,1,0),IF(Suppliers!E76="One-time",IF(15=0,1,0),1)))))),"")</f>
        <v/>
      </c>
      <c r="V78" s="10" t="str">
        <f ca="1">IFERROR(IF(OR(16&gt;=$B$1,Suppliers!A76="",NOT(ISNUMBER(Suppliers!D76)),Suppliers!L76="Expired",Suppliers!L76="Terminate"),"",Suppliers!D76*-1*IF(Suppliers!E76="Monthly",IF(AND(ISNUMBER(Suppliers!G76),(YEAR(EDATE(DATE(YEAR(TODAY()),MONTH(TODAY()),1),16))*12+MONTH(EDATE(DATE(YEAR(TODAY()),MONTH(TODAY()),1),16)))&gt;(YEAR(Suppliers!G76)*12+MONTH(Suppliers!G76))),"",1),IF(Suppliers!E76="Quarterly",IF(MOD((YEAR(EDATE(DATE(YEAR(TODAY()),MONTH(TODAY()),1),16))-YEAR(IF(ISNUMBER(Suppliers!F76),Suppliers!F76,DATE(YEAR(TODAY()),MONTH(TODAY()),1))))*12+MONTH(EDATE(DATE(YEAR(TODAY()),MONTH(TODAY()),1),16))-MONTH(IF(ISNUMBER(Suppliers!F76),Suppliers!F76,DATE(YEAR(TODAY()),MONTH(TODAY()),1))),3)=0,1,0),IF(Suppliers!E76="Semi-annual",IF(MOD((YEAR(EDATE(DATE(YEAR(TODAY()),MONTH(TODAY()),1),16))-YEAR(IF(ISNUMBER(Suppliers!F76),Suppliers!F76,DATE(YEAR(TODAY()),MONTH(TODAY()),1))))*12+MONTH(EDATE(DATE(YEAR(TODAY()),MONTH(TODAY()),1),16))-MONTH(IF(ISNUMBER(Suppliers!F76),Suppliers!F76,DATE(YEAR(TODAY()),MONTH(TODAY()),1))),6)=0,1,0),IF(Suppliers!E76="Annual",IF(MOD((YEAR(EDATE(DATE(YEAR(TODAY()),MONTH(TODAY()),1),16))-YEAR(IF(ISNUMBER(Suppliers!F76),Suppliers!F76,DATE(YEAR(TODAY()),MONTH(TODAY()),1))))*12+MONTH(EDATE(DATE(YEAR(TODAY()),MONTH(TODAY()),1),16))-MONTH(IF(ISNUMBER(Suppliers!F76),Suppliers!F76,DATE(YEAR(TODAY()),MONTH(TODAY()),1))),12)=0,1,0),IF(Suppliers!E76="One-time",IF(16=0,1,0),1)))))),"")</f>
        <v/>
      </c>
      <c r="W78" s="10" t="str">
        <f ca="1">IFERROR(IF(OR(17&gt;=$B$1,Suppliers!A76="",NOT(ISNUMBER(Suppliers!D76)),Suppliers!L76="Expired",Suppliers!L76="Terminate"),"",Suppliers!D76*-1*IF(Suppliers!E76="Monthly",IF(AND(ISNUMBER(Suppliers!G76),(YEAR(EDATE(DATE(YEAR(TODAY()),MONTH(TODAY()),1),17))*12+MONTH(EDATE(DATE(YEAR(TODAY()),MONTH(TODAY()),1),17)))&gt;(YEAR(Suppliers!G76)*12+MONTH(Suppliers!G76))),"",1),IF(Suppliers!E76="Quarterly",IF(MOD((YEAR(EDATE(DATE(YEAR(TODAY()),MONTH(TODAY()),1),17))-YEAR(IF(ISNUMBER(Suppliers!F76),Suppliers!F76,DATE(YEAR(TODAY()),MONTH(TODAY()),1))))*12+MONTH(EDATE(DATE(YEAR(TODAY()),MONTH(TODAY()),1),17))-MONTH(IF(ISNUMBER(Suppliers!F76),Suppliers!F76,DATE(YEAR(TODAY()),MONTH(TODAY()),1))),3)=0,1,0),IF(Suppliers!E76="Semi-annual",IF(MOD((YEAR(EDATE(DATE(YEAR(TODAY()),MONTH(TODAY()),1),17))-YEAR(IF(ISNUMBER(Suppliers!F76),Suppliers!F76,DATE(YEAR(TODAY()),MONTH(TODAY()),1))))*12+MONTH(EDATE(DATE(YEAR(TODAY()),MONTH(TODAY()),1),17))-MONTH(IF(ISNUMBER(Suppliers!F76),Suppliers!F76,DATE(YEAR(TODAY()),MONTH(TODAY()),1))),6)=0,1,0),IF(Suppliers!E76="Annual",IF(MOD((YEAR(EDATE(DATE(YEAR(TODAY()),MONTH(TODAY()),1),17))-YEAR(IF(ISNUMBER(Suppliers!F76),Suppliers!F76,DATE(YEAR(TODAY()),MONTH(TODAY()),1))))*12+MONTH(EDATE(DATE(YEAR(TODAY()),MONTH(TODAY()),1),17))-MONTH(IF(ISNUMBER(Suppliers!F76),Suppliers!F76,DATE(YEAR(TODAY()),MONTH(TODAY()),1))),12)=0,1,0),IF(Suppliers!E76="One-time",IF(17=0,1,0),1)))))),"")</f>
        <v/>
      </c>
      <c r="X78" s="10" t="str">
        <f ca="1">IFERROR(IF(OR(18&gt;=$B$1,Suppliers!A76="",NOT(ISNUMBER(Suppliers!D76)),Suppliers!L76="Expired",Suppliers!L76="Terminate"),"",Suppliers!D76*-1*IF(Suppliers!E76="Monthly",IF(AND(ISNUMBER(Suppliers!G76),(YEAR(EDATE(DATE(YEAR(TODAY()),MONTH(TODAY()),1),18))*12+MONTH(EDATE(DATE(YEAR(TODAY()),MONTH(TODAY()),1),18)))&gt;(YEAR(Suppliers!G76)*12+MONTH(Suppliers!G76))),"",1),IF(Suppliers!E76="Quarterly",IF(MOD((YEAR(EDATE(DATE(YEAR(TODAY()),MONTH(TODAY()),1),18))-YEAR(IF(ISNUMBER(Suppliers!F76),Suppliers!F76,DATE(YEAR(TODAY()),MONTH(TODAY()),1))))*12+MONTH(EDATE(DATE(YEAR(TODAY()),MONTH(TODAY()),1),18))-MONTH(IF(ISNUMBER(Suppliers!F76),Suppliers!F76,DATE(YEAR(TODAY()),MONTH(TODAY()),1))),3)=0,1,0),IF(Suppliers!E76="Semi-annual",IF(MOD((YEAR(EDATE(DATE(YEAR(TODAY()),MONTH(TODAY()),1),18))-YEAR(IF(ISNUMBER(Suppliers!F76),Suppliers!F76,DATE(YEAR(TODAY()),MONTH(TODAY()),1))))*12+MONTH(EDATE(DATE(YEAR(TODAY()),MONTH(TODAY()),1),18))-MONTH(IF(ISNUMBER(Suppliers!F76),Suppliers!F76,DATE(YEAR(TODAY()),MONTH(TODAY()),1))),6)=0,1,0),IF(Suppliers!E76="Annual",IF(MOD((YEAR(EDATE(DATE(YEAR(TODAY()),MONTH(TODAY()),1),18))-YEAR(IF(ISNUMBER(Suppliers!F76),Suppliers!F76,DATE(YEAR(TODAY()),MONTH(TODAY()),1))))*12+MONTH(EDATE(DATE(YEAR(TODAY()),MONTH(TODAY()),1),18))-MONTH(IF(ISNUMBER(Suppliers!F76),Suppliers!F76,DATE(YEAR(TODAY()),MONTH(TODAY()),1))),12)=0,1,0),IF(Suppliers!E76="One-time",IF(18=0,1,0),1)))))),"")</f>
        <v/>
      </c>
      <c r="Y78" s="10" t="str">
        <f ca="1">IFERROR(IF(OR(19&gt;=$B$1,Suppliers!A76="",NOT(ISNUMBER(Suppliers!D76)),Suppliers!L76="Expired",Suppliers!L76="Terminate"),"",Suppliers!D76*-1*IF(Suppliers!E76="Monthly",IF(AND(ISNUMBER(Suppliers!G76),(YEAR(EDATE(DATE(YEAR(TODAY()),MONTH(TODAY()),1),19))*12+MONTH(EDATE(DATE(YEAR(TODAY()),MONTH(TODAY()),1),19)))&gt;(YEAR(Suppliers!G76)*12+MONTH(Suppliers!G76))),"",1),IF(Suppliers!E76="Quarterly",IF(MOD((YEAR(EDATE(DATE(YEAR(TODAY()),MONTH(TODAY()),1),19))-YEAR(IF(ISNUMBER(Suppliers!F76),Suppliers!F76,DATE(YEAR(TODAY()),MONTH(TODAY()),1))))*12+MONTH(EDATE(DATE(YEAR(TODAY()),MONTH(TODAY()),1),19))-MONTH(IF(ISNUMBER(Suppliers!F76),Suppliers!F76,DATE(YEAR(TODAY()),MONTH(TODAY()),1))),3)=0,1,0),IF(Suppliers!E76="Semi-annual",IF(MOD((YEAR(EDATE(DATE(YEAR(TODAY()),MONTH(TODAY()),1),19))-YEAR(IF(ISNUMBER(Suppliers!F76),Suppliers!F76,DATE(YEAR(TODAY()),MONTH(TODAY()),1))))*12+MONTH(EDATE(DATE(YEAR(TODAY()),MONTH(TODAY()),1),19))-MONTH(IF(ISNUMBER(Suppliers!F76),Suppliers!F76,DATE(YEAR(TODAY()),MONTH(TODAY()),1))),6)=0,1,0),IF(Suppliers!E76="Annual",IF(MOD((YEAR(EDATE(DATE(YEAR(TODAY()),MONTH(TODAY()),1),19))-YEAR(IF(ISNUMBER(Suppliers!F76),Suppliers!F76,DATE(YEAR(TODAY()),MONTH(TODAY()),1))))*12+MONTH(EDATE(DATE(YEAR(TODAY()),MONTH(TODAY()),1),19))-MONTH(IF(ISNUMBER(Suppliers!F76),Suppliers!F76,DATE(YEAR(TODAY()),MONTH(TODAY()),1))),12)=0,1,0),IF(Suppliers!E76="One-time",IF(19=0,1,0),1)))))),"")</f>
        <v/>
      </c>
      <c r="Z78" s="10" t="str">
        <f ca="1">IFERROR(IF(OR(20&gt;=$B$1,Suppliers!A76="",NOT(ISNUMBER(Suppliers!D76)),Suppliers!L76="Expired",Suppliers!L76="Terminate"),"",Suppliers!D76*-1*IF(Suppliers!E76="Monthly",IF(AND(ISNUMBER(Suppliers!G76),(YEAR(EDATE(DATE(YEAR(TODAY()),MONTH(TODAY()),1),20))*12+MONTH(EDATE(DATE(YEAR(TODAY()),MONTH(TODAY()),1),20)))&gt;(YEAR(Suppliers!G76)*12+MONTH(Suppliers!G76))),"",1),IF(Suppliers!E76="Quarterly",IF(MOD((YEAR(EDATE(DATE(YEAR(TODAY()),MONTH(TODAY()),1),20))-YEAR(IF(ISNUMBER(Suppliers!F76),Suppliers!F76,DATE(YEAR(TODAY()),MONTH(TODAY()),1))))*12+MONTH(EDATE(DATE(YEAR(TODAY()),MONTH(TODAY()),1),20))-MONTH(IF(ISNUMBER(Suppliers!F76),Suppliers!F76,DATE(YEAR(TODAY()),MONTH(TODAY()),1))),3)=0,1,0),IF(Suppliers!E76="Semi-annual",IF(MOD((YEAR(EDATE(DATE(YEAR(TODAY()),MONTH(TODAY()),1),20))-YEAR(IF(ISNUMBER(Suppliers!F76),Suppliers!F76,DATE(YEAR(TODAY()),MONTH(TODAY()),1))))*12+MONTH(EDATE(DATE(YEAR(TODAY()),MONTH(TODAY()),1),20))-MONTH(IF(ISNUMBER(Suppliers!F76),Suppliers!F76,DATE(YEAR(TODAY()),MONTH(TODAY()),1))),6)=0,1,0),IF(Suppliers!E76="Annual",IF(MOD((YEAR(EDATE(DATE(YEAR(TODAY()),MONTH(TODAY()),1),20))-YEAR(IF(ISNUMBER(Suppliers!F76),Suppliers!F76,DATE(YEAR(TODAY()),MONTH(TODAY()),1))))*12+MONTH(EDATE(DATE(YEAR(TODAY()),MONTH(TODAY()),1),20))-MONTH(IF(ISNUMBER(Suppliers!F76),Suppliers!F76,DATE(YEAR(TODAY()),MONTH(TODAY()),1))),12)=0,1,0),IF(Suppliers!E76="One-time",IF(20=0,1,0),1)))))),"")</f>
        <v/>
      </c>
      <c r="AA78" s="10" t="str">
        <f ca="1">IFERROR(IF(OR(21&gt;=$B$1,Suppliers!A76="",NOT(ISNUMBER(Suppliers!D76)),Suppliers!L76="Expired",Suppliers!L76="Terminate"),"",Suppliers!D76*-1*IF(Suppliers!E76="Monthly",IF(AND(ISNUMBER(Suppliers!G76),(YEAR(EDATE(DATE(YEAR(TODAY()),MONTH(TODAY()),1),21))*12+MONTH(EDATE(DATE(YEAR(TODAY()),MONTH(TODAY()),1),21)))&gt;(YEAR(Suppliers!G76)*12+MONTH(Suppliers!G76))),"",1),IF(Suppliers!E76="Quarterly",IF(MOD((YEAR(EDATE(DATE(YEAR(TODAY()),MONTH(TODAY()),1),21))-YEAR(IF(ISNUMBER(Suppliers!F76),Suppliers!F76,DATE(YEAR(TODAY()),MONTH(TODAY()),1))))*12+MONTH(EDATE(DATE(YEAR(TODAY()),MONTH(TODAY()),1),21))-MONTH(IF(ISNUMBER(Suppliers!F76),Suppliers!F76,DATE(YEAR(TODAY()),MONTH(TODAY()),1))),3)=0,1,0),IF(Suppliers!E76="Semi-annual",IF(MOD((YEAR(EDATE(DATE(YEAR(TODAY()),MONTH(TODAY()),1),21))-YEAR(IF(ISNUMBER(Suppliers!F76),Suppliers!F76,DATE(YEAR(TODAY()),MONTH(TODAY()),1))))*12+MONTH(EDATE(DATE(YEAR(TODAY()),MONTH(TODAY()),1),21))-MONTH(IF(ISNUMBER(Suppliers!F76),Suppliers!F76,DATE(YEAR(TODAY()),MONTH(TODAY()),1))),6)=0,1,0),IF(Suppliers!E76="Annual",IF(MOD((YEAR(EDATE(DATE(YEAR(TODAY()),MONTH(TODAY()),1),21))-YEAR(IF(ISNUMBER(Suppliers!F76),Suppliers!F76,DATE(YEAR(TODAY()),MONTH(TODAY()),1))))*12+MONTH(EDATE(DATE(YEAR(TODAY()),MONTH(TODAY()),1),21))-MONTH(IF(ISNUMBER(Suppliers!F76),Suppliers!F76,DATE(YEAR(TODAY()),MONTH(TODAY()),1))),12)=0,1,0),IF(Suppliers!E76="One-time",IF(21=0,1,0),1)))))),"")</f>
        <v/>
      </c>
      <c r="AB78" s="10" t="str">
        <f ca="1">IFERROR(IF(OR(22&gt;=$B$1,Suppliers!A76="",NOT(ISNUMBER(Suppliers!D76)),Suppliers!L76="Expired",Suppliers!L76="Terminate"),"",Suppliers!D76*-1*IF(Suppliers!E76="Monthly",IF(AND(ISNUMBER(Suppliers!G76),(YEAR(EDATE(DATE(YEAR(TODAY()),MONTH(TODAY()),1),22))*12+MONTH(EDATE(DATE(YEAR(TODAY()),MONTH(TODAY()),1),22)))&gt;(YEAR(Suppliers!G76)*12+MONTH(Suppliers!G76))),"",1),IF(Suppliers!E76="Quarterly",IF(MOD((YEAR(EDATE(DATE(YEAR(TODAY()),MONTH(TODAY()),1),22))-YEAR(IF(ISNUMBER(Suppliers!F76),Suppliers!F76,DATE(YEAR(TODAY()),MONTH(TODAY()),1))))*12+MONTH(EDATE(DATE(YEAR(TODAY()),MONTH(TODAY()),1),22))-MONTH(IF(ISNUMBER(Suppliers!F76),Suppliers!F76,DATE(YEAR(TODAY()),MONTH(TODAY()),1))),3)=0,1,0),IF(Suppliers!E76="Semi-annual",IF(MOD((YEAR(EDATE(DATE(YEAR(TODAY()),MONTH(TODAY()),1),22))-YEAR(IF(ISNUMBER(Suppliers!F76),Suppliers!F76,DATE(YEAR(TODAY()),MONTH(TODAY()),1))))*12+MONTH(EDATE(DATE(YEAR(TODAY()),MONTH(TODAY()),1),22))-MONTH(IF(ISNUMBER(Suppliers!F76),Suppliers!F76,DATE(YEAR(TODAY()),MONTH(TODAY()),1))),6)=0,1,0),IF(Suppliers!E76="Annual",IF(MOD((YEAR(EDATE(DATE(YEAR(TODAY()),MONTH(TODAY()),1),22))-YEAR(IF(ISNUMBER(Suppliers!F76),Suppliers!F76,DATE(YEAR(TODAY()),MONTH(TODAY()),1))))*12+MONTH(EDATE(DATE(YEAR(TODAY()),MONTH(TODAY()),1),22))-MONTH(IF(ISNUMBER(Suppliers!F76),Suppliers!F76,DATE(YEAR(TODAY()),MONTH(TODAY()),1))),12)=0,1,0),IF(Suppliers!E76="One-time",IF(22=0,1,0),1)))))),"")</f>
        <v/>
      </c>
      <c r="AC78" s="10" t="str">
        <f ca="1">IFERROR(IF(OR(23&gt;=$B$1,Suppliers!A76="",NOT(ISNUMBER(Suppliers!D76)),Suppliers!L76="Expired",Suppliers!L76="Terminate"),"",Suppliers!D76*-1*IF(Suppliers!E76="Monthly",IF(AND(ISNUMBER(Suppliers!G76),(YEAR(EDATE(DATE(YEAR(TODAY()),MONTH(TODAY()),1),23))*12+MONTH(EDATE(DATE(YEAR(TODAY()),MONTH(TODAY()),1),23)))&gt;(YEAR(Suppliers!G76)*12+MONTH(Suppliers!G76))),"",1),IF(Suppliers!E76="Quarterly",IF(MOD((YEAR(EDATE(DATE(YEAR(TODAY()),MONTH(TODAY()),1),23))-YEAR(IF(ISNUMBER(Suppliers!F76),Suppliers!F76,DATE(YEAR(TODAY()),MONTH(TODAY()),1))))*12+MONTH(EDATE(DATE(YEAR(TODAY()),MONTH(TODAY()),1),23))-MONTH(IF(ISNUMBER(Suppliers!F76),Suppliers!F76,DATE(YEAR(TODAY()),MONTH(TODAY()),1))),3)=0,1,0),IF(Suppliers!E76="Semi-annual",IF(MOD((YEAR(EDATE(DATE(YEAR(TODAY()),MONTH(TODAY()),1),23))-YEAR(IF(ISNUMBER(Suppliers!F76),Suppliers!F76,DATE(YEAR(TODAY()),MONTH(TODAY()),1))))*12+MONTH(EDATE(DATE(YEAR(TODAY()),MONTH(TODAY()),1),23))-MONTH(IF(ISNUMBER(Suppliers!F76),Suppliers!F76,DATE(YEAR(TODAY()),MONTH(TODAY()),1))),6)=0,1,0),IF(Suppliers!E76="Annual",IF(MOD((YEAR(EDATE(DATE(YEAR(TODAY()),MONTH(TODAY()),1),23))-YEAR(IF(ISNUMBER(Suppliers!F76),Suppliers!F76,DATE(YEAR(TODAY()),MONTH(TODAY()),1))))*12+MONTH(EDATE(DATE(YEAR(TODAY()),MONTH(TODAY()),1),23))-MONTH(IF(ISNUMBER(Suppliers!F76),Suppliers!F76,DATE(YEAR(TODAY()),MONTH(TODAY()),1))),12)=0,1,0),IF(Suppliers!E76="One-time",IF(23=0,1,0),1)))))),"")</f>
        <v/>
      </c>
    </row>
    <row r="79" spans="1:29" ht="15" customHeight="1" x14ac:dyDescent="0.35">
      <c r="A79" s="4" t="s">
        <v>81</v>
      </c>
      <c r="B79" s="4" t="str">
        <f>IF(Clients!A9="","",Clients!A9)</f>
        <v/>
      </c>
      <c r="C79" s="10" t="str">
        <f>IF(Clients!C9="","",Clients!C9)</f>
        <v/>
      </c>
      <c r="D79" s="10" t="str">
        <f>IF(Clients!D9="","",Clients!D9)</f>
        <v/>
      </c>
      <c r="E79" s="4" t="str">
        <f>IF(Clients!E9="","",Clients!E9)</f>
        <v/>
      </c>
      <c r="F79" s="10" t="str">
        <f ca="1">IFERROR(IF(OR(0&gt;=$B$1,Clients!A9="",NOT(ISNUMBER(Clients!D9)),Clients!L9="Expired",Clients!L9="Terminate"),"",Clients!D9*1*IF(Clients!E9="Monthly",IF(AND(ISNUMBER(Clients!G9),(YEAR(EDATE(DATE(YEAR(TODAY()),MONTH(TODAY()),1),0))*12+MONTH(EDATE(DATE(YEAR(TODAY()),MONTH(TODAY()),1),0)))&gt;(YEAR(Clients!G9)*12+MONTH(Clients!G9))),"",1),IF(Clients!E9="Quarterly",IF(MOD((YEAR(EDATE(DATE(YEAR(TODAY()),MONTH(TODAY()),1),0))-YEAR(IF(ISNUMBER(Clients!F9),Clients!F9,DATE(YEAR(TODAY()),MONTH(TODAY()),1))))*12+MONTH(EDATE(DATE(YEAR(TODAY()),MONTH(TODAY()),1),0))-MONTH(IF(ISNUMBER(Clients!F9),Clients!F9,DATE(YEAR(TODAY()),MONTH(TODAY()),1))),3)=0,1,0),IF(Clients!E9="Semi-annual",IF(MOD((YEAR(EDATE(DATE(YEAR(TODAY()),MONTH(TODAY()),1),0))-YEAR(IF(ISNUMBER(Clients!F9),Clients!F9,DATE(YEAR(TODAY()),MONTH(TODAY()),1))))*12+MONTH(EDATE(DATE(YEAR(TODAY()),MONTH(TODAY()),1),0))-MONTH(IF(ISNUMBER(Clients!F9),Clients!F9,DATE(YEAR(TODAY()),MONTH(TODAY()),1))),6)=0,1,0),IF(Clients!E9="Annual",IF(MOD((YEAR(EDATE(DATE(YEAR(TODAY()),MONTH(TODAY()),1),0))-YEAR(IF(ISNUMBER(Clients!F9),Clients!F9,DATE(YEAR(TODAY()),MONTH(TODAY()),1))))*12+MONTH(EDATE(DATE(YEAR(TODAY()),MONTH(TODAY()),1),0))-MONTH(IF(ISNUMBER(Clients!F9),Clients!F9,DATE(YEAR(TODAY()),MONTH(TODAY()),1))),12)=0,1,0),IF(Clients!E9="One-time",IF(0=0,1,0),1)))))),"")</f>
        <v/>
      </c>
      <c r="G79" s="10" t="str">
        <f ca="1">IFERROR(IF(OR(1&gt;=$B$1,Clients!A9="",NOT(ISNUMBER(Clients!D9)),Clients!L9="Expired",Clients!L9="Terminate"),"",Clients!D9*1*IF(Clients!E9="Monthly",IF(AND(ISNUMBER(Clients!G9),(YEAR(EDATE(DATE(YEAR(TODAY()),MONTH(TODAY()),1),1))*12+MONTH(EDATE(DATE(YEAR(TODAY()),MONTH(TODAY()),1),1)))&gt;(YEAR(Clients!G9)*12+MONTH(Clients!G9))),"",1),IF(Clients!E9="Quarterly",IF(MOD((YEAR(EDATE(DATE(YEAR(TODAY()),MONTH(TODAY()),1),1))-YEAR(IF(ISNUMBER(Clients!F9),Clients!F9,DATE(YEAR(TODAY()),MONTH(TODAY()),1))))*12+MONTH(EDATE(DATE(YEAR(TODAY()),MONTH(TODAY()),1),1))-MONTH(IF(ISNUMBER(Clients!F9),Clients!F9,DATE(YEAR(TODAY()),MONTH(TODAY()),1))),3)=0,1,0),IF(Clients!E9="Semi-annual",IF(MOD((YEAR(EDATE(DATE(YEAR(TODAY()),MONTH(TODAY()),1),1))-YEAR(IF(ISNUMBER(Clients!F9),Clients!F9,DATE(YEAR(TODAY()),MONTH(TODAY()),1))))*12+MONTH(EDATE(DATE(YEAR(TODAY()),MONTH(TODAY()),1),1))-MONTH(IF(ISNUMBER(Clients!F9),Clients!F9,DATE(YEAR(TODAY()),MONTH(TODAY()),1))),6)=0,1,0),IF(Clients!E9="Annual",IF(MOD((YEAR(EDATE(DATE(YEAR(TODAY()),MONTH(TODAY()),1),1))-YEAR(IF(ISNUMBER(Clients!F9),Clients!F9,DATE(YEAR(TODAY()),MONTH(TODAY()),1))))*12+MONTH(EDATE(DATE(YEAR(TODAY()),MONTH(TODAY()),1),1))-MONTH(IF(ISNUMBER(Clients!F9),Clients!F9,DATE(YEAR(TODAY()),MONTH(TODAY()),1))),12)=0,1,0),IF(Clients!E9="One-time",IF(1=0,1,0),1)))))),"")</f>
        <v/>
      </c>
      <c r="H79" s="10" t="str">
        <f ca="1">IFERROR(IF(OR(2&gt;=$B$1,Clients!A9="",NOT(ISNUMBER(Clients!D9)),Clients!L9="Expired",Clients!L9="Terminate"),"",Clients!D9*1*IF(Clients!E9="Monthly",IF(AND(ISNUMBER(Clients!G9),(YEAR(EDATE(DATE(YEAR(TODAY()),MONTH(TODAY()),1),2))*12+MONTH(EDATE(DATE(YEAR(TODAY()),MONTH(TODAY()),1),2)))&gt;(YEAR(Clients!G9)*12+MONTH(Clients!G9))),"",1),IF(Clients!E9="Quarterly",IF(MOD((YEAR(EDATE(DATE(YEAR(TODAY()),MONTH(TODAY()),1),2))-YEAR(IF(ISNUMBER(Clients!F9),Clients!F9,DATE(YEAR(TODAY()),MONTH(TODAY()),1))))*12+MONTH(EDATE(DATE(YEAR(TODAY()),MONTH(TODAY()),1),2))-MONTH(IF(ISNUMBER(Clients!F9),Clients!F9,DATE(YEAR(TODAY()),MONTH(TODAY()),1))),3)=0,1,0),IF(Clients!E9="Semi-annual",IF(MOD((YEAR(EDATE(DATE(YEAR(TODAY()),MONTH(TODAY()),1),2))-YEAR(IF(ISNUMBER(Clients!F9),Clients!F9,DATE(YEAR(TODAY()),MONTH(TODAY()),1))))*12+MONTH(EDATE(DATE(YEAR(TODAY()),MONTH(TODAY()),1),2))-MONTH(IF(ISNUMBER(Clients!F9),Clients!F9,DATE(YEAR(TODAY()),MONTH(TODAY()),1))),6)=0,1,0),IF(Clients!E9="Annual",IF(MOD((YEAR(EDATE(DATE(YEAR(TODAY()),MONTH(TODAY()),1),2))-YEAR(IF(ISNUMBER(Clients!F9),Clients!F9,DATE(YEAR(TODAY()),MONTH(TODAY()),1))))*12+MONTH(EDATE(DATE(YEAR(TODAY()),MONTH(TODAY()),1),2))-MONTH(IF(ISNUMBER(Clients!F9),Clients!F9,DATE(YEAR(TODAY()),MONTH(TODAY()),1))),12)=0,1,0),IF(Clients!E9="One-time",IF(2=0,1,0),1)))))),"")</f>
        <v/>
      </c>
      <c r="I79" s="10" t="str">
        <f ca="1">IFERROR(IF(OR(3&gt;=$B$1,Clients!A9="",NOT(ISNUMBER(Clients!D9)),Clients!L9="Expired",Clients!L9="Terminate"),"",Clients!D9*1*IF(Clients!E9="Monthly",IF(AND(ISNUMBER(Clients!G9),(YEAR(EDATE(DATE(YEAR(TODAY()),MONTH(TODAY()),1),3))*12+MONTH(EDATE(DATE(YEAR(TODAY()),MONTH(TODAY()),1),3)))&gt;(YEAR(Clients!G9)*12+MONTH(Clients!G9))),"",1),IF(Clients!E9="Quarterly",IF(MOD((YEAR(EDATE(DATE(YEAR(TODAY()),MONTH(TODAY()),1),3))-YEAR(IF(ISNUMBER(Clients!F9),Clients!F9,DATE(YEAR(TODAY()),MONTH(TODAY()),1))))*12+MONTH(EDATE(DATE(YEAR(TODAY()),MONTH(TODAY()),1),3))-MONTH(IF(ISNUMBER(Clients!F9),Clients!F9,DATE(YEAR(TODAY()),MONTH(TODAY()),1))),3)=0,1,0),IF(Clients!E9="Semi-annual",IF(MOD((YEAR(EDATE(DATE(YEAR(TODAY()),MONTH(TODAY()),1),3))-YEAR(IF(ISNUMBER(Clients!F9),Clients!F9,DATE(YEAR(TODAY()),MONTH(TODAY()),1))))*12+MONTH(EDATE(DATE(YEAR(TODAY()),MONTH(TODAY()),1),3))-MONTH(IF(ISNUMBER(Clients!F9),Clients!F9,DATE(YEAR(TODAY()),MONTH(TODAY()),1))),6)=0,1,0),IF(Clients!E9="Annual",IF(MOD((YEAR(EDATE(DATE(YEAR(TODAY()),MONTH(TODAY()),1),3))-YEAR(IF(ISNUMBER(Clients!F9),Clients!F9,DATE(YEAR(TODAY()),MONTH(TODAY()),1))))*12+MONTH(EDATE(DATE(YEAR(TODAY()),MONTH(TODAY()),1),3))-MONTH(IF(ISNUMBER(Clients!F9),Clients!F9,DATE(YEAR(TODAY()),MONTH(TODAY()),1))),12)=0,1,0),IF(Clients!E9="One-time",IF(3=0,1,0),1)))))),"")</f>
        <v/>
      </c>
      <c r="J79" s="10" t="str">
        <f ca="1">IFERROR(IF(OR(4&gt;=$B$1,Clients!A9="",NOT(ISNUMBER(Clients!D9)),Clients!L9="Expired",Clients!L9="Terminate"),"",Clients!D9*1*IF(Clients!E9="Monthly",IF(AND(ISNUMBER(Clients!G9),(YEAR(EDATE(DATE(YEAR(TODAY()),MONTH(TODAY()),1),4))*12+MONTH(EDATE(DATE(YEAR(TODAY()),MONTH(TODAY()),1),4)))&gt;(YEAR(Clients!G9)*12+MONTH(Clients!G9))),"",1),IF(Clients!E9="Quarterly",IF(MOD((YEAR(EDATE(DATE(YEAR(TODAY()),MONTH(TODAY()),1),4))-YEAR(IF(ISNUMBER(Clients!F9),Clients!F9,DATE(YEAR(TODAY()),MONTH(TODAY()),1))))*12+MONTH(EDATE(DATE(YEAR(TODAY()),MONTH(TODAY()),1),4))-MONTH(IF(ISNUMBER(Clients!F9),Clients!F9,DATE(YEAR(TODAY()),MONTH(TODAY()),1))),3)=0,1,0),IF(Clients!E9="Semi-annual",IF(MOD((YEAR(EDATE(DATE(YEAR(TODAY()),MONTH(TODAY()),1),4))-YEAR(IF(ISNUMBER(Clients!F9),Clients!F9,DATE(YEAR(TODAY()),MONTH(TODAY()),1))))*12+MONTH(EDATE(DATE(YEAR(TODAY()),MONTH(TODAY()),1),4))-MONTH(IF(ISNUMBER(Clients!F9),Clients!F9,DATE(YEAR(TODAY()),MONTH(TODAY()),1))),6)=0,1,0),IF(Clients!E9="Annual",IF(MOD((YEAR(EDATE(DATE(YEAR(TODAY()),MONTH(TODAY()),1),4))-YEAR(IF(ISNUMBER(Clients!F9),Clients!F9,DATE(YEAR(TODAY()),MONTH(TODAY()),1))))*12+MONTH(EDATE(DATE(YEAR(TODAY()),MONTH(TODAY()),1),4))-MONTH(IF(ISNUMBER(Clients!F9),Clients!F9,DATE(YEAR(TODAY()),MONTH(TODAY()),1))),12)=0,1,0),IF(Clients!E9="One-time",IF(4=0,1,0),1)))))),"")</f>
        <v/>
      </c>
      <c r="K79" s="10" t="str">
        <f ca="1">IFERROR(IF(OR(5&gt;=$B$1,Clients!A9="",NOT(ISNUMBER(Clients!D9)),Clients!L9="Expired",Clients!L9="Terminate"),"",Clients!D9*1*IF(Clients!E9="Monthly",IF(AND(ISNUMBER(Clients!G9),(YEAR(EDATE(DATE(YEAR(TODAY()),MONTH(TODAY()),1),5))*12+MONTH(EDATE(DATE(YEAR(TODAY()),MONTH(TODAY()),1),5)))&gt;(YEAR(Clients!G9)*12+MONTH(Clients!G9))),"",1),IF(Clients!E9="Quarterly",IF(MOD((YEAR(EDATE(DATE(YEAR(TODAY()),MONTH(TODAY()),1),5))-YEAR(IF(ISNUMBER(Clients!F9),Clients!F9,DATE(YEAR(TODAY()),MONTH(TODAY()),1))))*12+MONTH(EDATE(DATE(YEAR(TODAY()),MONTH(TODAY()),1),5))-MONTH(IF(ISNUMBER(Clients!F9),Clients!F9,DATE(YEAR(TODAY()),MONTH(TODAY()),1))),3)=0,1,0),IF(Clients!E9="Semi-annual",IF(MOD((YEAR(EDATE(DATE(YEAR(TODAY()),MONTH(TODAY()),1),5))-YEAR(IF(ISNUMBER(Clients!F9),Clients!F9,DATE(YEAR(TODAY()),MONTH(TODAY()),1))))*12+MONTH(EDATE(DATE(YEAR(TODAY()),MONTH(TODAY()),1),5))-MONTH(IF(ISNUMBER(Clients!F9),Clients!F9,DATE(YEAR(TODAY()),MONTH(TODAY()),1))),6)=0,1,0),IF(Clients!E9="Annual",IF(MOD((YEAR(EDATE(DATE(YEAR(TODAY()),MONTH(TODAY()),1),5))-YEAR(IF(ISNUMBER(Clients!F9),Clients!F9,DATE(YEAR(TODAY()),MONTH(TODAY()),1))))*12+MONTH(EDATE(DATE(YEAR(TODAY()),MONTH(TODAY()),1),5))-MONTH(IF(ISNUMBER(Clients!F9),Clients!F9,DATE(YEAR(TODAY()),MONTH(TODAY()),1))),12)=0,1,0),IF(Clients!E9="One-time",IF(5=0,1,0),1)))))),"")</f>
        <v/>
      </c>
      <c r="L79" s="10" t="str">
        <f ca="1">IFERROR(IF(OR(6&gt;=$B$1,Clients!A9="",NOT(ISNUMBER(Clients!D9)),Clients!L9="Expired",Clients!L9="Terminate"),"",Clients!D9*1*IF(Clients!E9="Monthly",IF(AND(ISNUMBER(Clients!G9),(YEAR(EDATE(DATE(YEAR(TODAY()),MONTH(TODAY()),1),6))*12+MONTH(EDATE(DATE(YEAR(TODAY()),MONTH(TODAY()),1),6)))&gt;(YEAR(Clients!G9)*12+MONTH(Clients!G9))),"",1),IF(Clients!E9="Quarterly",IF(MOD((YEAR(EDATE(DATE(YEAR(TODAY()),MONTH(TODAY()),1),6))-YEAR(IF(ISNUMBER(Clients!F9),Clients!F9,DATE(YEAR(TODAY()),MONTH(TODAY()),1))))*12+MONTH(EDATE(DATE(YEAR(TODAY()),MONTH(TODAY()),1),6))-MONTH(IF(ISNUMBER(Clients!F9),Clients!F9,DATE(YEAR(TODAY()),MONTH(TODAY()),1))),3)=0,1,0),IF(Clients!E9="Semi-annual",IF(MOD((YEAR(EDATE(DATE(YEAR(TODAY()),MONTH(TODAY()),1),6))-YEAR(IF(ISNUMBER(Clients!F9),Clients!F9,DATE(YEAR(TODAY()),MONTH(TODAY()),1))))*12+MONTH(EDATE(DATE(YEAR(TODAY()),MONTH(TODAY()),1),6))-MONTH(IF(ISNUMBER(Clients!F9),Clients!F9,DATE(YEAR(TODAY()),MONTH(TODAY()),1))),6)=0,1,0),IF(Clients!E9="Annual",IF(MOD((YEAR(EDATE(DATE(YEAR(TODAY()),MONTH(TODAY()),1),6))-YEAR(IF(ISNUMBER(Clients!F9),Clients!F9,DATE(YEAR(TODAY()),MONTH(TODAY()),1))))*12+MONTH(EDATE(DATE(YEAR(TODAY()),MONTH(TODAY()),1),6))-MONTH(IF(ISNUMBER(Clients!F9),Clients!F9,DATE(YEAR(TODAY()),MONTH(TODAY()),1))),12)=0,1,0),IF(Clients!E9="One-time",IF(6=0,1,0),1)))))),"")</f>
        <v/>
      </c>
      <c r="M79" s="10" t="str">
        <f ca="1">IFERROR(IF(OR(7&gt;=$B$1,Clients!A9="",NOT(ISNUMBER(Clients!D9)),Clients!L9="Expired",Clients!L9="Terminate"),"",Clients!D9*1*IF(Clients!E9="Monthly",IF(AND(ISNUMBER(Clients!G9),(YEAR(EDATE(DATE(YEAR(TODAY()),MONTH(TODAY()),1),7))*12+MONTH(EDATE(DATE(YEAR(TODAY()),MONTH(TODAY()),1),7)))&gt;(YEAR(Clients!G9)*12+MONTH(Clients!G9))),"",1),IF(Clients!E9="Quarterly",IF(MOD((YEAR(EDATE(DATE(YEAR(TODAY()),MONTH(TODAY()),1),7))-YEAR(IF(ISNUMBER(Clients!F9),Clients!F9,DATE(YEAR(TODAY()),MONTH(TODAY()),1))))*12+MONTH(EDATE(DATE(YEAR(TODAY()),MONTH(TODAY()),1),7))-MONTH(IF(ISNUMBER(Clients!F9),Clients!F9,DATE(YEAR(TODAY()),MONTH(TODAY()),1))),3)=0,1,0),IF(Clients!E9="Semi-annual",IF(MOD((YEAR(EDATE(DATE(YEAR(TODAY()),MONTH(TODAY()),1),7))-YEAR(IF(ISNUMBER(Clients!F9),Clients!F9,DATE(YEAR(TODAY()),MONTH(TODAY()),1))))*12+MONTH(EDATE(DATE(YEAR(TODAY()),MONTH(TODAY()),1),7))-MONTH(IF(ISNUMBER(Clients!F9),Clients!F9,DATE(YEAR(TODAY()),MONTH(TODAY()),1))),6)=0,1,0),IF(Clients!E9="Annual",IF(MOD((YEAR(EDATE(DATE(YEAR(TODAY()),MONTH(TODAY()),1),7))-YEAR(IF(ISNUMBER(Clients!F9),Clients!F9,DATE(YEAR(TODAY()),MONTH(TODAY()),1))))*12+MONTH(EDATE(DATE(YEAR(TODAY()),MONTH(TODAY()),1),7))-MONTH(IF(ISNUMBER(Clients!F9),Clients!F9,DATE(YEAR(TODAY()),MONTH(TODAY()),1))),12)=0,1,0),IF(Clients!E9="One-time",IF(7=0,1,0),1)))))),"")</f>
        <v/>
      </c>
      <c r="N79" s="10" t="str">
        <f ca="1">IFERROR(IF(OR(8&gt;=$B$1,Clients!A9="",NOT(ISNUMBER(Clients!D9)),Clients!L9="Expired",Clients!L9="Terminate"),"",Clients!D9*1*IF(Clients!E9="Monthly",IF(AND(ISNUMBER(Clients!G9),(YEAR(EDATE(DATE(YEAR(TODAY()),MONTH(TODAY()),1),8))*12+MONTH(EDATE(DATE(YEAR(TODAY()),MONTH(TODAY()),1),8)))&gt;(YEAR(Clients!G9)*12+MONTH(Clients!G9))),"",1),IF(Clients!E9="Quarterly",IF(MOD((YEAR(EDATE(DATE(YEAR(TODAY()),MONTH(TODAY()),1),8))-YEAR(IF(ISNUMBER(Clients!F9),Clients!F9,DATE(YEAR(TODAY()),MONTH(TODAY()),1))))*12+MONTH(EDATE(DATE(YEAR(TODAY()),MONTH(TODAY()),1),8))-MONTH(IF(ISNUMBER(Clients!F9),Clients!F9,DATE(YEAR(TODAY()),MONTH(TODAY()),1))),3)=0,1,0),IF(Clients!E9="Semi-annual",IF(MOD((YEAR(EDATE(DATE(YEAR(TODAY()),MONTH(TODAY()),1),8))-YEAR(IF(ISNUMBER(Clients!F9),Clients!F9,DATE(YEAR(TODAY()),MONTH(TODAY()),1))))*12+MONTH(EDATE(DATE(YEAR(TODAY()),MONTH(TODAY()),1),8))-MONTH(IF(ISNUMBER(Clients!F9),Clients!F9,DATE(YEAR(TODAY()),MONTH(TODAY()),1))),6)=0,1,0),IF(Clients!E9="Annual",IF(MOD((YEAR(EDATE(DATE(YEAR(TODAY()),MONTH(TODAY()),1),8))-YEAR(IF(ISNUMBER(Clients!F9),Clients!F9,DATE(YEAR(TODAY()),MONTH(TODAY()),1))))*12+MONTH(EDATE(DATE(YEAR(TODAY()),MONTH(TODAY()),1),8))-MONTH(IF(ISNUMBER(Clients!F9),Clients!F9,DATE(YEAR(TODAY()),MONTH(TODAY()),1))),12)=0,1,0),IF(Clients!E9="One-time",IF(8=0,1,0),1)))))),"")</f>
        <v/>
      </c>
      <c r="O79" s="10" t="str">
        <f ca="1">IFERROR(IF(OR(9&gt;=$B$1,Clients!A9="",NOT(ISNUMBER(Clients!D9)),Clients!L9="Expired",Clients!L9="Terminate"),"",Clients!D9*1*IF(Clients!E9="Monthly",IF(AND(ISNUMBER(Clients!G9),(YEAR(EDATE(DATE(YEAR(TODAY()),MONTH(TODAY()),1),9))*12+MONTH(EDATE(DATE(YEAR(TODAY()),MONTH(TODAY()),1),9)))&gt;(YEAR(Clients!G9)*12+MONTH(Clients!G9))),"",1),IF(Clients!E9="Quarterly",IF(MOD((YEAR(EDATE(DATE(YEAR(TODAY()),MONTH(TODAY()),1),9))-YEAR(IF(ISNUMBER(Clients!F9),Clients!F9,DATE(YEAR(TODAY()),MONTH(TODAY()),1))))*12+MONTH(EDATE(DATE(YEAR(TODAY()),MONTH(TODAY()),1),9))-MONTH(IF(ISNUMBER(Clients!F9),Clients!F9,DATE(YEAR(TODAY()),MONTH(TODAY()),1))),3)=0,1,0),IF(Clients!E9="Semi-annual",IF(MOD((YEAR(EDATE(DATE(YEAR(TODAY()),MONTH(TODAY()),1),9))-YEAR(IF(ISNUMBER(Clients!F9),Clients!F9,DATE(YEAR(TODAY()),MONTH(TODAY()),1))))*12+MONTH(EDATE(DATE(YEAR(TODAY()),MONTH(TODAY()),1),9))-MONTH(IF(ISNUMBER(Clients!F9),Clients!F9,DATE(YEAR(TODAY()),MONTH(TODAY()),1))),6)=0,1,0),IF(Clients!E9="Annual",IF(MOD((YEAR(EDATE(DATE(YEAR(TODAY()),MONTH(TODAY()),1),9))-YEAR(IF(ISNUMBER(Clients!F9),Clients!F9,DATE(YEAR(TODAY()),MONTH(TODAY()),1))))*12+MONTH(EDATE(DATE(YEAR(TODAY()),MONTH(TODAY()),1),9))-MONTH(IF(ISNUMBER(Clients!F9),Clients!F9,DATE(YEAR(TODAY()),MONTH(TODAY()),1))),12)=0,1,0),IF(Clients!E9="One-time",IF(9=0,1,0),1)))))),"")</f>
        <v/>
      </c>
      <c r="P79" s="10" t="str">
        <f ca="1">IFERROR(IF(OR(10&gt;=$B$1,Clients!A9="",NOT(ISNUMBER(Clients!D9)),Clients!L9="Expired",Clients!L9="Terminate"),"",Clients!D9*1*IF(Clients!E9="Monthly",IF(AND(ISNUMBER(Clients!G9),(YEAR(EDATE(DATE(YEAR(TODAY()),MONTH(TODAY()),1),10))*12+MONTH(EDATE(DATE(YEAR(TODAY()),MONTH(TODAY()),1),10)))&gt;(YEAR(Clients!G9)*12+MONTH(Clients!G9))),"",1),IF(Clients!E9="Quarterly",IF(MOD((YEAR(EDATE(DATE(YEAR(TODAY()),MONTH(TODAY()),1),10))-YEAR(IF(ISNUMBER(Clients!F9),Clients!F9,DATE(YEAR(TODAY()),MONTH(TODAY()),1))))*12+MONTH(EDATE(DATE(YEAR(TODAY()),MONTH(TODAY()),1),10))-MONTH(IF(ISNUMBER(Clients!F9),Clients!F9,DATE(YEAR(TODAY()),MONTH(TODAY()),1))),3)=0,1,0),IF(Clients!E9="Semi-annual",IF(MOD((YEAR(EDATE(DATE(YEAR(TODAY()),MONTH(TODAY()),1),10))-YEAR(IF(ISNUMBER(Clients!F9),Clients!F9,DATE(YEAR(TODAY()),MONTH(TODAY()),1))))*12+MONTH(EDATE(DATE(YEAR(TODAY()),MONTH(TODAY()),1),10))-MONTH(IF(ISNUMBER(Clients!F9),Clients!F9,DATE(YEAR(TODAY()),MONTH(TODAY()),1))),6)=0,1,0),IF(Clients!E9="Annual",IF(MOD((YEAR(EDATE(DATE(YEAR(TODAY()),MONTH(TODAY()),1),10))-YEAR(IF(ISNUMBER(Clients!F9),Clients!F9,DATE(YEAR(TODAY()),MONTH(TODAY()),1))))*12+MONTH(EDATE(DATE(YEAR(TODAY()),MONTH(TODAY()),1),10))-MONTH(IF(ISNUMBER(Clients!F9),Clients!F9,DATE(YEAR(TODAY()),MONTH(TODAY()),1))),12)=0,1,0),IF(Clients!E9="One-time",IF(10=0,1,0),1)))))),"")</f>
        <v/>
      </c>
      <c r="Q79" s="10" t="str">
        <f ca="1">IFERROR(IF(OR(11&gt;=$B$1,Clients!A9="",NOT(ISNUMBER(Clients!D9)),Clients!L9="Expired",Clients!L9="Terminate"),"",Clients!D9*1*IF(Clients!E9="Monthly",IF(AND(ISNUMBER(Clients!G9),(YEAR(EDATE(DATE(YEAR(TODAY()),MONTH(TODAY()),1),11))*12+MONTH(EDATE(DATE(YEAR(TODAY()),MONTH(TODAY()),1),11)))&gt;(YEAR(Clients!G9)*12+MONTH(Clients!G9))),"",1),IF(Clients!E9="Quarterly",IF(MOD((YEAR(EDATE(DATE(YEAR(TODAY()),MONTH(TODAY()),1),11))-YEAR(IF(ISNUMBER(Clients!F9),Clients!F9,DATE(YEAR(TODAY()),MONTH(TODAY()),1))))*12+MONTH(EDATE(DATE(YEAR(TODAY()),MONTH(TODAY()),1),11))-MONTH(IF(ISNUMBER(Clients!F9),Clients!F9,DATE(YEAR(TODAY()),MONTH(TODAY()),1))),3)=0,1,0),IF(Clients!E9="Semi-annual",IF(MOD((YEAR(EDATE(DATE(YEAR(TODAY()),MONTH(TODAY()),1),11))-YEAR(IF(ISNUMBER(Clients!F9),Clients!F9,DATE(YEAR(TODAY()),MONTH(TODAY()),1))))*12+MONTH(EDATE(DATE(YEAR(TODAY()),MONTH(TODAY()),1),11))-MONTH(IF(ISNUMBER(Clients!F9),Clients!F9,DATE(YEAR(TODAY()),MONTH(TODAY()),1))),6)=0,1,0),IF(Clients!E9="Annual",IF(MOD((YEAR(EDATE(DATE(YEAR(TODAY()),MONTH(TODAY()),1),11))-YEAR(IF(ISNUMBER(Clients!F9),Clients!F9,DATE(YEAR(TODAY()),MONTH(TODAY()),1))))*12+MONTH(EDATE(DATE(YEAR(TODAY()),MONTH(TODAY()),1),11))-MONTH(IF(ISNUMBER(Clients!F9),Clients!F9,DATE(YEAR(TODAY()),MONTH(TODAY()),1))),12)=0,1,0),IF(Clients!E9="One-time",IF(11=0,1,0),1)))))),"")</f>
        <v/>
      </c>
      <c r="R79" s="10" t="str">
        <f ca="1">IFERROR(IF(OR(12&gt;=$B$1,Suppliers!A77="",NOT(ISNUMBER(Suppliers!D77)),Suppliers!L77="Expired",Suppliers!L77="Terminate"),"",Suppliers!D77*-1*IF(Suppliers!E77="Monthly",IF(AND(ISNUMBER(Suppliers!G77),(YEAR(EDATE(DATE(YEAR(TODAY()),MONTH(TODAY()),1),12))*12+MONTH(EDATE(DATE(YEAR(TODAY()),MONTH(TODAY()),1),12)))&gt;(YEAR(Suppliers!G77)*12+MONTH(Suppliers!G77))),"",1),IF(Suppliers!E77="Quarterly",IF(MOD((YEAR(EDATE(DATE(YEAR(TODAY()),MONTH(TODAY()),1),12))-YEAR(IF(ISNUMBER(Suppliers!F77),Suppliers!F77,DATE(YEAR(TODAY()),MONTH(TODAY()),1))))*12+MONTH(EDATE(DATE(YEAR(TODAY()),MONTH(TODAY()),1),12))-MONTH(IF(ISNUMBER(Suppliers!F77),Suppliers!F77,DATE(YEAR(TODAY()),MONTH(TODAY()),1))),3)=0,1,0),IF(Suppliers!E77="Semi-annual",IF(MOD((YEAR(EDATE(DATE(YEAR(TODAY()),MONTH(TODAY()),1),12))-YEAR(IF(ISNUMBER(Suppliers!F77),Suppliers!F77,DATE(YEAR(TODAY()),MONTH(TODAY()),1))))*12+MONTH(EDATE(DATE(YEAR(TODAY()),MONTH(TODAY()),1),12))-MONTH(IF(ISNUMBER(Suppliers!F77),Suppliers!F77,DATE(YEAR(TODAY()),MONTH(TODAY()),1))),6)=0,1,0),IF(Suppliers!E77="Annual",IF(MOD((YEAR(EDATE(DATE(YEAR(TODAY()),MONTH(TODAY()),1),12))-YEAR(IF(ISNUMBER(Suppliers!F77),Suppliers!F77,DATE(YEAR(TODAY()),MONTH(TODAY()),1))))*12+MONTH(EDATE(DATE(YEAR(TODAY()),MONTH(TODAY()),1),12))-MONTH(IF(ISNUMBER(Suppliers!F77),Suppliers!F77,DATE(YEAR(TODAY()),MONTH(TODAY()),1))),12)=0,1,0),IF(Suppliers!E77="One-time",IF(12=0,1,0),1)))))),"")</f>
        <v/>
      </c>
      <c r="S79" s="10" t="str">
        <f ca="1">IFERROR(IF(OR(13&gt;=$B$1,Suppliers!A77="",NOT(ISNUMBER(Suppliers!D77)),Suppliers!L77="Expired",Suppliers!L77="Terminate"),"",Suppliers!D77*-1*IF(Suppliers!E77="Monthly",IF(AND(ISNUMBER(Suppliers!G77),(YEAR(EDATE(DATE(YEAR(TODAY()),MONTH(TODAY()),1),13))*12+MONTH(EDATE(DATE(YEAR(TODAY()),MONTH(TODAY()),1),13)))&gt;(YEAR(Suppliers!G77)*12+MONTH(Suppliers!G77))),"",1),IF(Suppliers!E77="Quarterly",IF(MOD((YEAR(EDATE(DATE(YEAR(TODAY()),MONTH(TODAY()),1),13))-YEAR(IF(ISNUMBER(Suppliers!F77),Suppliers!F77,DATE(YEAR(TODAY()),MONTH(TODAY()),1))))*12+MONTH(EDATE(DATE(YEAR(TODAY()),MONTH(TODAY()),1),13))-MONTH(IF(ISNUMBER(Suppliers!F77),Suppliers!F77,DATE(YEAR(TODAY()),MONTH(TODAY()),1))),3)=0,1,0),IF(Suppliers!E77="Semi-annual",IF(MOD((YEAR(EDATE(DATE(YEAR(TODAY()),MONTH(TODAY()),1),13))-YEAR(IF(ISNUMBER(Suppliers!F77),Suppliers!F77,DATE(YEAR(TODAY()),MONTH(TODAY()),1))))*12+MONTH(EDATE(DATE(YEAR(TODAY()),MONTH(TODAY()),1),13))-MONTH(IF(ISNUMBER(Suppliers!F77),Suppliers!F77,DATE(YEAR(TODAY()),MONTH(TODAY()),1))),6)=0,1,0),IF(Suppliers!E77="Annual",IF(MOD((YEAR(EDATE(DATE(YEAR(TODAY()),MONTH(TODAY()),1),13))-YEAR(IF(ISNUMBER(Suppliers!F77),Suppliers!F77,DATE(YEAR(TODAY()),MONTH(TODAY()),1))))*12+MONTH(EDATE(DATE(YEAR(TODAY()),MONTH(TODAY()),1),13))-MONTH(IF(ISNUMBER(Suppliers!F77),Suppliers!F77,DATE(YEAR(TODAY()),MONTH(TODAY()),1))),12)=0,1,0),IF(Suppliers!E77="One-time",IF(13=0,1,0),1)))))),"")</f>
        <v/>
      </c>
      <c r="T79" s="10" t="str">
        <f ca="1">IFERROR(IF(OR(14&gt;=$B$1,Suppliers!A77="",NOT(ISNUMBER(Suppliers!D77)),Suppliers!L77="Expired",Suppliers!L77="Terminate"),"",Suppliers!D77*-1*IF(Suppliers!E77="Monthly",IF(AND(ISNUMBER(Suppliers!G77),(YEAR(EDATE(DATE(YEAR(TODAY()),MONTH(TODAY()),1),14))*12+MONTH(EDATE(DATE(YEAR(TODAY()),MONTH(TODAY()),1),14)))&gt;(YEAR(Suppliers!G77)*12+MONTH(Suppliers!G77))),"",1),IF(Suppliers!E77="Quarterly",IF(MOD((YEAR(EDATE(DATE(YEAR(TODAY()),MONTH(TODAY()),1),14))-YEAR(IF(ISNUMBER(Suppliers!F77),Suppliers!F77,DATE(YEAR(TODAY()),MONTH(TODAY()),1))))*12+MONTH(EDATE(DATE(YEAR(TODAY()),MONTH(TODAY()),1),14))-MONTH(IF(ISNUMBER(Suppliers!F77),Suppliers!F77,DATE(YEAR(TODAY()),MONTH(TODAY()),1))),3)=0,1,0),IF(Suppliers!E77="Semi-annual",IF(MOD((YEAR(EDATE(DATE(YEAR(TODAY()),MONTH(TODAY()),1),14))-YEAR(IF(ISNUMBER(Suppliers!F77),Suppliers!F77,DATE(YEAR(TODAY()),MONTH(TODAY()),1))))*12+MONTH(EDATE(DATE(YEAR(TODAY()),MONTH(TODAY()),1),14))-MONTH(IF(ISNUMBER(Suppliers!F77),Suppliers!F77,DATE(YEAR(TODAY()),MONTH(TODAY()),1))),6)=0,1,0),IF(Suppliers!E77="Annual",IF(MOD((YEAR(EDATE(DATE(YEAR(TODAY()),MONTH(TODAY()),1),14))-YEAR(IF(ISNUMBER(Suppliers!F77),Suppliers!F77,DATE(YEAR(TODAY()),MONTH(TODAY()),1))))*12+MONTH(EDATE(DATE(YEAR(TODAY()),MONTH(TODAY()),1),14))-MONTH(IF(ISNUMBER(Suppliers!F77),Suppliers!F77,DATE(YEAR(TODAY()),MONTH(TODAY()),1))),12)=0,1,0),IF(Suppliers!E77="One-time",IF(14=0,1,0),1)))))),"")</f>
        <v/>
      </c>
      <c r="U79" s="10" t="str">
        <f ca="1">IFERROR(IF(OR(15&gt;=$B$1,Suppliers!A77="",NOT(ISNUMBER(Suppliers!D77)),Suppliers!L77="Expired",Suppliers!L77="Terminate"),"",Suppliers!D77*-1*IF(Suppliers!E77="Monthly",IF(AND(ISNUMBER(Suppliers!G77),(YEAR(EDATE(DATE(YEAR(TODAY()),MONTH(TODAY()),1),15))*12+MONTH(EDATE(DATE(YEAR(TODAY()),MONTH(TODAY()),1),15)))&gt;(YEAR(Suppliers!G77)*12+MONTH(Suppliers!G77))),"",1),IF(Suppliers!E77="Quarterly",IF(MOD((YEAR(EDATE(DATE(YEAR(TODAY()),MONTH(TODAY()),1),15))-YEAR(IF(ISNUMBER(Suppliers!F77),Suppliers!F77,DATE(YEAR(TODAY()),MONTH(TODAY()),1))))*12+MONTH(EDATE(DATE(YEAR(TODAY()),MONTH(TODAY()),1),15))-MONTH(IF(ISNUMBER(Suppliers!F77),Suppliers!F77,DATE(YEAR(TODAY()),MONTH(TODAY()),1))),3)=0,1,0),IF(Suppliers!E77="Semi-annual",IF(MOD((YEAR(EDATE(DATE(YEAR(TODAY()),MONTH(TODAY()),1),15))-YEAR(IF(ISNUMBER(Suppliers!F77),Suppliers!F77,DATE(YEAR(TODAY()),MONTH(TODAY()),1))))*12+MONTH(EDATE(DATE(YEAR(TODAY()),MONTH(TODAY()),1),15))-MONTH(IF(ISNUMBER(Suppliers!F77),Suppliers!F77,DATE(YEAR(TODAY()),MONTH(TODAY()),1))),6)=0,1,0),IF(Suppliers!E77="Annual",IF(MOD((YEAR(EDATE(DATE(YEAR(TODAY()),MONTH(TODAY()),1),15))-YEAR(IF(ISNUMBER(Suppliers!F77),Suppliers!F77,DATE(YEAR(TODAY()),MONTH(TODAY()),1))))*12+MONTH(EDATE(DATE(YEAR(TODAY()),MONTH(TODAY()),1),15))-MONTH(IF(ISNUMBER(Suppliers!F77),Suppliers!F77,DATE(YEAR(TODAY()),MONTH(TODAY()),1))),12)=0,1,0),IF(Suppliers!E77="One-time",IF(15=0,1,0),1)))))),"")</f>
        <v/>
      </c>
      <c r="V79" s="10" t="str">
        <f ca="1">IFERROR(IF(OR(16&gt;=$B$1,Suppliers!A77="",NOT(ISNUMBER(Suppliers!D77)),Suppliers!L77="Expired",Suppliers!L77="Terminate"),"",Suppliers!D77*-1*IF(Suppliers!E77="Monthly",IF(AND(ISNUMBER(Suppliers!G77),(YEAR(EDATE(DATE(YEAR(TODAY()),MONTH(TODAY()),1),16))*12+MONTH(EDATE(DATE(YEAR(TODAY()),MONTH(TODAY()),1),16)))&gt;(YEAR(Suppliers!G77)*12+MONTH(Suppliers!G77))),"",1),IF(Suppliers!E77="Quarterly",IF(MOD((YEAR(EDATE(DATE(YEAR(TODAY()),MONTH(TODAY()),1),16))-YEAR(IF(ISNUMBER(Suppliers!F77),Suppliers!F77,DATE(YEAR(TODAY()),MONTH(TODAY()),1))))*12+MONTH(EDATE(DATE(YEAR(TODAY()),MONTH(TODAY()),1),16))-MONTH(IF(ISNUMBER(Suppliers!F77),Suppliers!F77,DATE(YEAR(TODAY()),MONTH(TODAY()),1))),3)=0,1,0),IF(Suppliers!E77="Semi-annual",IF(MOD((YEAR(EDATE(DATE(YEAR(TODAY()),MONTH(TODAY()),1),16))-YEAR(IF(ISNUMBER(Suppliers!F77),Suppliers!F77,DATE(YEAR(TODAY()),MONTH(TODAY()),1))))*12+MONTH(EDATE(DATE(YEAR(TODAY()),MONTH(TODAY()),1),16))-MONTH(IF(ISNUMBER(Suppliers!F77),Suppliers!F77,DATE(YEAR(TODAY()),MONTH(TODAY()),1))),6)=0,1,0),IF(Suppliers!E77="Annual",IF(MOD((YEAR(EDATE(DATE(YEAR(TODAY()),MONTH(TODAY()),1),16))-YEAR(IF(ISNUMBER(Suppliers!F77),Suppliers!F77,DATE(YEAR(TODAY()),MONTH(TODAY()),1))))*12+MONTH(EDATE(DATE(YEAR(TODAY()),MONTH(TODAY()),1),16))-MONTH(IF(ISNUMBER(Suppliers!F77),Suppliers!F77,DATE(YEAR(TODAY()),MONTH(TODAY()),1))),12)=0,1,0),IF(Suppliers!E77="One-time",IF(16=0,1,0),1)))))),"")</f>
        <v/>
      </c>
      <c r="W79" s="10" t="str">
        <f ca="1">IFERROR(IF(OR(17&gt;=$B$1,Suppliers!A77="",NOT(ISNUMBER(Suppliers!D77)),Suppliers!L77="Expired",Suppliers!L77="Terminate"),"",Suppliers!D77*-1*IF(Suppliers!E77="Monthly",IF(AND(ISNUMBER(Suppliers!G77),(YEAR(EDATE(DATE(YEAR(TODAY()),MONTH(TODAY()),1),17))*12+MONTH(EDATE(DATE(YEAR(TODAY()),MONTH(TODAY()),1),17)))&gt;(YEAR(Suppliers!G77)*12+MONTH(Suppliers!G77))),"",1),IF(Suppliers!E77="Quarterly",IF(MOD((YEAR(EDATE(DATE(YEAR(TODAY()),MONTH(TODAY()),1),17))-YEAR(IF(ISNUMBER(Suppliers!F77),Suppliers!F77,DATE(YEAR(TODAY()),MONTH(TODAY()),1))))*12+MONTH(EDATE(DATE(YEAR(TODAY()),MONTH(TODAY()),1),17))-MONTH(IF(ISNUMBER(Suppliers!F77),Suppliers!F77,DATE(YEAR(TODAY()),MONTH(TODAY()),1))),3)=0,1,0),IF(Suppliers!E77="Semi-annual",IF(MOD((YEAR(EDATE(DATE(YEAR(TODAY()),MONTH(TODAY()),1),17))-YEAR(IF(ISNUMBER(Suppliers!F77),Suppliers!F77,DATE(YEAR(TODAY()),MONTH(TODAY()),1))))*12+MONTH(EDATE(DATE(YEAR(TODAY()),MONTH(TODAY()),1),17))-MONTH(IF(ISNUMBER(Suppliers!F77),Suppliers!F77,DATE(YEAR(TODAY()),MONTH(TODAY()),1))),6)=0,1,0),IF(Suppliers!E77="Annual",IF(MOD((YEAR(EDATE(DATE(YEAR(TODAY()),MONTH(TODAY()),1),17))-YEAR(IF(ISNUMBER(Suppliers!F77),Suppliers!F77,DATE(YEAR(TODAY()),MONTH(TODAY()),1))))*12+MONTH(EDATE(DATE(YEAR(TODAY()),MONTH(TODAY()),1),17))-MONTH(IF(ISNUMBER(Suppliers!F77),Suppliers!F77,DATE(YEAR(TODAY()),MONTH(TODAY()),1))),12)=0,1,0),IF(Suppliers!E77="One-time",IF(17=0,1,0),1)))))),"")</f>
        <v/>
      </c>
      <c r="X79" s="10" t="str">
        <f ca="1">IFERROR(IF(OR(18&gt;=$B$1,Suppliers!A77="",NOT(ISNUMBER(Suppliers!D77)),Suppliers!L77="Expired",Suppliers!L77="Terminate"),"",Suppliers!D77*-1*IF(Suppliers!E77="Monthly",IF(AND(ISNUMBER(Suppliers!G77),(YEAR(EDATE(DATE(YEAR(TODAY()),MONTH(TODAY()),1),18))*12+MONTH(EDATE(DATE(YEAR(TODAY()),MONTH(TODAY()),1),18)))&gt;(YEAR(Suppliers!G77)*12+MONTH(Suppliers!G77))),"",1),IF(Suppliers!E77="Quarterly",IF(MOD((YEAR(EDATE(DATE(YEAR(TODAY()),MONTH(TODAY()),1),18))-YEAR(IF(ISNUMBER(Suppliers!F77),Suppliers!F77,DATE(YEAR(TODAY()),MONTH(TODAY()),1))))*12+MONTH(EDATE(DATE(YEAR(TODAY()),MONTH(TODAY()),1),18))-MONTH(IF(ISNUMBER(Suppliers!F77),Suppliers!F77,DATE(YEAR(TODAY()),MONTH(TODAY()),1))),3)=0,1,0),IF(Suppliers!E77="Semi-annual",IF(MOD((YEAR(EDATE(DATE(YEAR(TODAY()),MONTH(TODAY()),1),18))-YEAR(IF(ISNUMBER(Suppliers!F77),Suppliers!F77,DATE(YEAR(TODAY()),MONTH(TODAY()),1))))*12+MONTH(EDATE(DATE(YEAR(TODAY()),MONTH(TODAY()),1),18))-MONTH(IF(ISNUMBER(Suppliers!F77),Suppliers!F77,DATE(YEAR(TODAY()),MONTH(TODAY()),1))),6)=0,1,0),IF(Suppliers!E77="Annual",IF(MOD((YEAR(EDATE(DATE(YEAR(TODAY()),MONTH(TODAY()),1),18))-YEAR(IF(ISNUMBER(Suppliers!F77),Suppliers!F77,DATE(YEAR(TODAY()),MONTH(TODAY()),1))))*12+MONTH(EDATE(DATE(YEAR(TODAY()),MONTH(TODAY()),1),18))-MONTH(IF(ISNUMBER(Suppliers!F77),Suppliers!F77,DATE(YEAR(TODAY()),MONTH(TODAY()),1))),12)=0,1,0),IF(Suppliers!E77="One-time",IF(18=0,1,0),1)))))),"")</f>
        <v/>
      </c>
      <c r="Y79" s="10" t="str">
        <f ca="1">IFERROR(IF(OR(19&gt;=$B$1,Suppliers!A77="",NOT(ISNUMBER(Suppliers!D77)),Suppliers!L77="Expired",Suppliers!L77="Terminate"),"",Suppliers!D77*-1*IF(Suppliers!E77="Monthly",IF(AND(ISNUMBER(Suppliers!G77),(YEAR(EDATE(DATE(YEAR(TODAY()),MONTH(TODAY()),1),19))*12+MONTH(EDATE(DATE(YEAR(TODAY()),MONTH(TODAY()),1),19)))&gt;(YEAR(Suppliers!G77)*12+MONTH(Suppliers!G77))),"",1),IF(Suppliers!E77="Quarterly",IF(MOD((YEAR(EDATE(DATE(YEAR(TODAY()),MONTH(TODAY()),1),19))-YEAR(IF(ISNUMBER(Suppliers!F77),Suppliers!F77,DATE(YEAR(TODAY()),MONTH(TODAY()),1))))*12+MONTH(EDATE(DATE(YEAR(TODAY()),MONTH(TODAY()),1),19))-MONTH(IF(ISNUMBER(Suppliers!F77),Suppliers!F77,DATE(YEAR(TODAY()),MONTH(TODAY()),1))),3)=0,1,0),IF(Suppliers!E77="Semi-annual",IF(MOD((YEAR(EDATE(DATE(YEAR(TODAY()),MONTH(TODAY()),1),19))-YEAR(IF(ISNUMBER(Suppliers!F77),Suppliers!F77,DATE(YEAR(TODAY()),MONTH(TODAY()),1))))*12+MONTH(EDATE(DATE(YEAR(TODAY()),MONTH(TODAY()),1),19))-MONTH(IF(ISNUMBER(Suppliers!F77),Suppliers!F77,DATE(YEAR(TODAY()),MONTH(TODAY()),1))),6)=0,1,0),IF(Suppliers!E77="Annual",IF(MOD((YEAR(EDATE(DATE(YEAR(TODAY()),MONTH(TODAY()),1),19))-YEAR(IF(ISNUMBER(Suppliers!F77),Suppliers!F77,DATE(YEAR(TODAY()),MONTH(TODAY()),1))))*12+MONTH(EDATE(DATE(YEAR(TODAY()),MONTH(TODAY()),1),19))-MONTH(IF(ISNUMBER(Suppliers!F77),Suppliers!F77,DATE(YEAR(TODAY()),MONTH(TODAY()),1))),12)=0,1,0),IF(Suppliers!E77="One-time",IF(19=0,1,0),1)))))),"")</f>
        <v/>
      </c>
      <c r="Z79" s="10" t="str">
        <f ca="1">IFERROR(IF(OR(20&gt;=$B$1,Suppliers!A77="",NOT(ISNUMBER(Suppliers!D77)),Suppliers!L77="Expired",Suppliers!L77="Terminate"),"",Suppliers!D77*-1*IF(Suppliers!E77="Monthly",IF(AND(ISNUMBER(Suppliers!G77),(YEAR(EDATE(DATE(YEAR(TODAY()),MONTH(TODAY()),1),20))*12+MONTH(EDATE(DATE(YEAR(TODAY()),MONTH(TODAY()),1),20)))&gt;(YEAR(Suppliers!G77)*12+MONTH(Suppliers!G77))),"",1),IF(Suppliers!E77="Quarterly",IF(MOD((YEAR(EDATE(DATE(YEAR(TODAY()),MONTH(TODAY()),1),20))-YEAR(IF(ISNUMBER(Suppliers!F77),Suppliers!F77,DATE(YEAR(TODAY()),MONTH(TODAY()),1))))*12+MONTH(EDATE(DATE(YEAR(TODAY()),MONTH(TODAY()),1),20))-MONTH(IF(ISNUMBER(Suppliers!F77),Suppliers!F77,DATE(YEAR(TODAY()),MONTH(TODAY()),1))),3)=0,1,0),IF(Suppliers!E77="Semi-annual",IF(MOD((YEAR(EDATE(DATE(YEAR(TODAY()),MONTH(TODAY()),1),20))-YEAR(IF(ISNUMBER(Suppliers!F77),Suppliers!F77,DATE(YEAR(TODAY()),MONTH(TODAY()),1))))*12+MONTH(EDATE(DATE(YEAR(TODAY()),MONTH(TODAY()),1),20))-MONTH(IF(ISNUMBER(Suppliers!F77),Suppliers!F77,DATE(YEAR(TODAY()),MONTH(TODAY()),1))),6)=0,1,0),IF(Suppliers!E77="Annual",IF(MOD((YEAR(EDATE(DATE(YEAR(TODAY()),MONTH(TODAY()),1),20))-YEAR(IF(ISNUMBER(Suppliers!F77),Suppliers!F77,DATE(YEAR(TODAY()),MONTH(TODAY()),1))))*12+MONTH(EDATE(DATE(YEAR(TODAY()),MONTH(TODAY()),1),20))-MONTH(IF(ISNUMBER(Suppliers!F77),Suppliers!F77,DATE(YEAR(TODAY()),MONTH(TODAY()),1))),12)=0,1,0),IF(Suppliers!E77="One-time",IF(20=0,1,0),1)))))),"")</f>
        <v/>
      </c>
      <c r="AA79" s="10" t="str">
        <f ca="1">IFERROR(IF(OR(21&gt;=$B$1,Suppliers!A77="",NOT(ISNUMBER(Suppliers!D77)),Suppliers!L77="Expired",Suppliers!L77="Terminate"),"",Suppliers!D77*-1*IF(Suppliers!E77="Monthly",IF(AND(ISNUMBER(Suppliers!G77),(YEAR(EDATE(DATE(YEAR(TODAY()),MONTH(TODAY()),1),21))*12+MONTH(EDATE(DATE(YEAR(TODAY()),MONTH(TODAY()),1),21)))&gt;(YEAR(Suppliers!G77)*12+MONTH(Suppliers!G77))),"",1),IF(Suppliers!E77="Quarterly",IF(MOD((YEAR(EDATE(DATE(YEAR(TODAY()),MONTH(TODAY()),1),21))-YEAR(IF(ISNUMBER(Suppliers!F77),Suppliers!F77,DATE(YEAR(TODAY()),MONTH(TODAY()),1))))*12+MONTH(EDATE(DATE(YEAR(TODAY()),MONTH(TODAY()),1),21))-MONTH(IF(ISNUMBER(Suppliers!F77),Suppliers!F77,DATE(YEAR(TODAY()),MONTH(TODAY()),1))),3)=0,1,0),IF(Suppliers!E77="Semi-annual",IF(MOD((YEAR(EDATE(DATE(YEAR(TODAY()),MONTH(TODAY()),1),21))-YEAR(IF(ISNUMBER(Suppliers!F77),Suppliers!F77,DATE(YEAR(TODAY()),MONTH(TODAY()),1))))*12+MONTH(EDATE(DATE(YEAR(TODAY()),MONTH(TODAY()),1),21))-MONTH(IF(ISNUMBER(Suppliers!F77),Suppliers!F77,DATE(YEAR(TODAY()),MONTH(TODAY()),1))),6)=0,1,0),IF(Suppliers!E77="Annual",IF(MOD((YEAR(EDATE(DATE(YEAR(TODAY()),MONTH(TODAY()),1),21))-YEAR(IF(ISNUMBER(Suppliers!F77),Suppliers!F77,DATE(YEAR(TODAY()),MONTH(TODAY()),1))))*12+MONTH(EDATE(DATE(YEAR(TODAY()),MONTH(TODAY()),1),21))-MONTH(IF(ISNUMBER(Suppliers!F77),Suppliers!F77,DATE(YEAR(TODAY()),MONTH(TODAY()),1))),12)=0,1,0),IF(Suppliers!E77="One-time",IF(21=0,1,0),1)))))),"")</f>
        <v/>
      </c>
      <c r="AB79" s="10" t="str">
        <f ca="1">IFERROR(IF(OR(22&gt;=$B$1,Suppliers!A77="",NOT(ISNUMBER(Suppliers!D77)),Suppliers!L77="Expired",Suppliers!L77="Terminate"),"",Suppliers!D77*-1*IF(Suppliers!E77="Monthly",IF(AND(ISNUMBER(Suppliers!G77),(YEAR(EDATE(DATE(YEAR(TODAY()),MONTH(TODAY()),1),22))*12+MONTH(EDATE(DATE(YEAR(TODAY()),MONTH(TODAY()),1),22)))&gt;(YEAR(Suppliers!G77)*12+MONTH(Suppliers!G77))),"",1),IF(Suppliers!E77="Quarterly",IF(MOD((YEAR(EDATE(DATE(YEAR(TODAY()),MONTH(TODAY()),1),22))-YEAR(IF(ISNUMBER(Suppliers!F77),Suppliers!F77,DATE(YEAR(TODAY()),MONTH(TODAY()),1))))*12+MONTH(EDATE(DATE(YEAR(TODAY()),MONTH(TODAY()),1),22))-MONTH(IF(ISNUMBER(Suppliers!F77),Suppliers!F77,DATE(YEAR(TODAY()),MONTH(TODAY()),1))),3)=0,1,0),IF(Suppliers!E77="Semi-annual",IF(MOD((YEAR(EDATE(DATE(YEAR(TODAY()),MONTH(TODAY()),1),22))-YEAR(IF(ISNUMBER(Suppliers!F77),Suppliers!F77,DATE(YEAR(TODAY()),MONTH(TODAY()),1))))*12+MONTH(EDATE(DATE(YEAR(TODAY()),MONTH(TODAY()),1),22))-MONTH(IF(ISNUMBER(Suppliers!F77),Suppliers!F77,DATE(YEAR(TODAY()),MONTH(TODAY()),1))),6)=0,1,0),IF(Suppliers!E77="Annual",IF(MOD((YEAR(EDATE(DATE(YEAR(TODAY()),MONTH(TODAY()),1),22))-YEAR(IF(ISNUMBER(Suppliers!F77),Suppliers!F77,DATE(YEAR(TODAY()),MONTH(TODAY()),1))))*12+MONTH(EDATE(DATE(YEAR(TODAY()),MONTH(TODAY()),1),22))-MONTH(IF(ISNUMBER(Suppliers!F77),Suppliers!F77,DATE(YEAR(TODAY()),MONTH(TODAY()),1))),12)=0,1,0),IF(Suppliers!E77="One-time",IF(22=0,1,0),1)))))),"")</f>
        <v/>
      </c>
      <c r="AC79" s="10" t="str">
        <f ca="1">IFERROR(IF(OR(23&gt;=$B$1,Suppliers!A77="",NOT(ISNUMBER(Suppliers!D77)),Suppliers!L77="Expired",Suppliers!L77="Terminate"),"",Suppliers!D77*-1*IF(Suppliers!E77="Monthly",IF(AND(ISNUMBER(Suppliers!G77),(YEAR(EDATE(DATE(YEAR(TODAY()),MONTH(TODAY()),1),23))*12+MONTH(EDATE(DATE(YEAR(TODAY()),MONTH(TODAY()),1),23)))&gt;(YEAR(Suppliers!G77)*12+MONTH(Suppliers!G77))),"",1),IF(Suppliers!E77="Quarterly",IF(MOD((YEAR(EDATE(DATE(YEAR(TODAY()),MONTH(TODAY()),1),23))-YEAR(IF(ISNUMBER(Suppliers!F77),Suppliers!F77,DATE(YEAR(TODAY()),MONTH(TODAY()),1))))*12+MONTH(EDATE(DATE(YEAR(TODAY()),MONTH(TODAY()),1),23))-MONTH(IF(ISNUMBER(Suppliers!F77),Suppliers!F77,DATE(YEAR(TODAY()),MONTH(TODAY()),1))),3)=0,1,0),IF(Suppliers!E77="Semi-annual",IF(MOD((YEAR(EDATE(DATE(YEAR(TODAY()),MONTH(TODAY()),1),23))-YEAR(IF(ISNUMBER(Suppliers!F77),Suppliers!F77,DATE(YEAR(TODAY()),MONTH(TODAY()),1))))*12+MONTH(EDATE(DATE(YEAR(TODAY()),MONTH(TODAY()),1),23))-MONTH(IF(ISNUMBER(Suppliers!F77),Suppliers!F77,DATE(YEAR(TODAY()),MONTH(TODAY()),1))),6)=0,1,0),IF(Suppliers!E77="Annual",IF(MOD((YEAR(EDATE(DATE(YEAR(TODAY()),MONTH(TODAY()),1),23))-YEAR(IF(ISNUMBER(Suppliers!F77),Suppliers!F77,DATE(YEAR(TODAY()),MONTH(TODAY()),1))))*12+MONTH(EDATE(DATE(YEAR(TODAY()),MONTH(TODAY()),1),23))-MONTH(IF(ISNUMBER(Suppliers!F77),Suppliers!F77,DATE(YEAR(TODAY()),MONTH(TODAY()),1))),12)=0,1,0),IF(Suppliers!E77="One-time",IF(23=0,1,0),1)))))),"")</f>
        <v/>
      </c>
    </row>
    <row r="80" spans="1:29" ht="15" customHeight="1" x14ac:dyDescent="0.35">
      <c r="A80" s="4" t="s">
        <v>81</v>
      </c>
      <c r="B80" s="4" t="str">
        <f>IF(Clients!A10="","",Clients!A10)</f>
        <v/>
      </c>
      <c r="C80" s="10" t="str">
        <f>IF(Clients!C10="","",Clients!C10)</f>
        <v/>
      </c>
      <c r="D80" s="10" t="str">
        <f>IF(Clients!D10="","",Clients!D10)</f>
        <v/>
      </c>
      <c r="E80" s="4" t="str">
        <f>IF(Clients!E10="","",Clients!E10)</f>
        <v/>
      </c>
      <c r="F80" s="10" t="str">
        <f ca="1">IFERROR(IF(OR(0&gt;=$B$1,Clients!A10="",NOT(ISNUMBER(Clients!D10)),Clients!L10="Expired",Clients!L10="Terminate"),"",Clients!D10*1*IF(Clients!E10="Monthly",IF(AND(ISNUMBER(Clients!G10),(YEAR(EDATE(DATE(YEAR(TODAY()),MONTH(TODAY()),1),0))*12+MONTH(EDATE(DATE(YEAR(TODAY()),MONTH(TODAY()),1),0)))&gt;(YEAR(Clients!G10)*12+MONTH(Clients!G10))),"",1),IF(Clients!E10="Quarterly",IF(MOD((YEAR(EDATE(DATE(YEAR(TODAY()),MONTH(TODAY()),1),0))-YEAR(IF(ISNUMBER(Clients!F10),Clients!F10,DATE(YEAR(TODAY()),MONTH(TODAY()),1))))*12+MONTH(EDATE(DATE(YEAR(TODAY()),MONTH(TODAY()),1),0))-MONTH(IF(ISNUMBER(Clients!F10),Clients!F10,DATE(YEAR(TODAY()),MONTH(TODAY()),1))),3)=0,1,0),IF(Clients!E10="Semi-annual",IF(MOD((YEAR(EDATE(DATE(YEAR(TODAY()),MONTH(TODAY()),1),0))-YEAR(IF(ISNUMBER(Clients!F10),Clients!F10,DATE(YEAR(TODAY()),MONTH(TODAY()),1))))*12+MONTH(EDATE(DATE(YEAR(TODAY()),MONTH(TODAY()),1),0))-MONTH(IF(ISNUMBER(Clients!F10),Clients!F10,DATE(YEAR(TODAY()),MONTH(TODAY()),1))),6)=0,1,0),IF(Clients!E10="Annual",IF(MOD((YEAR(EDATE(DATE(YEAR(TODAY()),MONTH(TODAY()),1),0))-YEAR(IF(ISNUMBER(Clients!F10),Clients!F10,DATE(YEAR(TODAY()),MONTH(TODAY()),1))))*12+MONTH(EDATE(DATE(YEAR(TODAY()),MONTH(TODAY()),1),0))-MONTH(IF(ISNUMBER(Clients!F10),Clients!F10,DATE(YEAR(TODAY()),MONTH(TODAY()),1))),12)=0,1,0),IF(Clients!E10="One-time",IF(0=0,1,0),1)))))),"")</f>
        <v/>
      </c>
      <c r="G80" s="10" t="str">
        <f ca="1">IFERROR(IF(OR(1&gt;=$B$1,Clients!A10="",NOT(ISNUMBER(Clients!D10)),Clients!L10="Expired",Clients!L10="Terminate"),"",Clients!D10*1*IF(Clients!E10="Monthly",IF(AND(ISNUMBER(Clients!G10),(YEAR(EDATE(DATE(YEAR(TODAY()),MONTH(TODAY()),1),1))*12+MONTH(EDATE(DATE(YEAR(TODAY()),MONTH(TODAY()),1),1)))&gt;(YEAR(Clients!G10)*12+MONTH(Clients!G10))),"",1),IF(Clients!E10="Quarterly",IF(MOD((YEAR(EDATE(DATE(YEAR(TODAY()),MONTH(TODAY()),1),1))-YEAR(IF(ISNUMBER(Clients!F10),Clients!F10,DATE(YEAR(TODAY()),MONTH(TODAY()),1))))*12+MONTH(EDATE(DATE(YEAR(TODAY()),MONTH(TODAY()),1),1))-MONTH(IF(ISNUMBER(Clients!F10),Clients!F10,DATE(YEAR(TODAY()),MONTH(TODAY()),1))),3)=0,1,0),IF(Clients!E10="Semi-annual",IF(MOD((YEAR(EDATE(DATE(YEAR(TODAY()),MONTH(TODAY()),1),1))-YEAR(IF(ISNUMBER(Clients!F10),Clients!F10,DATE(YEAR(TODAY()),MONTH(TODAY()),1))))*12+MONTH(EDATE(DATE(YEAR(TODAY()),MONTH(TODAY()),1),1))-MONTH(IF(ISNUMBER(Clients!F10),Clients!F10,DATE(YEAR(TODAY()),MONTH(TODAY()),1))),6)=0,1,0),IF(Clients!E10="Annual",IF(MOD((YEAR(EDATE(DATE(YEAR(TODAY()),MONTH(TODAY()),1),1))-YEAR(IF(ISNUMBER(Clients!F10),Clients!F10,DATE(YEAR(TODAY()),MONTH(TODAY()),1))))*12+MONTH(EDATE(DATE(YEAR(TODAY()),MONTH(TODAY()),1),1))-MONTH(IF(ISNUMBER(Clients!F10),Clients!F10,DATE(YEAR(TODAY()),MONTH(TODAY()),1))),12)=0,1,0),IF(Clients!E10="One-time",IF(1=0,1,0),1)))))),"")</f>
        <v/>
      </c>
      <c r="H80" s="10" t="str">
        <f ca="1">IFERROR(IF(OR(2&gt;=$B$1,Clients!A10="",NOT(ISNUMBER(Clients!D10)),Clients!L10="Expired",Clients!L10="Terminate"),"",Clients!D10*1*IF(Clients!E10="Monthly",IF(AND(ISNUMBER(Clients!G10),(YEAR(EDATE(DATE(YEAR(TODAY()),MONTH(TODAY()),1),2))*12+MONTH(EDATE(DATE(YEAR(TODAY()),MONTH(TODAY()),1),2)))&gt;(YEAR(Clients!G10)*12+MONTH(Clients!G10))),"",1),IF(Clients!E10="Quarterly",IF(MOD((YEAR(EDATE(DATE(YEAR(TODAY()),MONTH(TODAY()),1),2))-YEAR(IF(ISNUMBER(Clients!F10),Clients!F10,DATE(YEAR(TODAY()),MONTH(TODAY()),1))))*12+MONTH(EDATE(DATE(YEAR(TODAY()),MONTH(TODAY()),1),2))-MONTH(IF(ISNUMBER(Clients!F10),Clients!F10,DATE(YEAR(TODAY()),MONTH(TODAY()),1))),3)=0,1,0),IF(Clients!E10="Semi-annual",IF(MOD((YEAR(EDATE(DATE(YEAR(TODAY()),MONTH(TODAY()),1),2))-YEAR(IF(ISNUMBER(Clients!F10),Clients!F10,DATE(YEAR(TODAY()),MONTH(TODAY()),1))))*12+MONTH(EDATE(DATE(YEAR(TODAY()),MONTH(TODAY()),1),2))-MONTH(IF(ISNUMBER(Clients!F10),Clients!F10,DATE(YEAR(TODAY()),MONTH(TODAY()),1))),6)=0,1,0),IF(Clients!E10="Annual",IF(MOD((YEAR(EDATE(DATE(YEAR(TODAY()),MONTH(TODAY()),1),2))-YEAR(IF(ISNUMBER(Clients!F10),Clients!F10,DATE(YEAR(TODAY()),MONTH(TODAY()),1))))*12+MONTH(EDATE(DATE(YEAR(TODAY()),MONTH(TODAY()),1),2))-MONTH(IF(ISNUMBER(Clients!F10),Clients!F10,DATE(YEAR(TODAY()),MONTH(TODAY()),1))),12)=0,1,0),IF(Clients!E10="One-time",IF(2=0,1,0),1)))))),"")</f>
        <v/>
      </c>
      <c r="I80" s="10" t="str">
        <f ca="1">IFERROR(IF(OR(3&gt;=$B$1,Clients!A10="",NOT(ISNUMBER(Clients!D10)),Clients!L10="Expired",Clients!L10="Terminate"),"",Clients!D10*1*IF(Clients!E10="Monthly",IF(AND(ISNUMBER(Clients!G10),(YEAR(EDATE(DATE(YEAR(TODAY()),MONTH(TODAY()),1),3))*12+MONTH(EDATE(DATE(YEAR(TODAY()),MONTH(TODAY()),1),3)))&gt;(YEAR(Clients!G10)*12+MONTH(Clients!G10))),"",1),IF(Clients!E10="Quarterly",IF(MOD((YEAR(EDATE(DATE(YEAR(TODAY()),MONTH(TODAY()),1),3))-YEAR(IF(ISNUMBER(Clients!F10),Clients!F10,DATE(YEAR(TODAY()),MONTH(TODAY()),1))))*12+MONTH(EDATE(DATE(YEAR(TODAY()),MONTH(TODAY()),1),3))-MONTH(IF(ISNUMBER(Clients!F10),Clients!F10,DATE(YEAR(TODAY()),MONTH(TODAY()),1))),3)=0,1,0),IF(Clients!E10="Semi-annual",IF(MOD((YEAR(EDATE(DATE(YEAR(TODAY()),MONTH(TODAY()),1),3))-YEAR(IF(ISNUMBER(Clients!F10),Clients!F10,DATE(YEAR(TODAY()),MONTH(TODAY()),1))))*12+MONTH(EDATE(DATE(YEAR(TODAY()),MONTH(TODAY()),1),3))-MONTH(IF(ISNUMBER(Clients!F10),Clients!F10,DATE(YEAR(TODAY()),MONTH(TODAY()),1))),6)=0,1,0),IF(Clients!E10="Annual",IF(MOD((YEAR(EDATE(DATE(YEAR(TODAY()),MONTH(TODAY()),1),3))-YEAR(IF(ISNUMBER(Clients!F10),Clients!F10,DATE(YEAR(TODAY()),MONTH(TODAY()),1))))*12+MONTH(EDATE(DATE(YEAR(TODAY()),MONTH(TODAY()),1),3))-MONTH(IF(ISNUMBER(Clients!F10),Clients!F10,DATE(YEAR(TODAY()),MONTH(TODAY()),1))),12)=0,1,0),IF(Clients!E10="One-time",IF(3=0,1,0),1)))))),"")</f>
        <v/>
      </c>
      <c r="J80" s="10" t="str">
        <f ca="1">IFERROR(IF(OR(4&gt;=$B$1,Clients!A10="",NOT(ISNUMBER(Clients!D10)),Clients!L10="Expired",Clients!L10="Terminate"),"",Clients!D10*1*IF(Clients!E10="Monthly",IF(AND(ISNUMBER(Clients!G10),(YEAR(EDATE(DATE(YEAR(TODAY()),MONTH(TODAY()),1),4))*12+MONTH(EDATE(DATE(YEAR(TODAY()),MONTH(TODAY()),1),4)))&gt;(YEAR(Clients!G10)*12+MONTH(Clients!G10))),"",1),IF(Clients!E10="Quarterly",IF(MOD((YEAR(EDATE(DATE(YEAR(TODAY()),MONTH(TODAY()),1),4))-YEAR(IF(ISNUMBER(Clients!F10),Clients!F10,DATE(YEAR(TODAY()),MONTH(TODAY()),1))))*12+MONTH(EDATE(DATE(YEAR(TODAY()),MONTH(TODAY()),1),4))-MONTH(IF(ISNUMBER(Clients!F10),Clients!F10,DATE(YEAR(TODAY()),MONTH(TODAY()),1))),3)=0,1,0),IF(Clients!E10="Semi-annual",IF(MOD((YEAR(EDATE(DATE(YEAR(TODAY()),MONTH(TODAY()),1),4))-YEAR(IF(ISNUMBER(Clients!F10),Clients!F10,DATE(YEAR(TODAY()),MONTH(TODAY()),1))))*12+MONTH(EDATE(DATE(YEAR(TODAY()),MONTH(TODAY()),1),4))-MONTH(IF(ISNUMBER(Clients!F10),Clients!F10,DATE(YEAR(TODAY()),MONTH(TODAY()),1))),6)=0,1,0),IF(Clients!E10="Annual",IF(MOD((YEAR(EDATE(DATE(YEAR(TODAY()),MONTH(TODAY()),1),4))-YEAR(IF(ISNUMBER(Clients!F10),Clients!F10,DATE(YEAR(TODAY()),MONTH(TODAY()),1))))*12+MONTH(EDATE(DATE(YEAR(TODAY()),MONTH(TODAY()),1),4))-MONTH(IF(ISNUMBER(Clients!F10),Clients!F10,DATE(YEAR(TODAY()),MONTH(TODAY()),1))),12)=0,1,0),IF(Clients!E10="One-time",IF(4=0,1,0),1)))))),"")</f>
        <v/>
      </c>
      <c r="K80" s="10" t="str">
        <f ca="1">IFERROR(IF(OR(5&gt;=$B$1,Clients!A10="",NOT(ISNUMBER(Clients!D10)),Clients!L10="Expired",Clients!L10="Terminate"),"",Clients!D10*1*IF(Clients!E10="Monthly",IF(AND(ISNUMBER(Clients!G10),(YEAR(EDATE(DATE(YEAR(TODAY()),MONTH(TODAY()),1),5))*12+MONTH(EDATE(DATE(YEAR(TODAY()),MONTH(TODAY()),1),5)))&gt;(YEAR(Clients!G10)*12+MONTH(Clients!G10))),"",1),IF(Clients!E10="Quarterly",IF(MOD((YEAR(EDATE(DATE(YEAR(TODAY()),MONTH(TODAY()),1),5))-YEAR(IF(ISNUMBER(Clients!F10),Clients!F10,DATE(YEAR(TODAY()),MONTH(TODAY()),1))))*12+MONTH(EDATE(DATE(YEAR(TODAY()),MONTH(TODAY()),1),5))-MONTH(IF(ISNUMBER(Clients!F10),Clients!F10,DATE(YEAR(TODAY()),MONTH(TODAY()),1))),3)=0,1,0),IF(Clients!E10="Semi-annual",IF(MOD((YEAR(EDATE(DATE(YEAR(TODAY()),MONTH(TODAY()),1),5))-YEAR(IF(ISNUMBER(Clients!F10),Clients!F10,DATE(YEAR(TODAY()),MONTH(TODAY()),1))))*12+MONTH(EDATE(DATE(YEAR(TODAY()),MONTH(TODAY()),1),5))-MONTH(IF(ISNUMBER(Clients!F10),Clients!F10,DATE(YEAR(TODAY()),MONTH(TODAY()),1))),6)=0,1,0),IF(Clients!E10="Annual",IF(MOD((YEAR(EDATE(DATE(YEAR(TODAY()),MONTH(TODAY()),1),5))-YEAR(IF(ISNUMBER(Clients!F10),Clients!F10,DATE(YEAR(TODAY()),MONTH(TODAY()),1))))*12+MONTH(EDATE(DATE(YEAR(TODAY()),MONTH(TODAY()),1),5))-MONTH(IF(ISNUMBER(Clients!F10),Clients!F10,DATE(YEAR(TODAY()),MONTH(TODAY()),1))),12)=0,1,0),IF(Clients!E10="One-time",IF(5=0,1,0),1)))))),"")</f>
        <v/>
      </c>
      <c r="L80" s="10" t="str">
        <f ca="1">IFERROR(IF(OR(6&gt;=$B$1,Clients!A10="",NOT(ISNUMBER(Clients!D10)),Clients!L10="Expired",Clients!L10="Terminate"),"",Clients!D10*1*IF(Clients!E10="Monthly",IF(AND(ISNUMBER(Clients!G10),(YEAR(EDATE(DATE(YEAR(TODAY()),MONTH(TODAY()),1),6))*12+MONTH(EDATE(DATE(YEAR(TODAY()),MONTH(TODAY()),1),6)))&gt;(YEAR(Clients!G10)*12+MONTH(Clients!G10))),"",1),IF(Clients!E10="Quarterly",IF(MOD((YEAR(EDATE(DATE(YEAR(TODAY()),MONTH(TODAY()),1),6))-YEAR(IF(ISNUMBER(Clients!F10),Clients!F10,DATE(YEAR(TODAY()),MONTH(TODAY()),1))))*12+MONTH(EDATE(DATE(YEAR(TODAY()),MONTH(TODAY()),1),6))-MONTH(IF(ISNUMBER(Clients!F10),Clients!F10,DATE(YEAR(TODAY()),MONTH(TODAY()),1))),3)=0,1,0),IF(Clients!E10="Semi-annual",IF(MOD((YEAR(EDATE(DATE(YEAR(TODAY()),MONTH(TODAY()),1),6))-YEAR(IF(ISNUMBER(Clients!F10),Clients!F10,DATE(YEAR(TODAY()),MONTH(TODAY()),1))))*12+MONTH(EDATE(DATE(YEAR(TODAY()),MONTH(TODAY()),1),6))-MONTH(IF(ISNUMBER(Clients!F10),Clients!F10,DATE(YEAR(TODAY()),MONTH(TODAY()),1))),6)=0,1,0),IF(Clients!E10="Annual",IF(MOD((YEAR(EDATE(DATE(YEAR(TODAY()),MONTH(TODAY()),1),6))-YEAR(IF(ISNUMBER(Clients!F10),Clients!F10,DATE(YEAR(TODAY()),MONTH(TODAY()),1))))*12+MONTH(EDATE(DATE(YEAR(TODAY()),MONTH(TODAY()),1),6))-MONTH(IF(ISNUMBER(Clients!F10),Clients!F10,DATE(YEAR(TODAY()),MONTH(TODAY()),1))),12)=0,1,0),IF(Clients!E10="One-time",IF(6=0,1,0),1)))))),"")</f>
        <v/>
      </c>
      <c r="M80" s="10" t="str">
        <f ca="1">IFERROR(IF(OR(7&gt;=$B$1,Clients!A10="",NOT(ISNUMBER(Clients!D10)),Clients!L10="Expired",Clients!L10="Terminate"),"",Clients!D10*1*IF(Clients!E10="Monthly",IF(AND(ISNUMBER(Clients!G10),(YEAR(EDATE(DATE(YEAR(TODAY()),MONTH(TODAY()),1),7))*12+MONTH(EDATE(DATE(YEAR(TODAY()),MONTH(TODAY()),1),7)))&gt;(YEAR(Clients!G10)*12+MONTH(Clients!G10))),"",1),IF(Clients!E10="Quarterly",IF(MOD((YEAR(EDATE(DATE(YEAR(TODAY()),MONTH(TODAY()),1),7))-YEAR(IF(ISNUMBER(Clients!F10),Clients!F10,DATE(YEAR(TODAY()),MONTH(TODAY()),1))))*12+MONTH(EDATE(DATE(YEAR(TODAY()),MONTH(TODAY()),1),7))-MONTH(IF(ISNUMBER(Clients!F10),Clients!F10,DATE(YEAR(TODAY()),MONTH(TODAY()),1))),3)=0,1,0),IF(Clients!E10="Semi-annual",IF(MOD((YEAR(EDATE(DATE(YEAR(TODAY()),MONTH(TODAY()),1),7))-YEAR(IF(ISNUMBER(Clients!F10),Clients!F10,DATE(YEAR(TODAY()),MONTH(TODAY()),1))))*12+MONTH(EDATE(DATE(YEAR(TODAY()),MONTH(TODAY()),1),7))-MONTH(IF(ISNUMBER(Clients!F10),Clients!F10,DATE(YEAR(TODAY()),MONTH(TODAY()),1))),6)=0,1,0),IF(Clients!E10="Annual",IF(MOD((YEAR(EDATE(DATE(YEAR(TODAY()),MONTH(TODAY()),1),7))-YEAR(IF(ISNUMBER(Clients!F10),Clients!F10,DATE(YEAR(TODAY()),MONTH(TODAY()),1))))*12+MONTH(EDATE(DATE(YEAR(TODAY()),MONTH(TODAY()),1),7))-MONTH(IF(ISNUMBER(Clients!F10),Clients!F10,DATE(YEAR(TODAY()),MONTH(TODAY()),1))),12)=0,1,0),IF(Clients!E10="One-time",IF(7=0,1,0),1)))))),"")</f>
        <v/>
      </c>
      <c r="N80" s="10" t="str">
        <f ca="1">IFERROR(IF(OR(8&gt;=$B$1,Clients!A10="",NOT(ISNUMBER(Clients!D10)),Clients!L10="Expired",Clients!L10="Terminate"),"",Clients!D10*1*IF(Clients!E10="Monthly",IF(AND(ISNUMBER(Clients!G10),(YEAR(EDATE(DATE(YEAR(TODAY()),MONTH(TODAY()),1),8))*12+MONTH(EDATE(DATE(YEAR(TODAY()),MONTH(TODAY()),1),8)))&gt;(YEAR(Clients!G10)*12+MONTH(Clients!G10))),"",1),IF(Clients!E10="Quarterly",IF(MOD((YEAR(EDATE(DATE(YEAR(TODAY()),MONTH(TODAY()),1),8))-YEAR(IF(ISNUMBER(Clients!F10),Clients!F10,DATE(YEAR(TODAY()),MONTH(TODAY()),1))))*12+MONTH(EDATE(DATE(YEAR(TODAY()),MONTH(TODAY()),1),8))-MONTH(IF(ISNUMBER(Clients!F10),Clients!F10,DATE(YEAR(TODAY()),MONTH(TODAY()),1))),3)=0,1,0),IF(Clients!E10="Semi-annual",IF(MOD((YEAR(EDATE(DATE(YEAR(TODAY()),MONTH(TODAY()),1),8))-YEAR(IF(ISNUMBER(Clients!F10),Clients!F10,DATE(YEAR(TODAY()),MONTH(TODAY()),1))))*12+MONTH(EDATE(DATE(YEAR(TODAY()),MONTH(TODAY()),1),8))-MONTH(IF(ISNUMBER(Clients!F10),Clients!F10,DATE(YEAR(TODAY()),MONTH(TODAY()),1))),6)=0,1,0),IF(Clients!E10="Annual",IF(MOD((YEAR(EDATE(DATE(YEAR(TODAY()),MONTH(TODAY()),1),8))-YEAR(IF(ISNUMBER(Clients!F10),Clients!F10,DATE(YEAR(TODAY()),MONTH(TODAY()),1))))*12+MONTH(EDATE(DATE(YEAR(TODAY()),MONTH(TODAY()),1),8))-MONTH(IF(ISNUMBER(Clients!F10),Clients!F10,DATE(YEAR(TODAY()),MONTH(TODAY()),1))),12)=0,1,0),IF(Clients!E10="One-time",IF(8=0,1,0),1)))))),"")</f>
        <v/>
      </c>
      <c r="O80" s="10" t="str">
        <f ca="1">IFERROR(IF(OR(9&gt;=$B$1,Clients!A10="",NOT(ISNUMBER(Clients!D10)),Clients!L10="Expired",Clients!L10="Terminate"),"",Clients!D10*1*IF(Clients!E10="Monthly",IF(AND(ISNUMBER(Clients!G10),(YEAR(EDATE(DATE(YEAR(TODAY()),MONTH(TODAY()),1),9))*12+MONTH(EDATE(DATE(YEAR(TODAY()),MONTH(TODAY()),1),9)))&gt;(YEAR(Clients!G10)*12+MONTH(Clients!G10))),"",1),IF(Clients!E10="Quarterly",IF(MOD((YEAR(EDATE(DATE(YEAR(TODAY()),MONTH(TODAY()),1),9))-YEAR(IF(ISNUMBER(Clients!F10),Clients!F10,DATE(YEAR(TODAY()),MONTH(TODAY()),1))))*12+MONTH(EDATE(DATE(YEAR(TODAY()),MONTH(TODAY()),1),9))-MONTH(IF(ISNUMBER(Clients!F10),Clients!F10,DATE(YEAR(TODAY()),MONTH(TODAY()),1))),3)=0,1,0),IF(Clients!E10="Semi-annual",IF(MOD((YEAR(EDATE(DATE(YEAR(TODAY()),MONTH(TODAY()),1),9))-YEAR(IF(ISNUMBER(Clients!F10),Clients!F10,DATE(YEAR(TODAY()),MONTH(TODAY()),1))))*12+MONTH(EDATE(DATE(YEAR(TODAY()),MONTH(TODAY()),1),9))-MONTH(IF(ISNUMBER(Clients!F10),Clients!F10,DATE(YEAR(TODAY()),MONTH(TODAY()),1))),6)=0,1,0),IF(Clients!E10="Annual",IF(MOD((YEAR(EDATE(DATE(YEAR(TODAY()),MONTH(TODAY()),1),9))-YEAR(IF(ISNUMBER(Clients!F10),Clients!F10,DATE(YEAR(TODAY()),MONTH(TODAY()),1))))*12+MONTH(EDATE(DATE(YEAR(TODAY()),MONTH(TODAY()),1),9))-MONTH(IF(ISNUMBER(Clients!F10),Clients!F10,DATE(YEAR(TODAY()),MONTH(TODAY()),1))),12)=0,1,0),IF(Clients!E10="One-time",IF(9=0,1,0),1)))))),"")</f>
        <v/>
      </c>
      <c r="P80" s="10" t="str">
        <f ca="1">IFERROR(IF(OR(10&gt;=$B$1,Clients!A10="",NOT(ISNUMBER(Clients!D10)),Clients!L10="Expired",Clients!L10="Terminate"),"",Clients!D10*1*IF(Clients!E10="Monthly",IF(AND(ISNUMBER(Clients!G10),(YEAR(EDATE(DATE(YEAR(TODAY()),MONTH(TODAY()),1),10))*12+MONTH(EDATE(DATE(YEAR(TODAY()),MONTH(TODAY()),1),10)))&gt;(YEAR(Clients!G10)*12+MONTH(Clients!G10))),"",1),IF(Clients!E10="Quarterly",IF(MOD((YEAR(EDATE(DATE(YEAR(TODAY()),MONTH(TODAY()),1),10))-YEAR(IF(ISNUMBER(Clients!F10),Clients!F10,DATE(YEAR(TODAY()),MONTH(TODAY()),1))))*12+MONTH(EDATE(DATE(YEAR(TODAY()),MONTH(TODAY()),1),10))-MONTH(IF(ISNUMBER(Clients!F10),Clients!F10,DATE(YEAR(TODAY()),MONTH(TODAY()),1))),3)=0,1,0),IF(Clients!E10="Semi-annual",IF(MOD((YEAR(EDATE(DATE(YEAR(TODAY()),MONTH(TODAY()),1),10))-YEAR(IF(ISNUMBER(Clients!F10),Clients!F10,DATE(YEAR(TODAY()),MONTH(TODAY()),1))))*12+MONTH(EDATE(DATE(YEAR(TODAY()),MONTH(TODAY()),1),10))-MONTH(IF(ISNUMBER(Clients!F10),Clients!F10,DATE(YEAR(TODAY()),MONTH(TODAY()),1))),6)=0,1,0),IF(Clients!E10="Annual",IF(MOD((YEAR(EDATE(DATE(YEAR(TODAY()),MONTH(TODAY()),1),10))-YEAR(IF(ISNUMBER(Clients!F10),Clients!F10,DATE(YEAR(TODAY()),MONTH(TODAY()),1))))*12+MONTH(EDATE(DATE(YEAR(TODAY()),MONTH(TODAY()),1),10))-MONTH(IF(ISNUMBER(Clients!F10),Clients!F10,DATE(YEAR(TODAY()),MONTH(TODAY()),1))),12)=0,1,0),IF(Clients!E10="One-time",IF(10=0,1,0),1)))))),"")</f>
        <v/>
      </c>
      <c r="Q80" s="10" t="str">
        <f ca="1">IFERROR(IF(OR(11&gt;=$B$1,Clients!A10="",NOT(ISNUMBER(Clients!D10)),Clients!L10="Expired",Clients!L10="Terminate"),"",Clients!D10*1*IF(Clients!E10="Monthly",IF(AND(ISNUMBER(Clients!G10),(YEAR(EDATE(DATE(YEAR(TODAY()),MONTH(TODAY()),1),11))*12+MONTH(EDATE(DATE(YEAR(TODAY()),MONTH(TODAY()),1),11)))&gt;(YEAR(Clients!G10)*12+MONTH(Clients!G10))),"",1),IF(Clients!E10="Quarterly",IF(MOD((YEAR(EDATE(DATE(YEAR(TODAY()),MONTH(TODAY()),1),11))-YEAR(IF(ISNUMBER(Clients!F10),Clients!F10,DATE(YEAR(TODAY()),MONTH(TODAY()),1))))*12+MONTH(EDATE(DATE(YEAR(TODAY()),MONTH(TODAY()),1),11))-MONTH(IF(ISNUMBER(Clients!F10),Clients!F10,DATE(YEAR(TODAY()),MONTH(TODAY()),1))),3)=0,1,0),IF(Clients!E10="Semi-annual",IF(MOD((YEAR(EDATE(DATE(YEAR(TODAY()),MONTH(TODAY()),1),11))-YEAR(IF(ISNUMBER(Clients!F10),Clients!F10,DATE(YEAR(TODAY()),MONTH(TODAY()),1))))*12+MONTH(EDATE(DATE(YEAR(TODAY()),MONTH(TODAY()),1),11))-MONTH(IF(ISNUMBER(Clients!F10),Clients!F10,DATE(YEAR(TODAY()),MONTH(TODAY()),1))),6)=0,1,0),IF(Clients!E10="Annual",IF(MOD((YEAR(EDATE(DATE(YEAR(TODAY()),MONTH(TODAY()),1),11))-YEAR(IF(ISNUMBER(Clients!F10),Clients!F10,DATE(YEAR(TODAY()),MONTH(TODAY()),1))))*12+MONTH(EDATE(DATE(YEAR(TODAY()),MONTH(TODAY()),1),11))-MONTH(IF(ISNUMBER(Clients!F10),Clients!F10,DATE(YEAR(TODAY()),MONTH(TODAY()),1))),12)=0,1,0),IF(Clients!E10="One-time",IF(11=0,1,0),1)))))),"")</f>
        <v/>
      </c>
      <c r="R80" s="10" t="str">
        <f ca="1">IFERROR(IF(OR(12&gt;=$B$1,Suppliers!A78="",NOT(ISNUMBER(Suppliers!D78)),Suppliers!L78="Expired",Suppliers!L78="Terminate"),"",Suppliers!D78*-1*IF(Suppliers!E78="Monthly",IF(AND(ISNUMBER(Suppliers!G78),(YEAR(EDATE(DATE(YEAR(TODAY()),MONTH(TODAY()),1),12))*12+MONTH(EDATE(DATE(YEAR(TODAY()),MONTH(TODAY()),1),12)))&gt;(YEAR(Suppliers!G78)*12+MONTH(Suppliers!G78))),"",1),IF(Suppliers!E78="Quarterly",IF(MOD((YEAR(EDATE(DATE(YEAR(TODAY()),MONTH(TODAY()),1),12))-YEAR(IF(ISNUMBER(Suppliers!F78),Suppliers!F78,DATE(YEAR(TODAY()),MONTH(TODAY()),1))))*12+MONTH(EDATE(DATE(YEAR(TODAY()),MONTH(TODAY()),1),12))-MONTH(IF(ISNUMBER(Suppliers!F78),Suppliers!F78,DATE(YEAR(TODAY()),MONTH(TODAY()),1))),3)=0,1,0),IF(Suppliers!E78="Semi-annual",IF(MOD((YEAR(EDATE(DATE(YEAR(TODAY()),MONTH(TODAY()),1),12))-YEAR(IF(ISNUMBER(Suppliers!F78),Suppliers!F78,DATE(YEAR(TODAY()),MONTH(TODAY()),1))))*12+MONTH(EDATE(DATE(YEAR(TODAY()),MONTH(TODAY()),1),12))-MONTH(IF(ISNUMBER(Suppliers!F78),Suppliers!F78,DATE(YEAR(TODAY()),MONTH(TODAY()),1))),6)=0,1,0),IF(Suppliers!E78="Annual",IF(MOD((YEAR(EDATE(DATE(YEAR(TODAY()),MONTH(TODAY()),1),12))-YEAR(IF(ISNUMBER(Suppliers!F78),Suppliers!F78,DATE(YEAR(TODAY()),MONTH(TODAY()),1))))*12+MONTH(EDATE(DATE(YEAR(TODAY()),MONTH(TODAY()),1),12))-MONTH(IF(ISNUMBER(Suppliers!F78),Suppliers!F78,DATE(YEAR(TODAY()),MONTH(TODAY()),1))),12)=0,1,0),IF(Suppliers!E78="One-time",IF(12=0,1,0),1)))))),"")</f>
        <v/>
      </c>
      <c r="S80" s="10" t="str">
        <f ca="1">IFERROR(IF(OR(13&gt;=$B$1,Suppliers!A78="",NOT(ISNUMBER(Suppliers!D78)),Suppliers!L78="Expired",Suppliers!L78="Terminate"),"",Suppliers!D78*-1*IF(Suppliers!E78="Monthly",IF(AND(ISNUMBER(Suppliers!G78),(YEAR(EDATE(DATE(YEAR(TODAY()),MONTH(TODAY()),1),13))*12+MONTH(EDATE(DATE(YEAR(TODAY()),MONTH(TODAY()),1),13)))&gt;(YEAR(Suppliers!G78)*12+MONTH(Suppliers!G78))),"",1),IF(Suppliers!E78="Quarterly",IF(MOD((YEAR(EDATE(DATE(YEAR(TODAY()),MONTH(TODAY()),1),13))-YEAR(IF(ISNUMBER(Suppliers!F78),Suppliers!F78,DATE(YEAR(TODAY()),MONTH(TODAY()),1))))*12+MONTH(EDATE(DATE(YEAR(TODAY()),MONTH(TODAY()),1),13))-MONTH(IF(ISNUMBER(Suppliers!F78),Suppliers!F78,DATE(YEAR(TODAY()),MONTH(TODAY()),1))),3)=0,1,0),IF(Suppliers!E78="Semi-annual",IF(MOD((YEAR(EDATE(DATE(YEAR(TODAY()),MONTH(TODAY()),1),13))-YEAR(IF(ISNUMBER(Suppliers!F78),Suppliers!F78,DATE(YEAR(TODAY()),MONTH(TODAY()),1))))*12+MONTH(EDATE(DATE(YEAR(TODAY()),MONTH(TODAY()),1),13))-MONTH(IF(ISNUMBER(Suppliers!F78),Suppliers!F78,DATE(YEAR(TODAY()),MONTH(TODAY()),1))),6)=0,1,0),IF(Suppliers!E78="Annual",IF(MOD((YEAR(EDATE(DATE(YEAR(TODAY()),MONTH(TODAY()),1),13))-YEAR(IF(ISNUMBER(Suppliers!F78),Suppliers!F78,DATE(YEAR(TODAY()),MONTH(TODAY()),1))))*12+MONTH(EDATE(DATE(YEAR(TODAY()),MONTH(TODAY()),1),13))-MONTH(IF(ISNUMBER(Suppliers!F78),Suppliers!F78,DATE(YEAR(TODAY()),MONTH(TODAY()),1))),12)=0,1,0),IF(Suppliers!E78="One-time",IF(13=0,1,0),1)))))),"")</f>
        <v/>
      </c>
      <c r="T80" s="10" t="str">
        <f ca="1">IFERROR(IF(OR(14&gt;=$B$1,Suppliers!A78="",NOT(ISNUMBER(Suppliers!D78)),Suppliers!L78="Expired",Suppliers!L78="Terminate"),"",Suppliers!D78*-1*IF(Suppliers!E78="Monthly",IF(AND(ISNUMBER(Suppliers!G78),(YEAR(EDATE(DATE(YEAR(TODAY()),MONTH(TODAY()),1),14))*12+MONTH(EDATE(DATE(YEAR(TODAY()),MONTH(TODAY()),1),14)))&gt;(YEAR(Suppliers!G78)*12+MONTH(Suppliers!G78))),"",1),IF(Suppliers!E78="Quarterly",IF(MOD((YEAR(EDATE(DATE(YEAR(TODAY()),MONTH(TODAY()),1),14))-YEAR(IF(ISNUMBER(Suppliers!F78),Suppliers!F78,DATE(YEAR(TODAY()),MONTH(TODAY()),1))))*12+MONTH(EDATE(DATE(YEAR(TODAY()),MONTH(TODAY()),1),14))-MONTH(IF(ISNUMBER(Suppliers!F78),Suppliers!F78,DATE(YEAR(TODAY()),MONTH(TODAY()),1))),3)=0,1,0),IF(Suppliers!E78="Semi-annual",IF(MOD((YEAR(EDATE(DATE(YEAR(TODAY()),MONTH(TODAY()),1),14))-YEAR(IF(ISNUMBER(Suppliers!F78),Suppliers!F78,DATE(YEAR(TODAY()),MONTH(TODAY()),1))))*12+MONTH(EDATE(DATE(YEAR(TODAY()),MONTH(TODAY()),1),14))-MONTH(IF(ISNUMBER(Suppliers!F78),Suppliers!F78,DATE(YEAR(TODAY()),MONTH(TODAY()),1))),6)=0,1,0),IF(Suppliers!E78="Annual",IF(MOD((YEAR(EDATE(DATE(YEAR(TODAY()),MONTH(TODAY()),1),14))-YEAR(IF(ISNUMBER(Suppliers!F78),Suppliers!F78,DATE(YEAR(TODAY()),MONTH(TODAY()),1))))*12+MONTH(EDATE(DATE(YEAR(TODAY()),MONTH(TODAY()),1),14))-MONTH(IF(ISNUMBER(Suppliers!F78),Suppliers!F78,DATE(YEAR(TODAY()),MONTH(TODAY()),1))),12)=0,1,0),IF(Suppliers!E78="One-time",IF(14=0,1,0),1)))))),"")</f>
        <v/>
      </c>
      <c r="U80" s="10" t="str">
        <f ca="1">IFERROR(IF(OR(15&gt;=$B$1,Suppliers!A78="",NOT(ISNUMBER(Suppliers!D78)),Suppliers!L78="Expired",Suppliers!L78="Terminate"),"",Suppliers!D78*-1*IF(Suppliers!E78="Monthly",IF(AND(ISNUMBER(Suppliers!G78),(YEAR(EDATE(DATE(YEAR(TODAY()),MONTH(TODAY()),1),15))*12+MONTH(EDATE(DATE(YEAR(TODAY()),MONTH(TODAY()),1),15)))&gt;(YEAR(Suppliers!G78)*12+MONTH(Suppliers!G78))),"",1),IF(Suppliers!E78="Quarterly",IF(MOD((YEAR(EDATE(DATE(YEAR(TODAY()),MONTH(TODAY()),1),15))-YEAR(IF(ISNUMBER(Suppliers!F78),Suppliers!F78,DATE(YEAR(TODAY()),MONTH(TODAY()),1))))*12+MONTH(EDATE(DATE(YEAR(TODAY()),MONTH(TODAY()),1),15))-MONTH(IF(ISNUMBER(Suppliers!F78),Suppliers!F78,DATE(YEAR(TODAY()),MONTH(TODAY()),1))),3)=0,1,0),IF(Suppliers!E78="Semi-annual",IF(MOD((YEAR(EDATE(DATE(YEAR(TODAY()),MONTH(TODAY()),1),15))-YEAR(IF(ISNUMBER(Suppliers!F78),Suppliers!F78,DATE(YEAR(TODAY()),MONTH(TODAY()),1))))*12+MONTH(EDATE(DATE(YEAR(TODAY()),MONTH(TODAY()),1),15))-MONTH(IF(ISNUMBER(Suppliers!F78),Suppliers!F78,DATE(YEAR(TODAY()),MONTH(TODAY()),1))),6)=0,1,0),IF(Suppliers!E78="Annual",IF(MOD((YEAR(EDATE(DATE(YEAR(TODAY()),MONTH(TODAY()),1),15))-YEAR(IF(ISNUMBER(Suppliers!F78),Suppliers!F78,DATE(YEAR(TODAY()),MONTH(TODAY()),1))))*12+MONTH(EDATE(DATE(YEAR(TODAY()),MONTH(TODAY()),1),15))-MONTH(IF(ISNUMBER(Suppliers!F78),Suppliers!F78,DATE(YEAR(TODAY()),MONTH(TODAY()),1))),12)=0,1,0),IF(Suppliers!E78="One-time",IF(15=0,1,0),1)))))),"")</f>
        <v/>
      </c>
      <c r="V80" s="10" t="str">
        <f ca="1">IFERROR(IF(OR(16&gt;=$B$1,Suppliers!A78="",NOT(ISNUMBER(Suppliers!D78)),Suppliers!L78="Expired",Suppliers!L78="Terminate"),"",Suppliers!D78*-1*IF(Suppliers!E78="Monthly",IF(AND(ISNUMBER(Suppliers!G78),(YEAR(EDATE(DATE(YEAR(TODAY()),MONTH(TODAY()),1),16))*12+MONTH(EDATE(DATE(YEAR(TODAY()),MONTH(TODAY()),1),16)))&gt;(YEAR(Suppliers!G78)*12+MONTH(Suppliers!G78))),"",1),IF(Suppliers!E78="Quarterly",IF(MOD((YEAR(EDATE(DATE(YEAR(TODAY()),MONTH(TODAY()),1),16))-YEAR(IF(ISNUMBER(Suppliers!F78),Suppliers!F78,DATE(YEAR(TODAY()),MONTH(TODAY()),1))))*12+MONTH(EDATE(DATE(YEAR(TODAY()),MONTH(TODAY()),1),16))-MONTH(IF(ISNUMBER(Suppliers!F78),Suppliers!F78,DATE(YEAR(TODAY()),MONTH(TODAY()),1))),3)=0,1,0),IF(Suppliers!E78="Semi-annual",IF(MOD((YEAR(EDATE(DATE(YEAR(TODAY()),MONTH(TODAY()),1),16))-YEAR(IF(ISNUMBER(Suppliers!F78),Suppliers!F78,DATE(YEAR(TODAY()),MONTH(TODAY()),1))))*12+MONTH(EDATE(DATE(YEAR(TODAY()),MONTH(TODAY()),1),16))-MONTH(IF(ISNUMBER(Suppliers!F78),Suppliers!F78,DATE(YEAR(TODAY()),MONTH(TODAY()),1))),6)=0,1,0),IF(Suppliers!E78="Annual",IF(MOD((YEAR(EDATE(DATE(YEAR(TODAY()),MONTH(TODAY()),1),16))-YEAR(IF(ISNUMBER(Suppliers!F78),Suppliers!F78,DATE(YEAR(TODAY()),MONTH(TODAY()),1))))*12+MONTH(EDATE(DATE(YEAR(TODAY()),MONTH(TODAY()),1),16))-MONTH(IF(ISNUMBER(Suppliers!F78),Suppliers!F78,DATE(YEAR(TODAY()),MONTH(TODAY()),1))),12)=0,1,0),IF(Suppliers!E78="One-time",IF(16=0,1,0),1)))))),"")</f>
        <v/>
      </c>
      <c r="W80" s="10" t="str">
        <f ca="1">IFERROR(IF(OR(17&gt;=$B$1,Suppliers!A78="",NOT(ISNUMBER(Suppliers!D78)),Suppliers!L78="Expired",Suppliers!L78="Terminate"),"",Suppliers!D78*-1*IF(Suppliers!E78="Monthly",IF(AND(ISNUMBER(Suppliers!G78),(YEAR(EDATE(DATE(YEAR(TODAY()),MONTH(TODAY()),1),17))*12+MONTH(EDATE(DATE(YEAR(TODAY()),MONTH(TODAY()),1),17)))&gt;(YEAR(Suppliers!G78)*12+MONTH(Suppliers!G78))),"",1),IF(Suppliers!E78="Quarterly",IF(MOD((YEAR(EDATE(DATE(YEAR(TODAY()),MONTH(TODAY()),1),17))-YEAR(IF(ISNUMBER(Suppliers!F78),Suppliers!F78,DATE(YEAR(TODAY()),MONTH(TODAY()),1))))*12+MONTH(EDATE(DATE(YEAR(TODAY()),MONTH(TODAY()),1),17))-MONTH(IF(ISNUMBER(Suppliers!F78),Suppliers!F78,DATE(YEAR(TODAY()),MONTH(TODAY()),1))),3)=0,1,0),IF(Suppliers!E78="Semi-annual",IF(MOD((YEAR(EDATE(DATE(YEAR(TODAY()),MONTH(TODAY()),1),17))-YEAR(IF(ISNUMBER(Suppliers!F78),Suppliers!F78,DATE(YEAR(TODAY()),MONTH(TODAY()),1))))*12+MONTH(EDATE(DATE(YEAR(TODAY()),MONTH(TODAY()),1),17))-MONTH(IF(ISNUMBER(Suppliers!F78),Suppliers!F78,DATE(YEAR(TODAY()),MONTH(TODAY()),1))),6)=0,1,0),IF(Suppliers!E78="Annual",IF(MOD((YEAR(EDATE(DATE(YEAR(TODAY()),MONTH(TODAY()),1),17))-YEAR(IF(ISNUMBER(Suppliers!F78),Suppliers!F78,DATE(YEAR(TODAY()),MONTH(TODAY()),1))))*12+MONTH(EDATE(DATE(YEAR(TODAY()),MONTH(TODAY()),1),17))-MONTH(IF(ISNUMBER(Suppliers!F78),Suppliers!F78,DATE(YEAR(TODAY()),MONTH(TODAY()),1))),12)=0,1,0),IF(Suppliers!E78="One-time",IF(17=0,1,0),1)))))),"")</f>
        <v/>
      </c>
      <c r="X80" s="10" t="str">
        <f ca="1">IFERROR(IF(OR(18&gt;=$B$1,Suppliers!A78="",NOT(ISNUMBER(Suppliers!D78)),Suppliers!L78="Expired",Suppliers!L78="Terminate"),"",Suppliers!D78*-1*IF(Suppliers!E78="Monthly",IF(AND(ISNUMBER(Suppliers!G78),(YEAR(EDATE(DATE(YEAR(TODAY()),MONTH(TODAY()),1),18))*12+MONTH(EDATE(DATE(YEAR(TODAY()),MONTH(TODAY()),1),18)))&gt;(YEAR(Suppliers!G78)*12+MONTH(Suppliers!G78))),"",1),IF(Suppliers!E78="Quarterly",IF(MOD((YEAR(EDATE(DATE(YEAR(TODAY()),MONTH(TODAY()),1),18))-YEAR(IF(ISNUMBER(Suppliers!F78),Suppliers!F78,DATE(YEAR(TODAY()),MONTH(TODAY()),1))))*12+MONTH(EDATE(DATE(YEAR(TODAY()),MONTH(TODAY()),1),18))-MONTH(IF(ISNUMBER(Suppliers!F78),Suppliers!F78,DATE(YEAR(TODAY()),MONTH(TODAY()),1))),3)=0,1,0),IF(Suppliers!E78="Semi-annual",IF(MOD((YEAR(EDATE(DATE(YEAR(TODAY()),MONTH(TODAY()),1),18))-YEAR(IF(ISNUMBER(Suppliers!F78),Suppliers!F78,DATE(YEAR(TODAY()),MONTH(TODAY()),1))))*12+MONTH(EDATE(DATE(YEAR(TODAY()),MONTH(TODAY()),1),18))-MONTH(IF(ISNUMBER(Suppliers!F78),Suppliers!F78,DATE(YEAR(TODAY()),MONTH(TODAY()),1))),6)=0,1,0),IF(Suppliers!E78="Annual",IF(MOD((YEAR(EDATE(DATE(YEAR(TODAY()),MONTH(TODAY()),1),18))-YEAR(IF(ISNUMBER(Suppliers!F78),Suppliers!F78,DATE(YEAR(TODAY()),MONTH(TODAY()),1))))*12+MONTH(EDATE(DATE(YEAR(TODAY()),MONTH(TODAY()),1),18))-MONTH(IF(ISNUMBER(Suppliers!F78),Suppliers!F78,DATE(YEAR(TODAY()),MONTH(TODAY()),1))),12)=0,1,0),IF(Suppliers!E78="One-time",IF(18=0,1,0),1)))))),"")</f>
        <v/>
      </c>
      <c r="Y80" s="10" t="str">
        <f ca="1">IFERROR(IF(OR(19&gt;=$B$1,Suppliers!A78="",NOT(ISNUMBER(Suppliers!D78)),Suppliers!L78="Expired",Suppliers!L78="Terminate"),"",Suppliers!D78*-1*IF(Suppliers!E78="Monthly",IF(AND(ISNUMBER(Suppliers!G78),(YEAR(EDATE(DATE(YEAR(TODAY()),MONTH(TODAY()),1),19))*12+MONTH(EDATE(DATE(YEAR(TODAY()),MONTH(TODAY()),1),19)))&gt;(YEAR(Suppliers!G78)*12+MONTH(Suppliers!G78))),"",1),IF(Suppliers!E78="Quarterly",IF(MOD((YEAR(EDATE(DATE(YEAR(TODAY()),MONTH(TODAY()),1),19))-YEAR(IF(ISNUMBER(Suppliers!F78),Suppliers!F78,DATE(YEAR(TODAY()),MONTH(TODAY()),1))))*12+MONTH(EDATE(DATE(YEAR(TODAY()),MONTH(TODAY()),1),19))-MONTH(IF(ISNUMBER(Suppliers!F78),Suppliers!F78,DATE(YEAR(TODAY()),MONTH(TODAY()),1))),3)=0,1,0),IF(Suppliers!E78="Semi-annual",IF(MOD((YEAR(EDATE(DATE(YEAR(TODAY()),MONTH(TODAY()),1),19))-YEAR(IF(ISNUMBER(Suppliers!F78),Suppliers!F78,DATE(YEAR(TODAY()),MONTH(TODAY()),1))))*12+MONTH(EDATE(DATE(YEAR(TODAY()),MONTH(TODAY()),1),19))-MONTH(IF(ISNUMBER(Suppliers!F78),Suppliers!F78,DATE(YEAR(TODAY()),MONTH(TODAY()),1))),6)=0,1,0),IF(Suppliers!E78="Annual",IF(MOD((YEAR(EDATE(DATE(YEAR(TODAY()),MONTH(TODAY()),1),19))-YEAR(IF(ISNUMBER(Suppliers!F78),Suppliers!F78,DATE(YEAR(TODAY()),MONTH(TODAY()),1))))*12+MONTH(EDATE(DATE(YEAR(TODAY()),MONTH(TODAY()),1),19))-MONTH(IF(ISNUMBER(Suppliers!F78),Suppliers!F78,DATE(YEAR(TODAY()),MONTH(TODAY()),1))),12)=0,1,0),IF(Suppliers!E78="One-time",IF(19=0,1,0),1)))))),"")</f>
        <v/>
      </c>
      <c r="Z80" s="10" t="str">
        <f ca="1">IFERROR(IF(OR(20&gt;=$B$1,Suppliers!A78="",NOT(ISNUMBER(Suppliers!D78)),Suppliers!L78="Expired",Suppliers!L78="Terminate"),"",Suppliers!D78*-1*IF(Suppliers!E78="Monthly",IF(AND(ISNUMBER(Suppliers!G78),(YEAR(EDATE(DATE(YEAR(TODAY()),MONTH(TODAY()),1),20))*12+MONTH(EDATE(DATE(YEAR(TODAY()),MONTH(TODAY()),1),20)))&gt;(YEAR(Suppliers!G78)*12+MONTH(Suppliers!G78))),"",1),IF(Suppliers!E78="Quarterly",IF(MOD((YEAR(EDATE(DATE(YEAR(TODAY()),MONTH(TODAY()),1),20))-YEAR(IF(ISNUMBER(Suppliers!F78),Suppliers!F78,DATE(YEAR(TODAY()),MONTH(TODAY()),1))))*12+MONTH(EDATE(DATE(YEAR(TODAY()),MONTH(TODAY()),1),20))-MONTH(IF(ISNUMBER(Suppliers!F78),Suppliers!F78,DATE(YEAR(TODAY()),MONTH(TODAY()),1))),3)=0,1,0),IF(Suppliers!E78="Semi-annual",IF(MOD((YEAR(EDATE(DATE(YEAR(TODAY()),MONTH(TODAY()),1),20))-YEAR(IF(ISNUMBER(Suppliers!F78),Suppliers!F78,DATE(YEAR(TODAY()),MONTH(TODAY()),1))))*12+MONTH(EDATE(DATE(YEAR(TODAY()),MONTH(TODAY()),1),20))-MONTH(IF(ISNUMBER(Suppliers!F78),Suppliers!F78,DATE(YEAR(TODAY()),MONTH(TODAY()),1))),6)=0,1,0),IF(Suppliers!E78="Annual",IF(MOD((YEAR(EDATE(DATE(YEAR(TODAY()),MONTH(TODAY()),1),20))-YEAR(IF(ISNUMBER(Suppliers!F78),Suppliers!F78,DATE(YEAR(TODAY()),MONTH(TODAY()),1))))*12+MONTH(EDATE(DATE(YEAR(TODAY()),MONTH(TODAY()),1),20))-MONTH(IF(ISNUMBER(Suppliers!F78),Suppliers!F78,DATE(YEAR(TODAY()),MONTH(TODAY()),1))),12)=0,1,0),IF(Suppliers!E78="One-time",IF(20=0,1,0),1)))))),"")</f>
        <v/>
      </c>
      <c r="AA80" s="10" t="str">
        <f ca="1">IFERROR(IF(OR(21&gt;=$B$1,Suppliers!A78="",NOT(ISNUMBER(Suppliers!D78)),Suppliers!L78="Expired",Suppliers!L78="Terminate"),"",Suppliers!D78*-1*IF(Suppliers!E78="Monthly",IF(AND(ISNUMBER(Suppliers!G78),(YEAR(EDATE(DATE(YEAR(TODAY()),MONTH(TODAY()),1),21))*12+MONTH(EDATE(DATE(YEAR(TODAY()),MONTH(TODAY()),1),21)))&gt;(YEAR(Suppliers!G78)*12+MONTH(Suppliers!G78))),"",1),IF(Suppliers!E78="Quarterly",IF(MOD((YEAR(EDATE(DATE(YEAR(TODAY()),MONTH(TODAY()),1),21))-YEAR(IF(ISNUMBER(Suppliers!F78),Suppliers!F78,DATE(YEAR(TODAY()),MONTH(TODAY()),1))))*12+MONTH(EDATE(DATE(YEAR(TODAY()),MONTH(TODAY()),1),21))-MONTH(IF(ISNUMBER(Suppliers!F78),Suppliers!F78,DATE(YEAR(TODAY()),MONTH(TODAY()),1))),3)=0,1,0),IF(Suppliers!E78="Semi-annual",IF(MOD((YEAR(EDATE(DATE(YEAR(TODAY()),MONTH(TODAY()),1),21))-YEAR(IF(ISNUMBER(Suppliers!F78),Suppliers!F78,DATE(YEAR(TODAY()),MONTH(TODAY()),1))))*12+MONTH(EDATE(DATE(YEAR(TODAY()),MONTH(TODAY()),1),21))-MONTH(IF(ISNUMBER(Suppliers!F78),Suppliers!F78,DATE(YEAR(TODAY()),MONTH(TODAY()),1))),6)=0,1,0),IF(Suppliers!E78="Annual",IF(MOD((YEAR(EDATE(DATE(YEAR(TODAY()),MONTH(TODAY()),1),21))-YEAR(IF(ISNUMBER(Suppliers!F78),Suppliers!F78,DATE(YEAR(TODAY()),MONTH(TODAY()),1))))*12+MONTH(EDATE(DATE(YEAR(TODAY()),MONTH(TODAY()),1),21))-MONTH(IF(ISNUMBER(Suppliers!F78),Suppliers!F78,DATE(YEAR(TODAY()),MONTH(TODAY()),1))),12)=0,1,0),IF(Suppliers!E78="One-time",IF(21=0,1,0),1)))))),"")</f>
        <v/>
      </c>
      <c r="AB80" s="10" t="str">
        <f ca="1">IFERROR(IF(OR(22&gt;=$B$1,Suppliers!A78="",NOT(ISNUMBER(Suppliers!D78)),Suppliers!L78="Expired",Suppliers!L78="Terminate"),"",Suppliers!D78*-1*IF(Suppliers!E78="Monthly",IF(AND(ISNUMBER(Suppliers!G78),(YEAR(EDATE(DATE(YEAR(TODAY()),MONTH(TODAY()),1),22))*12+MONTH(EDATE(DATE(YEAR(TODAY()),MONTH(TODAY()),1),22)))&gt;(YEAR(Suppliers!G78)*12+MONTH(Suppliers!G78))),"",1),IF(Suppliers!E78="Quarterly",IF(MOD((YEAR(EDATE(DATE(YEAR(TODAY()),MONTH(TODAY()),1),22))-YEAR(IF(ISNUMBER(Suppliers!F78),Suppliers!F78,DATE(YEAR(TODAY()),MONTH(TODAY()),1))))*12+MONTH(EDATE(DATE(YEAR(TODAY()),MONTH(TODAY()),1),22))-MONTH(IF(ISNUMBER(Suppliers!F78),Suppliers!F78,DATE(YEAR(TODAY()),MONTH(TODAY()),1))),3)=0,1,0),IF(Suppliers!E78="Semi-annual",IF(MOD((YEAR(EDATE(DATE(YEAR(TODAY()),MONTH(TODAY()),1),22))-YEAR(IF(ISNUMBER(Suppliers!F78),Suppliers!F78,DATE(YEAR(TODAY()),MONTH(TODAY()),1))))*12+MONTH(EDATE(DATE(YEAR(TODAY()),MONTH(TODAY()),1),22))-MONTH(IF(ISNUMBER(Suppliers!F78),Suppliers!F78,DATE(YEAR(TODAY()),MONTH(TODAY()),1))),6)=0,1,0),IF(Suppliers!E78="Annual",IF(MOD((YEAR(EDATE(DATE(YEAR(TODAY()),MONTH(TODAY()),1),22))-YEAR(IF(ISNUMBER(Suppliers!F78),Suppliers!F78,DATE(YEAR(TODAY()),MONTH(TODAY()),1))))*12+MONTH(EDATE(DATE(YEAR(TODAY()),MONTH(TODAY()),1),22))-MONTH(IF(ISNUMBER(Suppliers!F78),Suppliers!F78,DATE(YEAR(TODAY()),MONTH(TODAY()),1))),12)=0,1,0),IF(Suppliers!E78="One-time",IF(22=0,1,0),1)))))),"")</f>
        <v/>
      </c>
      <c r="AC80" s="10" t="str">
        <f ca="1">IFERROR(IF(OR(23&gt;=$B$1,Suppliers!A78="",NOT(ISNUMBER(Suppliers!D78)),Suppliers!L78="Expired",Suppliers!L78="Terminate"),"",Suppliers!D78*-1*IF(Suppliers!E78="Monthly",IF(AND(ISNUMBER(Suppliers!G78),(YEAR(EDATE(DATE(YEAR(TODAY()),MONTH(TODAY()),1),23))*12+MONTH(EDATE(DATE(YEAR(TODAY()),MONTH(TODAY()),1),23)))&gt;(YEAR(Suppliers!G78)*12+MONTH(Suppliers!G78))),"",1),IF(Suppliers!E78="Quarterly",IF(MOD((YEAR(EDATE(DATE(YEAR(TODAY()),MONTH(TODAY()),1),23))-YEAR(IF(ISNUMBER(Suppliers!F78),Suppliers!F78,DATE(YEAR(TODAY()),MONTH(TODAY()),1))))*12+MONTH(EDATE(DATE(YEAR(TODAY()),MONTH(TODAY()),1),23))-MONTH(IF(ISNUMBER(Suppliers!F78),Suppliers!F78,DATE(YEAR(TODAY()),MONTH(TODAY()),1))),3)=0,1,0),IF(Suppliers!E78="Semi-annual",IF(MOD((YEAR(EDATE(DATE(YEAR(TODAY()),MONTH(TODAY()),1),23))-YEAR(IF(ISNUMBER(Suppliers!F78),Suppliers!F78,DATE(YEAR(TODAY()),MONTH(TODAY()),1))))*12+MONTH(EDATE(DATE(YEAR(TODAY()),MONTH(TODAY()),1),23))-MONTH(IF(ISNUMBER(Suppliers!F78),Suppliers!F78,DATE(YEAR(TODAY()),MONTH(TODAY()),1))),6)=0,1,0),IF(Suppliers!E78="Annual",IF(MOD((YEAR(EDATE(DATE(YEAR(TODAY()),MONTH(TODAY()),1),23))-YEAR(IF(ISNUMBER(Suppliers!F78),Suppliers!F78,DATE(YEAR(TODAY()),MONTH(TODAY()),1))))*12+MONTH(EDATE(DATE(YEAR(TODAY()),MONTH(TODAY()),1),23))-MONTH(IF(ISNUMBER(Suppliers!F78),Suppliers!F78,DATE(YEAR(TODAY()),MONTH(TODAY()),1))),12)=0,1,0),IF(Suppliers!E78="One-time",IF(23=0,1,0),1)))))),"")</f>
        <v/>
      </c>
    </row>
    <row r="81" spans="1:29" ht="15" customHeight="1" x14ac:dyDescent="0.35">
      <c r="A81" s="4" t="s">
        <v>81</v>
      </c>
      <c r="B81" s="4" t="str">
        <f>IF(Clients!A11="","",Clients!A11)</f>
        <v/>
      </c>
      <c r="C81" s="10" t="str">
        <f>IF(Clients!C11="","",Clients!C11)</f>
        <v/>
      </c>
      <c r="D81" s="10" t="str">
        <f>IF(Clients!D11="","",Clients!D11)</f>
        <v/>
      </c>
      <c r="E81" s="4" t="str">
        <f>IF(Clients!E11="","",Clients!E11)</f>
        <v/>
      </c>
      <c r="F81" s="10" t="str">
        <f ca="1">IFERROR(IF(OR(0&gt;=$B$1,Clients!A11="",NOT(ISNUMBER(Clients!D11)),Clients!L11="Expired",Clients!L11="Terminate"),"",Clients!D11*1*IF(Clients!E11="Monthly",IF(AND(ISNUMBER(Clients!G11),(YEAR(EDATE(DATE(YEAR(TODAY()),MONTH(TODAY()),1),0))*12+MONTH(EDATE(DATE(YEAR(TODAY()),MONTH(TODAY()),1),0)))&gt;(YEAR(Clients!G11)*12+MONTH(Clients!G11))),"",1),IF(Clients!E11="Quarterly",IF(MOD((YEAR(EDATE(DATE(YEAR(TODAY()),MONTH(TODAY()),1),0))-YEAR(IF(ISNUMBER(Clients!F11),Clients!F11,DATE(YEAR(TODAY()),MONTH(TODAY()),1))))*12+MONTH(EDATE(DATE(YEAR(TODAY()),MONTH(TODAY()),1),0))-MONTH(IF(ISNUMBER(Clients!F11),Clients!F11,DATE(YEAR(TODAY()),MONTH(TODAY()),1))),3)=0,1,0),IF(Clients!E11="Semi-annual",IF(MOD((YEAR(EDATE(DATE(YEAR(TODAY()),MONTH(TODAY()),1),0))-YEAR(IF(ISNUMBER(Clients!F11),Clients!F11,DATE(YEAR(TODAY()),MONTH(TODAY()),1))))*12+MONTH(EDATE(DATE(YEAR(TODAY()),MONTH(TODAY()),1),0))-MONTH(IF(ISNUMBER(Clients!F11),Clients!F11,DATE(YEAR(TODAY()),MONTH(TODAY()),1))),6)=0,1,0),IF(Clients!E11="Annual",IF(MOD((YEAR(EDATE(DATE(YEAR(TODAY()),MONTH(TODAY()),1),0))-YEAR(IF(ISNUMBER(Clients!F11),Clients!F11,DATE(YEAR(TODAY()),MONTH(TODAY()),1))))*12+MONTH(EDATE(DATE(YEAR(TODAY()),MONTH(TODAY()),1),0))-MONTH(IF(ISNUMBER(Clients!F11),Clients!F11,DATE(YEAR(TODAY()),MONTH(TODAY()),1))),12)=0,1,0),IF(Clients!E11="One-time",IF(0=0,1,0),1)))))),"")</f>
        <v/>
      </c>
      <c r="G81" s="10" t="str">
        <f ca="1">IFERROR(IF(OR(1&gt;=$B$1,Clients!A11="",NOT(ISNUMBER(Clients!D11)),Clients!L11="Expired",Clients!L11="Terminate"),"",Clients!D11*1*IF(Clients!E11="Monthly",IF(AND(ISNUMBER(Clients!G11),(YEAR(EDATE(DATE(YEAR(TODAY()),MONTH(TODAY()),1),1))*12+MONTH(EDATE(DATE(YEAR(TODAY()),MONTH(TODAY()),1),1)))&gt;(YEAR(Clients!G11)*12+MONTH(Clients!G11))),"",1),IF(Clients!E11="Quarterly",IF(MOD((YEAR(EDATE(DATE(YEAR(TODAY()),MONTH(TODAY()),1),1))-YEAR(IF(ISNUMBER(Clients!F11),Clients!F11,DATE(YEAR(TODAY()),MONTH(TODAY()),1))))*12+MONTH(EDATE(DATE(YEAR(TODAY()),MONTH(TODAY()),1),1))-MONTH(IF(ISNUMBER(Clients!F11),Clients!F11,DATE(YEAR(TODAY()),MONTH(TODAY()),1))),3)=0,1,0),IF(Clients!E11="Semi-annual",IF(MOD((YEAR(EDATE(DATE(YEAR(TODAY()),MONTH(TODAY()),1),1))-YEAR(IF(ISNUMBER(Clients!F11),Clients!F11,DATE(YEAR(TODAY()),MONTH(TODAY()),1))))*12+MONTH(EDATE(DATE(YEAR(TODAY()),MONTH(TODAY()),1),1))-MONTH(IF(ISNUMBER(Clients!F11),Clients!F11,DATE(YEAR(TODAY()),MONTH(TODAY()),1))),6)=0,1,0),IF(Clients!E11="Annual",IF(MOD((YEAR(EDATE(DATE(YEAR(TODAY()),MONTH(TODAY()),1),1))-YEAR(IF(ISNUMBER(Clients!F11),Clients!F11,DATE(YEAR(TODAY()),MONTH(TODAY()),1))))*12+MONTH(EDATE(DATE(YEAR(TODAY()),MONTH(TODAY()),1),1))-MONTH(IF(ISNUMBER(Clients!F11),Clients!F11,DATE(YEAR(TODAY()),MONTH(TODAY()),1))),12)=0,1,0),IF(Clients!E11="One-time",IF(1=0,1,0),1)))))),"")</f>
        <v/>
      </c>
      <c r="H81" s="10" t="str">
        <f ca="1">IFERROR(IF(OR(2&gt;=$B$1,Clients!A11="",NOT(ISNUMBER(Clients!D11)),Clients!L11="Expired",Clients!L11="Terminate"),"",Clients!D11*1*IF(Clients!E11="Monthly",IF(AND(ISNUMBER(Clients!G11),(YEAR(EDATE(DATE(YEAR(TODAY()),MONTH(TODAY()),1),2))*12+MONTH(EDATE(DATE(YEAR(TODAY()),MONTH(TODAY()),1),2)))&gt;(YEAR(Clients!G11)*12+MONTH(Clients!G11))),"",1),IF(Clients!E11="Quarterly",IF(MOD((YEAR(EDATE(DATE(YEAR(TODAY()),MONTH(TODAY()),1),2))-YEAR(IF(ISNUMBER(Clients!F11),Clients!F11,DATE(YEAR(TODAY()),MONTH(TODAY()),1))))*12+MONTH(EDATE(DATE(YEAR(TODAY()),MONTH(TODAY()),1),2))-MONTH(IF(ISNUMBER(Clients!F11),Clients!F11,DATE(YEAR(TODAY()),MONTH(TODAY()),1))),3)=0,1,0),IF(Clients!E11="Semi-annual",IF(MOD((YEAR(EDATE(DATE(YEAR(TODAY()),MONTH(TODAY()),1),2))-YEAR(IF(ISNUMBER(Clients!F11),Clients!F11,DATE(YEAR(TODAY()),MONTH(TODAY()),1))))*12+MONTH(EDATE(DATE(YEAR(TODAY()),MONTH(TODAY()),1),2))-MONTH(IF(ISNUMBER(Clients!F11),Clients!F11,DATE(YEAR(TODAY()),MONTH(TODAY()),1))),6)=0,1,0),IF(Clients!E11="Annual",IF(MOD((YEAR(EDATE(DATE(YEAR(TODAY()),MONTH(TODAY()),1),2))-YEAR(IF(ISNUMBER(Clients!F11),Clients!F11,DATE(YEAR(TODAY()),MONTH(TODAY()),1))))*12+MONTH(EDATE(DATE(YEAR(TODAY()),MONTH(TODAY()),1),2))-MONTH(IF(ISNUMBER(Clients!F11),Clients!F11,DATE(YEAR(TODAY()),MONTH(TODAY()),1))),12)=0,1,0),IF(Clients!E11="One-time",IF(2=0,1,0),1)))))),"")</f>
        <v/>
      </c>
      <c r="I81" s="10" t="str">
        <f ca="1">IFERROR(IF(OR(3&gt;=$B$1,Clients!A11="",NOT(ISNUMBER(Clients!D11)),Clients!L11="Expired",Clients!L11="Terminate"),"",Clients!D11*1*IF(Clients!E11="Monthly",IF(AND(ISNUMBER(Clients!G11),(YEAR(EDATE(DATE(YEAR(TODAY()),MONTH(TODAY()),1),3))*12+MONTH(EDATE(DATE(YEAR(TODAY()),MONTH(TODAY()),1),3)))&gt;(YEAR(Clients!G11)*12+MONTH(Clients!G11))),"",1),IF(Clients!E11="Quarterly",IF(MOD((YEAR(EDATE(DATE(YEAR(TODAY()),MONTH(TODAY()),1),3))-YEAR(IF(ISNUMBER(Clients!F11),Clients!F11,DATE(YEAR(TODAY()),MONTH(TODAY()),1))))*12+MONTH(EDATE(DATE(YEAR(TODAY()),MONTH(TODAY()),1),3))-MONTH(IF(ISNUMBER(Clients!F11),Clients!F11,DATE(YEAR(TODAY()),MONTH(TODAY()),1))),3)=0,1,0),IF(Clients!E11="Semi-annual",IF(MOD((YEAR(EDATE(DATE(YEAR(TODAY()),MONTH(TODAY()),1),3))-YEAR(IF(ISNUMBER(Clients!F11),Clients!F11,DATE(YEAR(TODAY()),MONTH(TODAY()),1))))*12+MONTH(EDATE(DATE(YEAR(TODAY()),MONTH(TODAY()),1),3))-MONTH(IF(ISNUMBER(Clients!F11),Clients!F11,DATE(YEAR(TODAY()),MONTH(TODAY()),1))),6)=0,1,0),IF(Clients!E11="Annual",IF(MOD((YEAR(EDATE(DATE(YEAR(TODAY()),MONTH(TODAY()),1),3))-YEAR(IF(ISNUMBER(Clients!F11),Clients!F11,DATE(YEAR(TODAY()),MONTH(TODAY()),1))))*12+MONTH(EDATE(DATE(YEAR(TODAY()),MONTH(TODAY()),1),3))-MONTH(IF(ISNUMBER(Clients!F11),Clients!F11,DATE(YEAR(TODAY()),MONTH(TODAY()),1))),12)=0,1,0),IF(Clients!E11="One-time",IF(3=0,1,0),1)))))),"")</f>
        <v/>
      </c>
      <c r="J81" s="10" t="str">
        <f ca="1">IFERROR(IF(OR(4&gt;=$B$1,Clients!A11="",NOT(ISNUMBER(Clients!D11)),Clients!L11="Expired",Clients!L11="Terminate"),"",Clients!D11*1*IF(Clients!E11="Monthly",IF(AND(ISNUMBER(Clients!G11),(YEAR(EDATE(DATE(YEAR(TODAY()),MONTH(TODAY()),1),4))*12+MONTH(EDATE(DATE(YEAR(TODAY()),MONTH(TODAY()),1),4)))&gt;(YEAR(Clients!G11)*12+MONTH(Clients!G11))),"",1),IF(Clients!E11="Quarterly",IF(MOD((YEAR(EDATE(DATE(YEAR(TODAY()),MONTH(TODAY()),1),4))-YEAR(IF(ISNUMBER(Clients!F11),Clients!F11,DATE(YEAR(TODAY()),MONTH(TODAY()),1))))*12+MONTH(EDATE(DATE(YEAR(TODAY()),MONTH(TODAY()),1),4))-MONTH(IF(ISNUMBER(Clients!F11),Clients!F11,DATE(YEAR(TODAY()),MONTH(TODAY()),1))),3)=0,1,0),IF(Clients!E11="Semi-annual",IF(MOD((YEAR(EDATE(DATE(YEAR(TODAY()),MONTH(TODAY()),1),4))-YEAR(IF(ISNUMBER(Clients!F11),Clients!F11,DATE(YEAR(TODAY()),MONTH(TODAY()),1))))*12+MONTH(EDATE(DATE(YEAR(TODAY()),MONTH(TODAY()),1),4))-MONTH(IF(ISNUMBER(Clients!F11),Clients!F11,DATE(YEAR(TODAY()),MONTH(TODAY()),1))),6)=0,1,0),IF(Clients!E11="Annual",IF(MOD((YEAR(EDATE(DATE(YEAR(TODAY()),MONTH(TODAY()),1),4))-YEAR(IF(ISNUMBER(Clients!F11),Clients!F11,DATE(YEAR(TODAY()),MONTH(TODAY()),1))))*12+MONTH(EDATE(DATE(YEAR(TODAY()),MONTH(TODAY()),1),4))-MONTH(IF(ISNUMBER(Clients!F11),Clients!F11,DATE(YEAR(TODAY()),MONTH(TODAY()),1))),12)=0,1,0),IF(Clients!E11="One-time",IF(4=0,1,0),1)))))),"")</f>
        <v/>
      </c>
      <c r="K81" s="10" t="str">
        <f ca="1">IFERROR(IF(OR(5&gt;=$B$1,Clients!A11="",NOT(ISNUMBER(Clients!D11)),Clients!L11="Expired",Clients!L11="Terminate"),"",Clients!D11*1*IF(Clients!E11="Monthly",IF(AND(ISNUMBER(Clients!G11),(YEAR(EDATE(DATE(YEAR(TODAY()),MONTH(TODAY()),1),5))*12+MONTH(EDATE(DATE(YEAR(TODAY()),MONTH(TODAY()),1),5)))&gt;(YEAR(Clients!G11)*12+MONTH(Clients!G11))),"",1),IF(Clients!E11="Quarterly",IF(MOD((YEAR(EDATE(DATE(YEAR(TODAY()),MONTH(TODAY()),1),5))-YEAR(IF(ISNUMBER(Clients!F11),Clients!F11,DATE(YEAR(TODAY()),MONTH(TODAY()),1))))*12+MONTH(EDATE(DATE(YEAR(TODAY()),MONTH(TODAY()),1),5))-MONTH(IF(ISNUMBER(Clients!F11),Clients!F11,DATE(YEAR(TODAY()),MONTH(TODAY()),1))),3)=0,1,0),IF(Clients!E11="Semi-annual",IF(MOD((YEAR(EDATE(DATE(YEAR(TODAY()),MONTH(TODAY()),1),5))-YEAR(IF(ISNUMBER(Clients!F11),Clients!F11,DATE(YEAR(TODAY()),MONTH(TODAY()),1))))*12+MONTH(EDATE(DATE(YEAR(TODAY()),MONTH(TODAY()),1),5))-MONTH(IF(ISNUMBER(Clients!F11),Clients!F11,DATE(YEAR(TODAY()),MONTH(TODAY()),1))),6)=0,1,0),IF(Clients!E11="Annual",IF(MOD((YEAR(EDATE(DATE(YEAR(TODAY()),MONTH(TODAY()),1),5))-YEAR(IF(ISNUMBER(Clients!F11),Clients!F11,DATE(YEAR(TODAY()),MONTH(TODAY()),1))))*12+MONTH(EDATE(DATE(YEAR(TODAY()),MONTH(TODAY()),1),5))-MONTH(IF(ISNUMBER(Clients!F11),Clients!F11,DATE(YEAR(TODAY()),MONTH(TODAY()),1))),12)=0,1,0),IF(Clients!E11="One-time",IF(5=0,1,0),1)))))),"")</f>
        <v/>
      </c>
      <c r="L81" s="10" t="str">
        <f ca="1">IFERROR(IF(OR(6&gt;=$B$1,Clients!A11="",NOT(ISNUMBER(Clients!D11)),Clients!L11="Expired",Clients!L11="Terminate"),"",Clients!D11*1*IF(Clients!E11="Monthly",IF(AND(ISNUMBER(Clients!G11),(YEAR(EDATE(DATE(YEAR(TODAY()),MONTH(TODAY()),1),6))*12+MONTH(EDATE(DATE(YEAR(TODAY()),MONTH(TODAY()),1),6)))&gt;(YEAR(Clients!G11)*12+MONTH(Clients!G11))),"",1),IF(Clients!E11="Quarterly",IF(MOD((YEAR(EDATE(DATE(YEAR(TODAY()),MONTH(TODAY()),1),6))-YEAR(IF(ISNUMBER(Clients!F11),Clients!F11,DATE(YEAR(TODAY()),MONTH(TODAY()),1))))*12+MONTH(EDATE(DATE(YEAR(TODAY()),MONTH(TODAY()),1),6))-MONTH(IF(ISNUMBER(Clients!F11),Clients!F11,DATE(YEAR(TODAY()),MONTH(TODAY()),1))),3)=0,1,0),IF(Clients!E11="Semi-annual",IF(MOD((YEAR(EDATE(DATE(YEAR(TODAY()),MONTH(TODAY()),1),6))-YEAR(IF(ISNUMBER(Clients!F11),Clients!F11,DATE(YEAR(TODAY()),MONTH(TODAY()),1))))*12+MONTH(EDATE(DATE(YEAR(TODAY()),MONTH(TODAY()),1),6))-MONTH(IF(ISNUMBER(Clients!F11),Clients!F11,DATE(YEAR(TODAY()),MONTH(TODAY()),1))),6)=0,1,0),IF(Clients!E11="Annual",IF(MOD((YEAR(EDATE(DATE(YEAR(TODAY()),MONTH(TODAY()),1),6))-YEAR(IF(ISNUMBER(Clients!F11),Clients!F11,DATE(YEAR(TODAY()),MONTH(TODAY()),1))))*12+MONTH(EDATE(DATE(YEAR(TODAY()),MONTH(TODAY()),1),6))-MONTH(IF(ISNUMBER(Clients!F11),Clients!F11,DATE(YEAR(TODAY()),MONTH(TODAY()),1))),12)=0,1,0),IF(Clients!E11="One-time",IF(6=0,1,0),1)))))),"")</f>
        <v/>
      </c>
      <c r="M81" s="10" t="str">
        <f ca="1">IFERROR(IF(OR(7&gt;=$B$1,Clients!A11="",NOT(ISNUMBER(Clients!D11)),Clients!L11="Expired",Clients!L11="Terminate"),"",Clients!D11*1*IF(Clients!E11="Monthly",IF(AND(ISNUMBER(Clients!G11),(YEAR(EDATE(DATE(YEAR(TODAY()),MONTH(TODAY()),1),7))*12+MONTH(EDATE(DATE(YEAR(TODAY()),MONTH(TODAY()),1),7)))&gt;(YEAR(Clients!G11)*12+MONTH(Clients!G11))),"",1),IF(Clients!E11="Quarterly",IF(MOD((YEAR(EDATE(DATE(YEAR(TODAY()),MONTH(TODAY()),1),7))-YEAR(IF(ISNUMBER(Clients!F11),Clients!F11,DATE(YEAR(TODAY()),MONTH(TODAY()),1))))*12+MONTH(EDATE(DATE(YEAR(TODAY()),MONTH(TODAY()),1),7))-MONTH(IF(ISNUMBER(Clients!F11),Clients!F11,DATE(YEAR(TODAY()),MONTH(TODAY()),1))),3)=0,1,0),IF(Clients!E11="Semi-annual",IF(MOD((YEAR(EDATE(DATE(YEAR(TODAY()),MONTH(TODAY()),1),7))-YEAR(IF(ISNUMBER(Clients!F11),Clients!F11,DATE(YEAR(TODAY()),MONTH(TODAY()),1))))*12+MONTH(EDATE(DATE(YEAR(TODAY()),MONTH(TODAY()),1),7))-MONTH(IF(ISNUMBER(Clients!F11),Clients!F11,DATE(YEAR(TODAY()),MONTH(TODAY()),1))),6)=0,1,0),IF(Clients!E11="Annual",IF(MOD((YEAR(EDATE(DATE(YEAR(TODAY()),MONTH(TODAY()),1),7))-YEAR(IF(ISNUMBER(Clients!F11),Clients!F11,DATE(YEAR(TODAY()),MONTH(TODAY()),1))))*12+MONTH(EDATE(DATE(YEAR(TODAY()),MONTH(TODAY()),1),7))-MONTH(IF(ISNUMBER(Clients!F11),Clients!F11,DATE(YEAR(TODAY()),MONTH(TODAY()),1))),12)=0,1,0),IF(Clients!E11="One-time",IF(7=0,1,0),1)))))),"")</f>
        <v/>
      </c>
      <c r="N81" s="10" t="str">
        <f ca="1">IFERROR(IF(OR(8&gt;=$B$1,Clients!A11="",NOT(ISNUMBER(Clients!D11)),Clients!L11="Expired",Clients!L11="Terminate"),"",Clients!D11*1*IF(Clients!E11="Monthly",IF(AND(ISNUMBER(Clients!G11),(YEAR(EDATE(DATE(YEAR(TODAY()),MONTH(TODAY()),1),8))*12+MONTH(EDATE(DATE(YEAR(TODAY()),MONTH(TODAY()),1),8)))&gt;(YEAR(Clients!G11)*12+MONTH(Clients!G11))),"",1),IF(Clients!E11="Quarterly",IF(MOD((YEAR(EDATE(DATE(YEAR(TODAY()),MONTH(TODAY()),1),8))-YEAR(IF(ISNUMBER(Clients!F11),Clients!F11,DATE(YEAR(TODAY()),MONTH(TODAY()),1))))*12+MONTH(EDATE(DATE(YEAR(TODAY()),MONTH(TODAY()),1),8))-MONTH(IF(ISNUMBER(Clients!F11),Clients!F11,DATE(YEAR(TODAY()),MONTH(TODAY()),1))),3)=0,1,0),IF(Clients!E11="Semi-annual",IF(MOD((YEAR(EDATE(DATE(YEAR(TODAY()),MONTH(TODAY()),1),8))-YEAR(IF(ISNUMBER(Clients!F11),Clients!F11,DATE(YEAR(TODAY()),MONTH(TODAY()),1))))*12+MONTH(EDATE(DATE(YEAR(TODAY()),MONTH(TODAY()),1),8))-MONTH(IF(ISNUMBER(Clients!F11),Clients!F11,DATE(YEAR(TODAY()),MONTH(TODAY()),1))),6)=0,1,0),IF(Clients!E11="Annual",IF(MOD((YEAR(EDATE(DATE(YEAR(TODAY()),MONTH(TODAY()),1),8))-YEAR(IF(ISNUMBER(Clients!F11),Clients!F11,DATE(YEAR(TODAY()),MONTH(TODAY()),1))))*12+MONTH(EDATE(DATE(YEAR(TODAY()),MONTH(TODAY()),1),8))-MONTH(IF(ISNUMBER(Clients!F11),Clients!F11,DATE(YEAR(TODAY()),MONTH(TODAY()),1))),12)=0,1,0),IF(Clients!E11="One-time",IF(8=0,1,0),1)))))),"")</f>
        <v/>
      </c>
      <c r="O81" s="10" t="str">
        <f ca="1">IFERROR(IF(OR(9&gt;=$B$1,Clients!A11="",NOT(ISNUMBER(Clients!D11)),Clients!L11="Expired",Clients!L11="Terminate"),"",Clients!D11*1*IF(Clients!E11="Monthly",IF(AND(ISNUMBER(Clients!G11),(YEAR(EDATE(DATE(YEAR(TODAY()),MONTH(TODAY()),1),9))*12+MONTH(EDATE(DATE(YEAR(TODAY()),MONTH(TODAY()),1),9)))&gt;(YEAR(Clients!G11)*12+MONTH(Clients!G11))),"",1),IF(Clients!E11="Quarterly",IF(MOD((YEAR(EDATE(DATE(YEAR(TODAY()),MONTH(TODAY()),1),9))-YEAR(IF(ISNUMBER(Clients!F11),Clients!F11,DATE(YEAR(TODAY()),MONTH(TODAY()),1))))*12+MONTH(EDATE(DATE(YEAR(TODAY()),MONTH(TODAY()),1),9))-MONTH(IF(ISNUMBER(Clients!F11),Clients!F11,DATE(YEAR(TODAY()),MONTH(TODAY()),1))),3)=0,1,0),IF(Clients!E11="Semi-annual",IF(MOD((YEAR(EDATE(DATE(YEAR(TODAY()),MONTH(TODAY()),1),9))-YEAR(IF(ISNUMBER(Clients!F11),Clients!F11,DATE(YEAR(TODAY()),MONTH(TODAY()),1))))*12+MONTH(EDATE(DATE(YEAR(TODAY()),MONTH(TODAY()),1),9))-MONTH(IF(ISNUMBER(Clients!F11),Clients!F11,DATE(YEAR(TODAY()),MONTH(TODAY()),1))),6)=0,1,0),IF(Clients!E11="Annual",IF(MOD((YEAR(EDATE(DATE(YEAR(TODAY()),MONTH(TODAY()),1),9))-YEAR(IF(ISNUMBER(Clients!F11),Clients!F11,DATE(YEAR(TODAY()),MONTH(TODAY()),1))))*12+MONTH(EDATE(DATE(YEAR(TODAY()),MONTH(TODAY()),1),9))-MONTH(IF(ISNUMBER(Clients!F11),Clients!F11,DATE(YEAR(TODAY()),MONTH(TODAY()),1))),12)=0,1,0),IF(Clients!E11="One-time",IF(9=0,1,0),1)))))),"")</f>
        <v/>
      </c>
      <c r="P81" s="10" t="str">
        <f ca="1">IFERROR(IF(OR(10&gt;=$B$1,Clients!A11="",NOT(ISNUMBER(Clients!D11)),Clients!L11="Expired",Clients!L11="Terminate"),"",Clients!D11*1*IF(Clients!E11="Monthly",IF(AND(ISNUMBER(Clients!G11),(YEAR(EDATE(DATE(YEAR(TODAY()),MONTH(TODAY()),1),10))*12+MONTH(EDATE(DATE(YEAR(TODAY()),MONTH(TODAY()),1),10)))&gt;(YEAR(Clients!G11)*12+MONTH(Clients!G11))),"",1),IF(Clients!E11="Quarterly",IF(MOD((YEAR(EDATE(DATE(YEAR(TODAY()),MONTH(TODAY()),1),10))-YEAR(IF(ISNUMBER(Clients!F11),Clients!F11,DATE(YEAR(TODAY()),MONTH(TODAY()),1))))*12+MONTH(EDATE(DATE(YEAR(TODAY()),MONTH(TODAY()),1),10))-MONTH(IF(ISNUMBER(Clients!F11),Clients!F11,DATE(YEAR(TODAY()),MONTH(TODAY()),1))),3)=0,1,0),IF(Clients!E11="Semi-annual",IF(MOD((YEAR(EDATE(DATE(YEAR(TODAY()),MONTH(TODAY()),1),10))-YEAR(IF(ISNUMBER(Clients!F11),Clients!F11,DATE(YEAR(TODAY()),MONTH(TODAY()),1))))*12+MONTH(EDATE(DATE(YEAR(TODAY()),MONTH(TODAY()),1),10))-MONTH(IF(ISNUMBER(Clients!F11),Clients!F11,DATE(YEAR(TODAY()),MONTH(TODAY()),1))),6)=0,1,0),IF(Clients!E11="Annual",IF(MOD((YEAR(EDATE(DATE(YEAR(TODAY()),MONTH(TODAY()),1),10))-YEAR(IF(ISNUMBER(Clients!F11),Clients!F11,DATE(YEAR(TODAY()),MONTH(TODAY()),1))))*12+MONTH(EDATE(DATE(YEAR(TODAY()),MONTH(TODAY()),1),10))-MONTH(IF(ISNUMBER(Clients!F11),Clients!F11,DATE(YEAR(TODAY()),MONTH(TODAY()),1))),12)=0,1,0),IF(Clients!E11="One-time",IF(10=0,1,0),1)))))),"")</f>
        <v/>
      </c>
      <c r="Q81" s="10" t="str">
        <f ca="1">IFERROR(IF(OR(11&gt;=$B$1,Clients!A11="",NOT(ISNUMBER(Clients!D11)),Clients!L11="Expired",Clients!L11="Terminate"),"",Clients!D11*1*IF(Clients!E11="Monthly",IF(AND(ISNUMBER(Clients!G11),(YEAR(EDATE(DATE(YEAR(TODAY()),MONTH(TODAY()),1),11))*12+MONTH(EDATE(DATE(YEAR(TODAY()),MONTH(TODAY()),1),11)))&gt;(YEAR(Clients!G11)*12+MONTH(Clients!G11))),"",1),IF(Clients!E11="Quarterly",IF(MOD((YEAR(EDATE(DATE(YEAR(TODAY()),MONTH(TODAY()),1),11))-YEAR(IF(ISNUMBER(Clients!F11),Clients!F11,DATE(YEAR(TODAY()),MONTH(TODAY()),1))))*12+MONTH(EDATE(DATE(YEAR(TODAY()),MONTH(TODAY()),1),11))-MONTH(IF(ISNUMBER(Clients!F11),Clients!F11,DATE(YEAR(TODAY()),MONTH(TODAY()),1))),3)=0,1,0),IF(Clients!E11="Semi-annual",IF(MOD((YEAR(EDATE(DATE(YEAR(TODAY()),MONTH(TODAY()),1),11))-YEAR(IF(ISNUMBER(Clients!F11),Clients!F11,DATE(YEAR(TODAY()),MONTH(TODAY()),1))))*12+MONTH(EDATE(DATE(YEAR(TODAY()),MONTH(TODAY()),1),11))-MONTH(IF(ISNUMBER(Clients!F11),Clients!F11,DATE(YEAR(TODAY()),MONTH(TODAY()),1))),6)=0,1,0),IF(Clients!E11="Annual",IF(MOD((YEAR(EDATE(DATE(YEAR(TODAY()),MONTH(TODAY()),1),11))-YEAR(IF(ISNUMBER(Clients!F11),Clients!F11,DATE(YEAR(TODAY()),MONTH(TODAY()),1))))*12+MONTH(EDATE(DATE(YEAR(TODAY()),MONTH(TODAY()),1),11))-MONTH(IF(ISNUMBER(Clients!F11),Clients!F11,DATE(YEAR(TODAY()),MONTH(TODAY()),1))),12)=0,1,0),IF(Clients!E11="One-time",IF(11=0,1,0),1)))))),"")</f>
        <v/>
      </c>
      <c r="R81" s="10" t="str">
        <f ca="1">IFERROR(IF(OR(12&gt;=$B$1,Suppliers!A79="",NOT(ISNUMBER(Suppliers!D79)),Suppliers!L79="Expired",Suppliers!L79="Terminate"),"",Suppliers!D79*-1*IF(Suppliers!E79="Monthly",IF(AND(ISNUMBER(Suppliers!G79),(YEAR(EDATE(DATE(YEAR(TODAY()),MONTH(TODAY()),1),12))*12+MONTH(EDATE(DATE(YEAR(TODAY()),MONTH(TODAY()),1),12)))&gt;(YEAR(Suppliers!G79)*12+MONTH(Suppliers!G79))),"",1),IF(Suppliers!E79="Quarterly",IF(MOD((YEAR(EDATE(DATE(YEAR(TODAY()),MONTH(TODAY()),1),12))-YEAR(IF(ISNUMBER(Suppliers!F79),Suppliers!F79,DATE(YEAR(TODAY()),MONTH(TODAY()),1))))*12+MONTH(EDATE(DATE(YEAR(TODAY()),MONTH(TODAY()),1),12))-MONTH(IF(ISNUMBER(Suppliers!F79),Suppliers!F79,DATE(YEAR(TODAY()),MONTH(TODAY()),1))),3)=0,1,0),IF(Suppliers!E79="Semi-annual",IF(MOD((YEAR(EDATE(DATE(YEAR(TODAY()),MONTH(TODAY()),1),12))-YEAR(IF(ISNUMBER(Suppliers!F79),Suppliers!F79,DATE(YEAR(TODAY()),MONTH(TODAY()),1))))*12+MONTH(EDATE(DATE(YEAR(TODAY()),MONTH(TODAY()),1),12))-MONTH(IF(ISNUMBER(Suppliers!F79),Suppliers!F79,DATE(YEAR(TODAY()),MONTH(TODAY()),1))),6)=0,1,0),IF(Suppliers!E79="Annual",IF(MOD((YEAR(EDATE(DATE(YEAR(TODAY()),MONTH(TODAY()),1),12))-YEAR(IF(ISNUMBER(Suppliers!F79),Suppliers!F79,DATE(YEAR(TODAY()),MONTH(TODAY()),1))))*12+MONTH(EDATE(DATE(YEAR(TODAY()),MONTH(TODAY()),1),12))-MONTH(IF(ISNUMBER(Suppliers!F79),Suppliers!F79,DATE(YEAR(TODAY()),MONTH(TODAY()),1))),12)=0,1,0),IF(Suppliers!E79="One-time",IF(12=0,1,0),1)))))),"")</f>
        <v/>
      </c>
      <c r="S81" s="10" t="str">
        <f ca="1">IFERROR(IF(OR(13&gt;=$B$1,Suppliers!A79="",NOT(ISNUMBER(Suppliers!D79)),Suppliers!L79="Expired",Suppliers!L79="Terminate"),"",Suppliers!D79*-1*IF(Suppliers!E79="Monthly",IF(AND(ISNUMBER(Suppliers!G79),(YEAR(EDATE(DATE(YEAR(TODAY()),MONTH(TODAY()),1),13))*12+MONTH(EDATE(DATE(YEAR(TODAY()),MONTH(TODAY()),1),13)))&gt;(YEAR(Suppliers!G79)*12+MONTH(Suppliers!G79))),"",1),IF(Suppliers!E79="Quarterly",IF(MOD((YEAR(EDATE(DATE(YEAR(TODAY()),MONTH(TODAY()),1),13))-YEAR(IF(ISNUMBER(Suppliers!F79),Suppliers!F79,DATE(YEAR(TODAY()),MONTH(TODAY()),1))))*12+MONTH(EDATE(DATE(YEAR(TODAY()),MONTH(TODAY()),1),13))-MONTH(IF(ISNUMBER(Suppliers!F79),Suppliers!F79,DATE(YEAR(TODAY()),MONTH(TODAY()),1))),3)=0,1,0),IF(Suppliers!E79="Semi-annual",IF(MOD((YEAR(EDATE(DATE(YEAR(TODAY()),MONTH(TODAY()),1),13))-YEAR(IF(ISNUMBER(Suppliers!F79),Suppliers!F79,DATE(YEAR(TODAY()),MONTH(TODAY()),1))))*12+MONTH(EDATE(DATE(YEAR(TODAY()),MONTH(TODAY()),1),13))-MONTH(IF(ISNUMBER(Suppliers!F79),Suppliers!F79,DATE(YEAR(TODAY()),MONTH(TODAY()),1))),6)=0,1,0),IF(Suppliers!E79="Annual",IF(MOD((YEAR(EDATE(DATE(YEAR(TODAY()),MONTH(TODAY()),1),13))-YEAR(IF(ISNUMBER(Suppliers!F79),Suppliers!F79,DATE(YEAR(TODAY()),MONTH(TODAY()),1))))*12+MONTH(EDATE(DATE(YEAR(TODAY()),MONTH(TODAY()),1),13))-MONTH(IF(ISNUMBER(Suppliers!F79),Suppliers!F79,DATE(YEAR(TODAY()),MONTH(TODAY()),1))),12)=0,1,0),IF(Suppliers!E79="One-time",IF(13=0,1,0),1)))))),"")</f>
        <v/>
      </c>
      <c r="T81" s="10" t="str">
        <f ca="1">IFERROR(IF(OR(14&gt;=$B$1,Suppliers!A79="",NOT(ISNUMBER(Suppliers!D79)),Suppliers!L79="Expired",Suppliers!L79="Terminate"),"",Suppliers!D79*-1*IF(Suppliers!E79="Monthly",IF(AND(ISNUMBER(Suppliers!G79),(YEAR(EDATE(DATE(YEAR(TODAY()),MONTH(TODAY()),1),14))*12+MONTH(EDATE(DATE(YEAR(TODAY()),MONTH(TODAY()),1),14)))&gt;(YEAR(Suppliers!G79)*12+MONTH(Suppliers!G79))),"",1),IF(Suppliers!E79="Quarterly",IF(MOD((YEAR(EDATE(DATE(YEAR(TODAY()),MONTH(TODAY()),1),14))-YEAR(IF(ISNUMBER(Suppliers!F79),Suppliers!F79,DATE(YEAR(TODAY()),MONTH(TODAY()),1))))*12+MONTH(EDATE(DATE(YEAR(TODAY()),MONTH(TODAY()),1),14))-MONTH(IF(ISNUMBER(Suppliers!F79),Suppliers!F79,DATE(YEAR(TODAY()),MONTH(TODAY()),1))),3)=0,1,0),IF(Suppliers!E79="Semi-annual",IF(MOD((YEAR(EDATE(DATE(YEAR(TODAY()),MONTH(TODAY()),1),14))-YEAR(IF(ISNUMBER(Suppliers!F79),Suppliers!F79,DATE(YEAR(TODAY()),MONTH(TODAY()),1))))*12+MONTH(EDATE(DATE(YEAR(TODAY()),MONTH(TODAY()),1),14))-MONTH(IF(ISNUMBER(Suppliers!F79),Suppliers!F79,DATE(YEAR(TODAY()),MONTH(TODAY()),1))),6)=0,1,0),IF(Suppliers!E79="Annual",IF(MOD((YEAR(EDATE(DATE(YEAR(TODAY()),MONTH(TODAY()),1),14))-YEAR(IF(ISNUMBER(Suppliers!F79),Suppliers!F79,DATE(YEAR(TODAY()),MONTH(TODAY()),1))))*12+MONTH(EDATE(DATE(YEAR(TODAY()),MONTH(TODAY()),1),14))-MONTH(IF(ISNUMBER(Suppliers!F79),Suppliers!F79,DATE(YEAR(TODAY()),MONTH(TODAY()),1))),12)=0,1,0),IF(Suppliers!E79="One-time",IF(14=0,1,0),1)))))),"")</f>
        <v/>
      </c>
      <c r="U81" s="10" t="str">
        <f ca="1">IFERROR(IF(OR(15&gt;=$B$1,Suppliers!A79="",NOT(ISNUMBER(Suppliers!D79)),Suppliers!L79="Expired",Suppliers!L79="Terminate"),"",Suppliers!D79*-1*IF(Suppliers!E79="Monthly",IF(AND(ISNUMBER(Suppliers!G79),(YEAR(EDATE(DATE(YEAR(TODAY()),MONTH(TODAY()),1),15))*12+MONTH(EDATE(DATE(YEAR(TODAY()),MONTH(TODAY()),1),15)))&gt;(YEAR(Suppliers!G79)*12+MONTH(Suppliers!G79))),"",1),IF(Suppliers!E79="Quarterly",IF(MOD((YEAR(EDATE(DATE(YEAR(TODAY()),MONTH(TODAY()),1),15))-YEAR(IF(ISNUMBER(Suppliers!F79),Suppliers!F79,DATE(YEAR(TODAY()),MONTH(TODAY()),1))))*12+MONTH(EDATE(DATE(YEAR(TODAY()),MONTH(TODAY()),1),15))-MONTH(IF(ISNUMBER(Suppliers!F79),Suppliers!F79,DATE(YEAR(TODAY()),MONTH(TODAY()),1))),3)=0,1,0),IF(Suppliers!E79="Semi-annual",IF(MOD((YEAR(EDATE(DATE(YEAR(TODAY()),MONTH(TODAY()),1),15))-YEAR(IF(ISNUMBER(Suppliers!F79),Suppliers!F79,DATE(YEAR(TODAY()),MONTH(TODAY()),1))))*12+MONTH(EDATE(DATE(YEAR(TODAY()),MONTH(TODAY()),1),15))-MONTH(IF(ISNUMBER(Suppliers!F79),Suppliers!F79,DATE(YEAR(TODAY()),MONTH(TODAY()),1))),6)=0,1,0),IF(Suppliers!E79="Annual",IF(MOD((YEAR(EDATE(DATE(YEAR(TODAY()),MONTH(TODAY()),1),15))-YEAR(IF(ISNUMBER(Suppliers!F79),Suppliers!F79,DATE(YEAR(TODAY()),MONTH(TODAY()),1))))*12+MONTH(EDATE(DATE(YEAR(TODAY()),MONTH(TODAY()),1),15))-MONTH(IF(ISNUMBER(Suppliers!F79),Suppliers!F79,DATE(YEAR(TODAY()),MONTH(TODAY()),1))),12)=0,1,0),IF(Suppliers!E79="One-time",IF(15=0,1,0),1)))))),"")</f>
        <v/>
      </c>
      <c r="V81" s="10" t="str">
        <f ca="1">IFERROR(IF(OR(16&gt;=$B$1,Suppliers!A79="",NOT(ISNUMBER(Suppliers!D79)),Suppliers!L79="Expired",Suppliers!L79="Terminate"),"",Suppliers!D79*-1*IF(Suppliers!E79="Monthly",IF(AND(ISNUMBER(Suppliers!G79),(YEAR(EDATE(DATE(YEAR(TODAY()),MONTH(TODAY()),1),16))*12+MONTH(EDATE(DATE(YEAR(TODAY()),MONTH(TODAY()),1),16)))&gt;(YEAR(Suppliers!G79)*12+MONTH(Suppliers!G79))),"",1),IF(Suppliers!E79="Quarterly",IF(MOD((YEAR(EDATE(DATE(YEAR(TODAY()),MONTH(TODAY()),1),16))-YEAR(IF(ISNUMBER(Suppliers!F79),Suppliers!F79,DATE(YEAR(TODAY()),MONTH(TODAY()),1))))*12+MONTH(EDATE(DATE(YEAR(TODAY()),MONTH(TODAY()),1),16))-MONTH(IF(ISNUMBER(Suppliers!F79),Suppliers!F79,DATE(YEAR(TODAY()),MONTH(TODAY()),1))),3)=0,1,0),IF(Suppliers!E79="Semi-annual",IF(MOD((YEAR(EDATE(DATE(YEAR(TODAY()),MONTH(TODAY()),1),16))-YEAR(IF(ISNUMBER(Suppliers!F79),Suppliers!F79,DATE(YEAR(TODAY()),MONTH(TODAY()),1))))*12+MONTH(EDATE(DATE(YEAR(TODAY()),MONTH(TODAY()),1),16))-MONTH(IF(ISNUMBER(Suppliers!F79),Suppliers!F79,DATE(YEAR(TODAY()),MONTH(TODAY()),1))),6)=0,1,0),IF(Suppliers!E79="Annual",IF(MOD((YEAR(EDATE(DATE(YEAR(TODAY()),MONTH(TODAY()),1),16))-YEAR(IF(ISNUMBER(Suppliers!F79),Suppliers!F79,DATE(YEAR(TODAY()),MONTH(TODAY()),1))))*12+MONTH(EDATE(DATE(YEAR(TODAY()),MONTH(TODAY()),1),16))-MONTH(IF(ISNUMBER(Suppliers!F79),Suppliers!F79,DATE(YEAR(TODAY()),MONTH(TODAY()),1))),12)=0,1,0),IF(Suppliers!E79="One-time",IF(16=0,1,0),1)))))),"")</f>
        <v/>
      </c>
      <c r="W81" s="10" t="str">
        <f ca="1">IFERROR(IF(OR(17&gt;=$B$1,Suppliers!A79="",NOT(ISNUMBER(Suppliers!D79)),Suppliers!L79="Expired",Suppliers!L79="Terminate"),"",Suppliers!D79*-1*IF(Suppliers!E79="Monthly",IF(AND(ISNUMBER(Suppliers!G79),(YEAR(EDATE(DATE(YEAR(TODAY()),MONTH(TODAY()),1),17))*12+MONTH(EDATE(DATE(YEAR(TODAY()),MONTH(TODAY()),1),17)))&gt;(YEAR(Suppliers!G79)*12+MONTH(Suppliers!G79))),"",1),IF(Suppliers!E79="Quarterly",IF(MOD((YEAR(EDATE(DATE(YEAR(TODAY()),MONTH(TODAY()),1),17))-YEAR(IF(ISNUMBER(Suppliers!F79),Suppliers!F79,DATE(YEAR(TODAY()),MONTH(TODAY()),1))))*12+MONTH(EDATE(DATE(YEAR(TODAY()),MONTH(TODAY()),1),17))-MONTH(IF(ISNUMBER(Suppliers!F79),Suppliers!F79,DATE(YEAR(TODAY()),MONTH(TODAY()),1))),3)=0,1,0),IF(Suppliers!E79="Semi-annual",IF(MOD((YEAR(EDATE(DATE(YEAR(TODAY()),MONTH(TODAY()),1),17))-YEAR(IF(ISNUMBER(Suppliers!F79),Suppliers!F79,DATE(YEAR(TODAY()),MONTH(TODAY()),1))))*12+MONTH(EDATE(DATE(YEAR(TODAY()),MONTH(TODAY()),1),17))-MONTH(IF(ISNUMBER(Suppliers!F79),Suppliers!F79,DATE(YEAR(TODAY()),MONTH(TODAY()),1))),6)=0,1,0),IF(Suppliers!E79="Annual",IF(MOD((YEAR(EDATE(DATE(YEAR(TODAY()),MONTH(TODAY()),1),17))-YEAR(IF(ISNUMBER(Suppliers!F79),Suppliers!F79,DATE(YEAR(TODAY()),MONTH(TODAY()),1))))*12+MONTH(EDATE(DATE(YEAR(TODAY()),MONTH(TODAY()),1),17))-MONTH(IF(ISNUMBER(Suppliers!F79),Suppliers!F79,DATE(YEAR(TODAY()),MONTH(TODAY()),1))),12)=0,1,0),IF(Suppliers!E79="One-time",IF(17=0,1,0),1)))))),"")</f>
        <v/>
      </c>
      <c r="X81" s="10" t="str">
        <f ca="1">IFERROR(IF(OR(18&gt;=$B$1,Suppliers!A79="",NOT(ISNUMBER(Suppliers!D79)),Suppliers!L79="Expired",Suppliers!L79="Terminate"),"",Suppliers!D79*-1*IF(Suppliers!E79="Monthly",IF(AND(ISNUMBER(Suppliers!G79),(YEAR(EDATE(DATE(YEAR(TODAY()),MONTH(TODAY()),1),18))*12+MONTH(EDATE(DATE(YEAR(TODAY()),MONTH(TODAY()),1),18)))&gt;(YEAR(Suppliers!G79)*12+MONTH(Suppliers!G79))),"",1),IF(Suppliers!E79="Quarterly",IF(MOD((YEAR(EDATE(DATE(YEAR(TODAY()),MONTH(TODAY()),1),18))-YEAR(IF(ISNUMBER(Suppliers!F79),Suppliers!F79,DATE(YEAR(TODAY()),MONTH(TODAY()),1))))*12+MONTH(EDATE(DATE(YEAR(TODAY()),MONTH(TODAY()),1),18))-MONTH(IF(ISNUMBER(Suppliers!F79),Suppliers!F79,DATE(YEAR(TODAY()),MONTH(TODAY()),1))),3)=0,1,0),IF(Suppliers!E79="Semi-annual",IF(MOD((YEAR(EDATE(DATE(YEAR(TODAY()),MONTH(TODAY()),1),18))-YEAR(IF(ISNUMBER(Suppliers!F79),Suppliers!F79,DATE(YEAR(TODAY()),MONTH(TODAY()),1))))*12+MONTH(EDATE(DATE(YEAR(TODAY()),MONTH(TODAY()),1),18))-MONTH(IF(ISNUMBER(Suppliers!F79),Suppliers!F79,DATE(YEAR(TODAY()),MONTH(TODAY()),1))),6)=0,1,0),IF(Suppliers!E79="Annual",IF(MOD((YEAR(EDATE(DATE(YEAR(TODAY()),MONTH(TODAY()),1),18))-YEAR(IF(ISNUMBER(Suppliers!F79),Suppliers!F79,DATE(YEAR(TODAY()),MONTH(TODAY()),1))))*12+MONTH(EDATE(DATE(YEAR(TODAY()),MONTH(TODAY()),1),18))-MONTH(IF(ISNUMBER(Suppliers!F79),Suppliers!F79,DATE(YEAR(TODAY()),MONTH(TODAY()),1))),12)=0,1,0),IF(Suppliers!E79="One-time",IF(18=0,1,0),1)))))),"")</f>
        <v/>
      </c>
      <c r="Y81" s="10" t="str">
        <f ca="1">IFERROR(IF(OR(19&gt;=$B$1,Suppliers!A79="",NOT(ISNUMBER(Suppliers!D79)),Suppliers!L79="Expired",Suppliers!L79="Terminate"),"",Suppliers!D79*-1*IF(Suppliers!E79="Monthly",IF(AND(ISNUMBER(Suppliers!G79),(YEAR(EDATE(DATE(YEAR(TODAY()),MONTH(TODAY()),1),19))*12+MONTH(EDATE(DATE(YEAR(TODAY()),MONTH(TODAY()),1),19)))&gt;(YEAR(Suppliers!G79)*12+MONTH(Suppliers!G79))),"",1),IF(Suppliers!E79="Quarterly",IF(MOD((YEAR(EDATE(DATE(YEAR(TODAY()),MONTH(TODAY()),1),19))-YEAR(IF(ISNUMBER(Suppliers!F79),Suppliers!F79,DATE(YEAR(TODAY()),MONTH(TODAY()),1))))*12+MONTH(EDATE(DATE(YEAR(TODAY()),MONTH(TODAY()),1),19))-MONTH(IF(ISNUMBER(Suppliers!F79),Suppliers!F79,DATE(YEAR(TODAY()),MONTH(TODAY()),1))),3)=0,1,0),IF(Suppliers!E79="Semi-annual",IF(MOD((YEAR(EDATE(DATE(YEAR(TODAY()),MONTH(TODAY()),1),19))-YEAR(IF(ISNUMBER(Suppliers!F79),Suppliers!F79,DATE(YEAR(TODAY()),MONTH(TODAY()),1))))*12+MONTH(EDATE(DATE(YEAR(TODAY()),MONTH(TODAY()),1),19))-MONTH(IF(ISNUMBER(Suppliers!F79),Suppliers!F79,DATE(YEAR(TODAY()),MONTH(TODAY()),1))),6)=0,1,0),IF(Suppliers!E79="Annual",IF(MOD((YEAR(EDATE(DATE(YEAR(TODAY()),MONTH(TODAY()),1),19))-YEAR(IF(ISNUMBER(Suppliers!F79),Suppliers!F79,DATE(YEAR(TODAY()),MONTH(TODAY()),1))))*12+MONTH(EDATE(DATE(YEAR(TODAY()),MONTH(TODAY()),1),19))-MONTH(IF(ISNUMBER(Suppliers!F79),Suppliers!F79,DATE(YEAR(TODAY()),MONTH(TODAY()),1))),12)=0,1,0),IF(Suppliers!E79="One-time",IF(19=0,1,0),1)))))),"")</f>
        <v/>
      </c>
      <c r="Z81" s="10" t="str">
        <f ca="1">IFERROR(IF(OR(20&gt;=$B$1,Suppliers!A79="",NOT(ISNUMBER(Suppliers!D79)),Suppliers!L79="Expired",Suppliers!L79="Terminate"),"",Suppliers!D79*-1*IF(Suppliers!E79="Monthly",IF(AND(ISNUMBER(Suppliers!G79),(YEAR(EDATE(DATE(YEAR(TODAY()),MONTH(TODAY()),1),20))*12+MONTH(EDATE(DATE(YEAR(TODAY()),MONTH(TODAY()),1),20)))&gt;(YEAR(Suppliers!G79)*12+MONTH(Suppliers!G79))),"",1),IF(Suppliers!E79="Quarterly",IF(MOD((YEAR(EDATE(DATE(YEAR(TODAY()),MONTH(TODAY()),1),20))-YEAR(IF(ISNUMBER(Suppliers!F79),Suppliers!F79,DATE(YEAR(TODAY()),MONTH(TODAY()),1))))*12+MONTH(EDATE(DATE(YEAR(TODAY()),MONTH(TODAY()),1),20))-MONTH(IF(ISNUMBER(Suppliers!F79),Suppliers!F79,DATE(YEAR(TODAY()),MONTH(TODAY()),1))),3)=0,1,0),IF(Suppliers!E79="Semi-annual",IF(MOD((YEAR(EDATE(DATE(YEAR(TODAY()),MONTH(TODAY()),1),20))-YEAR(IF(ISNUMBER(Suppliers!F79),Suppliers!F79,DATE(YEAR(TODAY()),MONTH(TODAY()),1))))*12+MONTH(EDATE(DATE(YEAR(TODAY()),MONTH(TODAY()),1),20))-MONTH(IF(ISNUMBER(Suppliers!F79),Suppliers!F79,DATE(YEAR(TODAY()),MONTH(TODAY()),1))),6)=0,1,0),IF(Suppliers!E79="Annual",IF(MOD((YEAR(EDATE(DATE(YEAR(TODAY()),MONTH(TODAY()),1),20))-YEAR(IF(ISNUMBER(Suppliers!F79),Suppliers!F79,DATE(YEAR(TODAY()),MONTH(TODAY()),1))))*12+MONTH(EDATE(DATE(YEAR(TODAY()),MONTH(TODAY()),1),20))-MONTH(IF(ISNUMBER(Suppliers!F79),Suppliers!F79,DATE(YEAR(TODAY()),MONTH(TODAY()),1))),12)=0,1,0),IF(Suppliers!E79="One-time",IF(20=0,1,0),1)))))),"")</f>
        <v/>
      </c>
      <c r="AA81" s="10" t="str">
        <f ca="1">IFERROR(IF(OR(21&gt;=$B$1,Suppliers!A79="",NOT(ISNUMBER(Suppliers!D79)),Suppliers!L79="Expired",Suppliers!L79="Terminate"),"",Suppliers!D79*-1*IF(Suppliers!E79="Monthly",IF(AND(ISNUMBER(Suppliers!G79),(YEAR(EDATE(DATE(YEAR(TODAY()),MONTH(TODAY()),1),21))*12+MONTH(EDATE(DATE(YEAR(TODAY()),MONTH(TODAY()),1),21)))&gt;(YEAR(Suppliers!G79)*12+MONTH(Suppliers!G79))),"",1),IF(Suppliers!E79="Quarterly",IF(MOD((YEAR(EDATE(DATE(YEAR(TODAY()),MONTH(TODAY()),1),21))-YEAR(IF(ISNUMBER(Suppliers!F79),Suppliers!F79,DATE(YEAR(TODAY()),MONTH(TODAY()),1))))*12+MONTH(EDATE(DATE(YEAR(TODAY()),MONTH(TODAY()),1),21))-MONTH(IF(ISNUMBER(Suppliers!F79),Suppliers!F79,DATE(YEAR(TODAY()),MONTH(TODAY()),1))),3)=0,1,0),IF(Suppliers!E79="Semi-annual",IF(MOD((YEAR(EDATE(DATE(YEAR(TODAY()),MONTH(TODAY()),1),21))-YEAR(IF(ISNUMBER(Suppliers!F79),Suppliers!F79,DATE(YEAR(TODAY()),MONTH(TODAY()),1))))*12+MONTH(EDATE(DATE(YEAR(TODAY()),MONTH(TODAY()),1),21))-MONTH(IF(ISNUMBER(Suppliers!F79),Suppliers!F79,DATE(YEAR(TODAY()),MONTH(TODAY()),1))),6)=0,1,0),IF(Suppliers!E79="Annual",IF(MOD((YEAR(EDATE(DATE(YEAR(TODAY()),MONTH(TODAY()),1),21))-YEAR(IF(ISNUMBER(Suppliers!F79),Suppliers!F79,DATE(YEAR(TODAY()),MONTH(TODAY()),1))))*12+MONTH(EDATE(DATE(YEAR(TODAY()),MONTH(TODAY()),1),21))-MONTH(IF(ISNUMBER(Suppliers!F79),Suppliers!F79,DATE(YEAR(TODAY()),MONTH(TODAY()),1))),12)=0,1,0),IF(Suppliers!E79="One-time",IF(21=0,1,0),1)))))),"")</f>
        <v/>
      </c>
      <c r="AB81" s="10" t="str">
        <f ca="1">IFERROR(IF(OR(22&gt;=$B$1,Suppliers!A79="",NOT(ISNUMBER(Suppliers!D79)),Suppliers!L79="Expired",Suppliers!L79="Terminate"),"",Suppliers!D79*-1*IF(Suppliers!E79="Monthly",IF(AND(ISNUMBER(Suppliers!G79),(YEAR(EDATE(DATE(YEAR(TODAY()),MONTH(TODAY()),1),22))*12+MONTH(EDATE(DATE(YEAR(TODAY()),MONTH(TODAY()),1),22)))&gt;(YEAR(Suppliers!G79)*12+MONTH(Suppliers!G79))),"",1),IF(Suppliers!E79="Quarterly",IF(MOD((YEAR(EDATE(DATE(YEAR(TODAY()),MONTH(TODAY()),1),22))-YEAR(IF(ISNUMBER(Suppliers!F79),Suppliers!F79,DATE(YEAR(TODAY()),MONTH(TODAY()),1))))*12+MONTH(EDATE(DATE(YEAR(TODAY()),MONTH(TODAY()),1),22))-MONTH(IF(ISNUMBER(Suppliers!F79),Suppliers!F79,DATE(YEAR(TODAY()),MONTH(TODAY()),1))),3)=0,1,0),IF(Suppliers!E79="Semi-annual",IF(MOD((YEAR(EDATE(DATE(YEAR(TODAY()),MONTH(TODAY()),1),22))-YEAR(IF(ISNUMBER(Suppliers!F79),Suppliers!F79,DATE(YEAR(TODAY()),MONTH(TODAY()),1))))*12+MONTH(EDATE(DATE(YEAR(TODAY()),MONTH(TODAY()),1),22))-MONTH(IF(ISNUMBER(Suppliers!F79),Suppliers!F79,DATE(YEAR(TODAY()),MONTH(TODAY()),1))),6)=0,1,0),IF(Suppliers!E79="Annual",IF(MOD((YEAR(EDATE(DATE(YEAR(TODAY()),MONTH(TODAY()),1),22))-YEAR(IF(ISNUMBER(Suppliers!F79),Suppliers!F79,DATE(YEAR(TODAY()),MONTH(TODAY()),1))))*12+MONTH(EDATE(DATE(YEAR(TODAY()),MONTH(TODAY()),1),22))-MONTH(IF(ISNUMBER(Suppliers!F79),Suppliers!F79,DATE(YEAR(TODAY()),MONTH(TODAY()),1))),12)=0,1,0),IF(Suppliers!E79="One-time",IF(22=0,1,0),1)))))),"")</f>
        <v/>
      </c>
      <c r="AC81" s="10" t="str">
        <f ca="1">IFERROR(IF(OR(23&gt;=$B$1,Suppliers!A79="",NOT(ISNUMBER(Suppliers!D79)),Suppliers!L79="Expired",Suppliers!L79="Terminate"),"",Suppliers!D79*-1*IF(Suppliers!E79="Monthly",IF(AND(ISNUMBER(Suppliers!G79),(YEAR(EDATE(DATE(YEAR(TODAY()),MONTH(TODAY()),1),23))*12+MONTH(EDATE(DATE(YEAR(TODAY()),MONTH(TODAY()),1),23)))&gt;(YEAR(Suppliers!G79)*12+MONTH(Suppliers!G79))),"",1),IF(Suppliers!E79="Quarterly",IF(MOD((YEAR(EDATE(DATE(YEAR(TODAY()),MONTH(TODAY()),1),23))-YEAR(IF(ISNUMBER(Suppliers!F79),Suppliers!F79,DATE(YEAR(TODAY()),MONTH(TODAY()),1))))*12+MONTH(EDATE(DATE(YEAR(TODAY()),MONTH(TODAY()),1),23))-MONTH(IF(ISNUMBER(Suppliers!F79),Suppliers!F79,DATE(YEAR(TODAY()),MONTH(TODAY()),1))),3)=0,1,0),IF(Suppliers!E79="Semi-annual",IF(MOD((YEAR(EDATE(DATE(YEAR(TODAY()),MONTH(TODAY()),1),23))-YEAR(IF(ISNUMBER(Suppliers!F79),Suppliers!F79,DATE(YEAR(TODAY()),MONTH(TODAY()),1))))*12+MONTH(EDATE(DATE(YEAR(TODAY()),MONTH(TODAY()),1),23))-MONTH(IF(ISNUMBER(Suppliers!F79),Suppliers!F79,DATE(YEAR(TODAY()),MONTH(TODAY()),1))),6)=0,1,0),IF(Suppliers!E79="Annual",IF(MOD((YEAR(EDATE(DATE(YEAR(TODAY()),MONTH(TODAY()),1),23))-YEAR(IF(ISNUMBER(Suppliers!F79),Suppliers!F79,DATE(YEAR(TODAY()),MONTH(TODAY()),1))))*12+MONTH(EDATE(DATE(YEAR(TODAY()),MONTH(TODAY()),1),23))-MONTH(IF(ISNUMBER(Suppliers!F79),Suppliers!F79,DATE(YEAR(TODAY()),MONTH(TODAY()),1))),12)=0,1,0),IF(Suppliers!E79="One-time",IF(23=0,1,0),1)))))),"")</f>
        <v/>
      </c>
    </row>
    <row r="82" spans="1:29" ht="15" customHeight="1" x14ac:dyDescent="0.35">
      <c r="A82" s="4" t="s">
        <v>81</v>
      </c>
      <c r="B82" s="4" t="str">
        <f>IF(Clients!A12="","",Clients!A12)</f>
        <v/>
      </c>
      <c r="C82" s="10" t="str">
        <f>IF(Clients!C12="","",Clients!C12)</f>
        <v/>
      </c>
      <c r="D82" s="10" t="str">
        <f>IF(Clients!D12="","",Clients!D12)</f>
        <v/>
      </c>
      <c r="E82" s="4" t="str">
        <f>IF(Clients!E12="","",Clients!E12)</f>
        <v/>
      </c>
      <c r="F82" s="10" t="str">
        <f ca="1">IFERROR(IF(OR(0&gt;=$B$1,Clients!A12="",NOT(ISNUMBER(Clients!D12)),Clients!L12="Expired",Clients!L12="Terminate"),"",Clients!D12*1*IF(Clients!E12="Monthly",IF(AND(ISNUMBER(Clients!G12),(YEAR(EDATE(DATE(YEAR(TODAY()),MONTH(TODAY()),1),0))*12+MONTH(EDATE(DATE(YEAR(TODAY()),MONTH(TODAY()),1),0)))&gt;(YEAR(Clients!G12)*12+MONTH(Clients!G12))),"",1),IF(Clients!E12="Quarterly",IF(MOD((YEAR(EDATE(DATE(YEAR(TODAY()),MONTH(TODAY()),1),0))-YEAR(IF(ISNUMBER(Clients!F12),Clients!F12,DATE(YEAR(TODAY()),MONTH(TODAY()),1))))*12+MONTH(EDATE(DATE(YEAR(TODAY()),MONTH(TODAY()),1),0))-MONTH(IF(ISNUMBER(Clients!F12),Clients!F12,DATE(YEAR(TODAY()),MONTH(TODAY()),1))),3)=0,1,0),IF(Clients!E12="Semi-annual",IF(MOD((YEAR(EDATE(DATE(YEAR(TODAY()),MONTH(TODAY()),1),0))-YEAR(IF(ISNUMBER(Clients!F12),Clients!F12,DATE(YEAR(TODAY()),MONTH(TODAY()),1))))*12+MONTH(EDATE(DATE(YEAR(TODAY()),MONTH(TODAY()),1),0))-MONTH(IF(ISNUMBER(Clients!F12),Clients!F12,DATE(YEAR(TODAY()),MONTH(TODAY()),1))),6)=0,1,0),IF(Clients!E12="Annual",IF(MOD((YEAR(EDATE(DATE(YEAR(TODAY()),MONTH(TODAY()),1),0))-YEAR(IF(ISNUMBER(Clients!F12),Clients!F12,DATE(YEAR(TODAY()),MONTH(TODAY()),1))))*12+MONTH(EDATE(DATE(YEAR(TODAY()),MONTH(TODAY()),1),0))-MONTH(IF(ISNUMBER(Clients!F12),Clients!F12,DATE(YEAR(TODAY()),MONTH(TODAY()),1))),12)=0,1,0),IF(Clients!E12="One-time",IF(0=0,1,0),1)))))),"")</f>
        <v/>
      </c>
      <c r="G82" s="10" t="str">
        <f ca="1">IFERROR(IF(OR(1&gt;=$B$1,Clients!A12="",NOT(ISNUMBER(Clients!D12)),Clients!L12="Expired",Clients!L12="Terminate"),"",Clients!D12*1*IF(Clients!E12="Monthly",IF(AND(ISNUMBER(Clients!G12),(YEAR(EDATE(DATE(YEAR(TODAY()),MONTH(TODAY()),1),1))*12+MONTH(EDATE(DATE(YEAR(TODAY()),MONTH(TODAY()),1),1)))&gt;(YEAR(Clients!G12)*12+MONTH(Clients!G12))),"",1),IF(Clients!E12="Quarterly",IF(MOD((YEAR(EDATE(DATE(YEAR(TODAY()),MONTH(TODAY()),1),1))-YEAR(IF(ISNUMBER(Clients!F12),Clients!F12,DATE(YEAR(TODAY()),MONTH(TODAY()),1))))*12+MONTH(EDATE(DATE(YEAR(TODAY()),MONTH(TODAY()),1),1))-MONTH(IF(ISNUMBER(Clients!F12),Clients!F12,DATE(YEAR(TODAY()),MONTH(TODAY()),1))),3)=0,1,0),IF(Clients!E12="Semi-annual",IF(MOD((YEAR(EDATE(DATE(YEAR(TODAY()),MONTH(TODAY()),1),1))-YEAR(IF(ISNUMBER(Clients!F12),Clients!F12,DATE(YEAR(TODAY()),MONTH(TODAY()),1))))*12+MONTH(EDATE(DATE(YEAR(TODAY()),MONTH(TODAY()),1),1))-MONTH(IF(ISNUMBER(Clients!F12),Clients!F12,DATE(YEAR(TODAY()),MONTH(TODAY()),1))),6)=0,1,0),IF(Clients!E12="Annual",IF(MOD((YEAR(EDATE(DATE(YEAR(TODAY()),MONTH(TODAY()),1),1))-YEAR(IF(ISNUMBER(Clients!F12),Clients!F12,DATE(YEAR(TODAY()),MONTH(TODAY()),1))))*12+MONTH(EDATE(DATE(YEAR(TODAY()),MONTH(TODAY()),1),1))-MONTH(IF(ISNUMBER(Clients!F12),Clients!F12,DATE(YEAR(TODAY()),MONTH(TODAY()),1))),12)=0,1,0),IF(Clients!E12="One-time",IF(1=0,1,0),1)))))),"")</f>
        <v/>
      </c>
      <c r="H82" s="10" t="str">
        <f ca="1">IFERROR(IF(OR(2&gt;=$B$1,Clients!A12="",NOT(ISNUMBER(Clients!D12)),Clients!L12="Expired",Clients!L12="Terminate"),"",Clients!D12*1*IF(Clients!E12="Monthly",IF(AND(ISNUMBER(Clients!G12),(YEAR(EDATE(DATE(YEAR(TODAY()),MONTH(TODAY()),1),2))*12+MONTH(EDATE(DATE(YEAR(TODAY()),MONTH(TODAY()),1),2)))&gt;(YEAR(Clients!G12)*12+MONTH(Clients!G12))),"",1),IF(Clients!E12="Quarterly",IF(MOD((YEAR(EDATE(DATE(YEAR(TODAY()),MONTH(TODAY()),1),2))-YEAR(IF(ISNUMBER(Clients!F12),Clients!F12,DATE(YEAR(TODAY()),MONTH(TODAY()),1))))*12+MONTH(EDATE(DATE(YEAR(TODAY()),MONTH(TODAY()),1),2))-MONTH(IF(ISNUMBER(Clients!F12),Clients!F12,DATE(YEAR(TODAY()),MONTH(TODAY()),1))),3)=0,1,0),IF(Clients!E12="Semi-annual",IF(MOD((YEAR(EDATE(DATE(YEAR(TODAY()),MONTH(TODAY()),1),2))-YEAR(IF(ISNUMBER(Clients!F12),Clients!F12,DATE(YEAR(TODAY()),MONTH(TODAY()),1))))*12+MONTH(EDATE(DATE(YEAR(TODAY()),MONTH(TODAY()),1),2))-MONTH(IF(ISNUMBER(Clients!F12),Clients!F12,DATE(YEAR(TODAY()),MONTH(TODAY()),1))),6)=0,1,0),IF(Clients!E12="Annual",IF(MOD((YEAR(EDATE(DATE(YEAR(TODAY()),MONTH(TODAY()),1),2))-YEAR(IF(ISNUMBER(Clients!F12),Clients!F12,DATE(YEAR(TODAY()),MONTH(TODAY()),1))))*12+MONTH(EDATE(DATE(YEAR(TODAY()),MONTH(TODAY()),1),2))-MONTH(IF(ISNUMBER(Clients!F12),Clients!F12,DATE(YEAR(TODAY()),MONTH(TODAY()),1))),12)=0,1,0),IF(Clients!E12="One-time",IF(2=0,1,0),1)))))),"")</f>
        <v/>
      </c>
      <c r="I82" s="10" t="str">
        <f ca="1">IFERROR(IF(OR(3&gt;=$B$1,Clients!A12="",NOT(ISNUMBER(Clients!D12)),Clients!L12="Expired",Clients!L12="Terminate"),"",Clients!D12*1*IF(Clients!E12="Monthly",IF(AND(ISNUMBER(Clients!G12),(YEAR(EDATE(DATE(YEAR(TODAY()),MONTH(TODAY()),1),3))*12+MONTH(EDATE(DATE(YEAR(TODAY()),MONTH(TODAY()),1),3)))&gt;(YEAR(Clients!G12)*12+MONTH(Clients!G12))),"",1),IF(Clients!E12="Quarterly",IF(MOD((YEAR(EDATE(DATE(YEAR(TODAY()),MONTH(TODAY()),1),3))-YEAR(IF(ISNUMBER(Clients!F12),Clients!F12,DATE(YEAR(TODAY()),MONTH(TODAY()),1))))*12+MONTH(EDATE(DATE(YEAR(TODAY()),MONTH(TODAY()),1),3))-MONTH(IF(ISNUMBER(Clients!F12),Clients!F12,DATE(YEAR(TODAY()),MONTH(TODAY()),1))),3)=0,1,0),IF(Clients!E12="Semi-annual",IF(MOD((YEAR(EDATE(DATE(YEAR(TODAY()),MONTH(TODAY()),1),3))-YEAR(IF(ISNUMBER(Clients!F12),Clients!F12,DATE(YEAR(TODAY()),MONTH(TODAY()),1))))*12+MONTH(EDATE(DATE(YEAR(TODAY()),MONTH(TODAY()),1),3))-MONTH(IF(ISNUMBER(Clients!F12),Clients!F12,DATE(YEAR(TODAY()),MONTH(TODAY()),1))),6)=0,1,0),IF(Clients!E12="Annual",IF(MOD((YEAR(EDATE(DATE(YEAR(TODAY()),MONTH(TODAY()),1),3))-YEAR(IF(ISNUMBER(Clients!F12),Clients!F12,DATE(YEAR(TODAY()),MONTH(TODAY()),1))))*12+MONTH(EDATE(DATE(YEAR(TODAY()),MONTH(TODAY()),1),3))-MONTH(IF(ISNUMBER(Clients!F12),Clients!F12,DATE(YEAR(TODAY()),MONTH(TODAY()),1))),12)=0,1,0),IF(Clients!E12="One-time",IF(3=0,1,0),1)))))),"")</f>
        <v/>
      </c>
      <c r="J82" s="10" t="str">
        <f ca="1">IFERROR(IF(OR(4&gt;=$B$1,Clients!A12="",NOT(ISNUMBER(Clients!D12)),Clients!L12="Expired",Clients!L12="Terminate"),"",Clients!D12*1*IF(Clients!E12="Monthly",IF(AND(ISNUMBER(Clients!G12),(YEAR(EDATE(DATE(YEAR(TODAY()),MONTH(TODAY()),1),4))*12+MONTH(EDATE(DATE(YEAR(TODAY()),MONTH(TODAY()),1),4)))&gt;(YEAR(Clients!G12)*12+MONTH(Clients!G12))),"",1),IF(Clients!E12="Quarterly",IF(MOD((YEAR(EDATE(DATE(YEAR(TODAY()),MONTH(TODAY()),1),4))-YEAR(IF(ISNUMBER(Clients!F12),Clients!F12,DATE(YEAR(TODAY()),MONTH(TODAY()),1))))*12+MONTH(EDATE(DATE(YEAR(TODAY()),MONTH(TODAY()),1),4))-MONTH(IF(ISNUMBER(Clients!F12),Clients!F12,DATE(YEAR(TODAY()),MONTH(TODAY()),1))),3)=0,1,0),IF(Clients!E12="Semi-annual",IF(MOD((YEAR(EDATE(DATE(YEAR(TODAY()),MONTH(TODAY()),1),4))-YEAR(IF(ISNUMBER(Clients!F12),Clients!F12,DATE(YEAR(TODAY()),MONTH(TODAY()),1))))*12+MONTH(EDATE(DATE(YEAR(TODAY()),MONTH(TODAY()),1),4))-MONTH(IF(ISNUMBER(Clients!F12),Clients!F12,DATE(YEAR(TODAY()),MONTH(TODAY()),1))),6)=0,1,0),IF(Clients!E12="Annual",IF(MOD((YEAR(EDATE(DATE(YEAR(TODAY()),MONTH(TODAY()),1),4))-YEAR(IF(ISNUMBER(Clients!F12),Clients!F12,DATE(YEAR(TODAY()),MONTH(TODAY()),1))))*12+MONTH(EDATE(DATE(YEAR(TODAY()),MONTH(TODAY()),1),4))-MONTH(IF(ISNUMBER(Clients!F12),Clients!F12,DATE(YEAR(TODAY()),MONTH(TODAY()),1))),12)=0,1,0),IF(Clients!E12="One-time",IF(4=0,1,0),1)))))),"")</f>
        <v/>
      </c>
      <c r="K82" s="10" t="str">
        <f ca="1">IFERROR(IF(OR(5&gt;=$B$1,Clients!A12="",NOT(ISNUMBER(Clients!D12)),Clients!L12="Expired",Clients!L12="Terminate"),"",Clients!D12*1*IF(Clients!E12="Monthly",IF(AND(ISNUMBER(Clients!G12),(YEAR(EDATE(DATE(YEAR(TODAY()),MONTH(TODAY()),1),5))*12+MONTH(EDATE(DATE(YEAR(TODAY()),MONTH(TODAY()),1),5)))&gt;(YEAR(Clients!G12)*12+MONTH(Clients!G12))),"",1),IF(Clients!E12="Quarterly",IF(MOD((YEAR(EDATE(DATE(YEAR(TODAY()),MONTH(TODAY()),1),5))-YEAR(IF(ISNUMBER(Clients!F12),Clients!F12,DATE(YEAR(TODAY()),MONTH(TODAY()),1))))*12+MONTH(EDATE(DATE(YEAR(TODAY()),MONTH(TODAY()),1),5))-MONTH(IF(ISNUMBER(Clients!F12),Clients!F12,DATE(YEAR(TODAY()),MONTH(TODAY()),1))),3)=0,1,0),IF(Clients!E12="Semi-annual",IF(MOD((YEAR(EDATE(DATE(YEAR(TODAY()),MONTH(TODAY()),1),5))-YEAR(IF(ISNUMBER(Clients!F12),Clients!F12,DATE(YEAR(TODAY()),MONTH(TODAY()),1))))*12+MONTH(EDATE(DATE(YEAR(TODAY()),MONTH(TODAY()),1),5))-MONTH(IF(ISNUMBER(Clients!F12),Clients!F12,DATE(YEAR(TODAY()),MONTH(TODAY()),1))),6)=0,1,0),IF(Clients!E12="Annual",IF(MOD((YEAR(EDATE(DATE(YEAR(TODAY()),MONTH(TODAY()),1),5))-YEAR(IF(ISNUMBER(Clients!F12),Clients!F12,DATE(YEAR(TODAY()),MONTH(TODAY()),1))))*12+MONTH(EDATE(DATE(YEAR(TODAY()),MONTH(TODAY()),1),5))-MONTH(IF(ISNUMBER(Clients!F12),Clients!F12,DATE(YEAR(TODAY()),MONTH(TODAY()),1))),12)=0,1,0),IF(Clients!E12="One-time",IF(5=0,1,0),1)))))),"")</f>
        <v/>
      </c>
      <c r="L82" s="10" t="str">
        <f ca="1">IFERROR(IF(OR(6&gt;=$B$1,Clients!A12="",NOT(ISNUMBER(Clients!D12)),Clients!L12="Expired",Clients!L12="Terminate"),"",Clients!D12*1*IF(Clients!E12="Monthly",IF(AND(ISNUMBER(Clients!G12),(YEAR(EDATE(DATE(YEAR(TODAY()),MONTH(TODAY()),1),6))*12+MONTH(EDATE(DATE(YEAR(TODAY()),MONTH(TODAY()),1),6)))&gt;(YEAR(Clients!G12)*12+MONTH(Clients!G12))),"",1),IF(Clients!E12="Quarterly",IF(MOD((YEAR(EDATE(DATE(YEAR(TODAY()),MONTH(TODAY()),1),6))-YEAR(IF(ISNUMBER(Clients!F12),Clients!F12,DATE(YEAR(TODAY()),MONTH(TODAY()),1))))*12+MONTH(EDATE(DATE(YEAR(TODAY()),MONTH(TODAY()),1),6))-MONTH(IF(ISNUMBER(Clients!F12),Clients!F12,DATE(YEAR(TODAY()),MONTH(TODAY()),1))),3)=0,1,0),IF(Clients!E12="Semi-annual",IF(MOD((YEAR(EDATE(DATE(YEAR(TODAY()),MONTH(TODAY()),1),6))-YEAR(IF(ISNUMBER(Clients!F12),Clients!F12,DATE(YEAR(TODAY()),MONTH(TODAY()),1))))*12+MONTH(EDATE(DATE(YEAR(TODAY()),MONTH(TODAY()),1),6))-MONTH(IF(ISNUMBER(Clients!F12),Clients!F12,DATE(YEAR(TODAY()),MONTH(TODAY()),1))),6)=0,1,0),IF(Clients!E12="Annual",IF(MOD((YEAR(EDATE(DATE(YEAR(TODAY()),MONTH(TODAY()),1),6))-YEAR(IF(ISNUMBER(Clients!F12),Clients!F12,DATE(YEAR(TODAY()),MONTH(TODAY()),1))))*12+MONTH(EDATE(DATE(YEAR(TODAY()),MONTH(TODAY()),1),6))-MONTH(IF(ISNUMBER(Clients!F12),Clients!F12,DATE(YEAR(TODAY()),MONTH(TODAY()),1))),12)=0,1,0),IF(Clients!E12="One-time",IF(6=0,1,0),1)))))),"")</f>
        <v/>
      </c>
      <c r="M82" s="10" t="str">
        <f ca="1">IFERROR(IF(OR(7&gt;=$B$1,Clients!A12="",NOT(ISNUMBER(Clients!D12)),Clients!L12="Expired",Clients!L12="Terminate"),"",Clients!D12*1*IF(Clients!E12="Monthly",IF(AND(ISNUMBER(Clients!G12),(YEAR(EDATE(DATE(YEAR(TODAY()),MONTH(TODAY()),1),7))*12+MONTH(EDATE(DATE(YEAR(TODAY()),MONTH(TODAY()),1),7)))&gt;(YEAR(Clients!G12)*12+MONTH(Clients!G12))),"",1),IF(Clients!E12="Quarterly",IF(MOD((YEAR(EDATE(DATE(YEAR(TODAY()),MONTH(TODAY()),1),7))-YEAR(IF(ISNUMBER(Clients!F12),Clients!F12,DATE(YEAR(TODAY()),MONTH(TODAY()),1))))*12+MONTH(EDATE(DATE(YEAR(TODAY()),MONTH(TODAY()),1),7))-MONTH(IF(ISNUMBER(Clients!F12),Clients!F12,DATE(YEAR(TODAY()),MONTH(TODAY()),1))),3)=0,1,0),IF(Clients!E12="Semi-annual",IF(MOD((YEAR(EDATE(DATE(YEAR(TODAY()),MONTH(TODAY()),1),7))-YEAR(IF(ISNUMBER(Clients!F12),Clients!F12,DATE(YEAR(TODAY()),MONTH(TODAY()),1))))*12+MONTH(EDATE(DATE(YEAR(TODAY()),MONTH(TODAY()),1),7))-MONTH(IF(ISNUMBER(Clients!F12),Clients!F12,DATE(YEAR(TODAY()),MONTH(TODAY()),1))),6)=0,1,0),IF(Clients!E12="Annual",IF(MOD((YEAR(EDATE(DATE(YEAR(TODAY()),MONTH(TODAY()),1),7))-YEAR(IF(ISNUMBER(Clients!F12),Clients!F12,DATE(YEAR(TODAY()),MONTH(TODAY()),1))))*12+MONTH(EDATE(DATE(YEAR(TODAY()),MONTH(TODAY()),1),7))-MONTH(IF(ISNUMBER(Clients!F12),Clients!F12,DATE(YEAR(TODAY()),MONTH(TODAY()),1))),12)=0,1,0),IF(Clients!E12="One-time",IF(7=0,1,0),1)))))),"")</f>
        <v/>
      </c>
      <c r="N82" s="10" t="str">
        <f ca="1">IFERROR(IF(OR(8&gt;=$B$1,Clients!A12="",NOT(ISNUMBER(Clients!D12)),Clients!L12="Expired",Clients!L12="Terminate"),"",Clients!D12*1*IF(Clients!E12="Monthly",IF(AND(ISNUMBER(Clients!G12),(YEAR(EDATE(DATE(YEAR(TODAY()),MONTH(TODAY()),1),8))*12+MONTH(EDATE(DATE(YEAR(TODAY()),MONTH(TODAY()),1),8)))&gt;(YEAR(Clients!G12)*12+MONTH(Clients!G12))),"",1),IF(Clients!E12="Quarterly",IF(MOD((YEAR(EDATE(DATE(YEAR(TODAY()),MONTH(TODAY()),1),8))-YEAR(IF(ISNUMBER(Clients!F12),Clients!F12,DATE(YEAR(TODAY()),MONTH(TODAY()),1))))*12+MONTH(EDATE(DATE(YEAR(TODAY()),MONTH(TODAY()),1),8))-MONTH(IF(ISNUMBER(Clients!F12),Clients!F12,DATE(YEAR(TODAY()),MONTH(TODAY()),1))),3)=0,1,0),IF(Clients!E12="Semi-annual",IF(MOD((YEAR(EDATE(DATE(YEAR(TODAY()),MONTH(TODAY()),1),8))-YEAR(IF(ISNUMBER(Clients!F12),Clients!F12,DATE(YEAR(TODAY()),MONTH(TODAY()),1))))*12+MONTH(EDATE(DATE(YEAR(TODAY()),MONTH(TODAY()),1),8))-MONTH(IF(ISNUMBER(Clients!F12),Clients!F12,DATE(YEAR(TODAY()),MONTH(TODAY()),1))),6)=0,1,0),IF(Clients!E12="Annual",IF(MOD((YEAR(EDATE(DATE(YEAR(TODAY()),MONTH(TODAY()),1),8))-YEAR(IF(ISNUMBER(Clients!F12),Clients!F12,DATE(YEAR(TODAY()),MONTH(TODAY()),1))))*12+MONTH(EDATE(DATE(YEAR(TODAY()),MONTH(TODAY()),1),8))-MONTH(IF(ISNUMBER(Clients!F12),Clients!F12,DATE(YEAR(TODAY()),MONTH(TODAY()),1))),12)=0,1,0),IF(Clients!E12="One-time",IF(8=0,1,0),1)))))),"")</f>
        <v/>
      </c>
      <c r="O82" s="10" t="str">
        <f ca="1">IFERROR(IF(OR(9&gt;=$B$1,Clients!A12="",NOT(ISNUMBER(Clients!D12)),Clients!L12="Expired",Clients!L12="Terminate"),"",Clients!D12*1*IF(Clients!E12="Monthly",IF(AND(ISNUMBER(Clients!G12),(YEAR(EDATE(DATE(YEAR(TODAY()),MONTH(TODAY()),1),9))*12+MONTH(EDATE(DATE(YEAR(TODAY()),MONTH(TODAY()),1),9)))&gt;(YEAR(Clients!G12)*12+MONTH(Clients!G12))),"",1),IF(Clients!E12="Quarterly",IF(MOD((YEAR(EDATE(DATE(YEAR(TODAY()),MONTH(TODAY()),1),9))-YEAR(IF(ISNUMBER(Clients!F12),Clients!F12,DATE(YEAR(TODAY()),MONTH(TODAY()),1))))*12+MONTH(EDATE(DATE(YEAR(TODAY()),MONTH(TODAY()),1),9))-MONTH(IF(ISNUMBER(Clients!F12),Clients!F12,DATE(YEAR(TODAY()),MONTH(TODAY()),1))),3)=0,1,0),IF(Clients!E12="Semi-annual",IF(MOD((YEAR(EDATE(DATE(YEAR(TODAY()),MONTH(TODAY()),1),9))-YEAR(IF(ISNUMBER(Clients!F12),Clients!F12,DATE(YEAR(TODAY()),MONTH(TODAY()),1))))*12+MONTH(EDATE(DATE(YEAR(TODAY()),MONTH(TODAY()),1),9))-MONTH(IF(ISNUMBER(Clients!F12),Clients!F12,DATE(YEAR(TODAY()),MONTH(TODAY()),1))),6)=0,1,0),IF(Clients!E12="Annual",IF(MOD((YEAR(EDATE(DATE(YEAR(TODAY()),MONTH(TODAY()),1),9))-YEAR(IF(ISNUMBER(Clients!F12),Clients!F12,DATE(YEAR(TODAY()),MONTH(TODAY()),1))))*12+MONTH(EDATE(DATE(YEAR(TODAY()),MONTH(TODAY()),1),9))-MONTH(IF(ISNUMBER(Clients!F12),Clients!F12,DATE(YEAR(TODAY()),MONTH(TODAY()),1))),12)=0,1,0),IF(Clients!E12="One-time",IF(9=0,1,0),1)))))),"")</f>
        <v/>
      </c>
      <c r="P82" s="10" t="str">
        <f ca="1">IFERROR(IF(OR(10&gt;=$B$1,Clients!A12="",NOT(ISNUMBER(Clients!D12)),Clients!L12="Expired",Clients!L12="Terminate"),"",Clients!D12*1*IF(Clients!E12="Monthly",IF(AND(ISNUMBER(Clients!G12),(YEAR(EDATE(DATE(YEAR(TODAY()),MONTH(TODAY()),1),10))*12+MONTH(EDATE(DATE(YEAR(TODAY()),MONTH(TODAY()),1),10)))&gt;(YEAR(Clients!G12)*12+MONTH(Clients!G12))),"",1),IF(Clients!E12="Quarterly",IF(MOD((YEAR(EDATE(DATE(YEAR(TODAY()),MONTH(TODAY()),1),10))-YEAR(IF(ISNUMBER(Clients!F12),Clients!F12,DATE(YEAR(TODAY()),MONTH(TODAY()),1))))*12+MONTH(EDATE(DATE(YEAR(TODAY()),MONTH(TODAY()),1),10))-MONTH(IF(ISNUMBER(Clients!F12),Clients!F12,DATE(YEAR(TODAY()),MONTH(TODAY()),1))),3)=0,1,0),IF(Clients!E12="Semi-annual",IF(MOD((YEAR(EDATE(DATE(YEAR(TODAY()),MONTH(TODAY()),1),10))-YEAR(IF(ISNUMBER(Clients!F12),Clients!F12,DATE(YEAR(TODAY()),MONTH(TODAY()),1))))*12+MONTH(EDATE(DATE(YEAR(TODAY()),MONTH(TODAY()),1),10))-MONTH(IF(ISNUMBER(Clients!F12),Clients!F12,DATE(YEAR(TODAY()),MONTH(TODAY()),1))),6)=0,1,0),IF(Clients!E12="Annual",IF(MOD((YEAR(EDATE(DATE(YEAR(TODAY()),MONTH(TODAY()),1),10))-YEAR(IF(ISNUMBER(Clients!F12),Clients!F12,DATE(YEAR(TODAY()),MONTH(TODAY()),1))))*12+MONTH(EDATE(DATE(YEAR(TODAY()),MONTH(TODAY()),1),10))-MONTH(IF(ISNUMBER(Clients!F12),Clients!F12,DATE(YEAR(TODAY()),MONTH(TODAY()),1))),12)=0,1,0),IF(Clients!E12="One-time",IF(10=0,1,0),1)))))),"")</f>
        <v/>
      </c>
      <c r="Q82" s="10" t="str">
        <f ca="1">IFERROR(IF(OR(11&gt;=$B$1,Clients!A12="",NOT(ISNUMBER(Clients!D12)),Clients!L12="Expired",Clients!L12="Terminate"),"",Clients!D12*1*IF(Clients!E12="Monthly",IF(AND(ISNUMBER(Clients!G12),(YEAR(EDATE(DATE(YEAR(TODAY()),MONTH(TODAY()),1),11))*12+MONTH(EDATE(DATE(YEAR(TODAY()),MONTH(TODAY()),1),11)))&gt;(YEAR(Clients!G12)*12+MONTH(Clients!G12))),"",1),IF(Clients!E12="Quarterly",IF(MOD((YEAR(EDATE(DATE(YEAR(TODAY()),MONTH(TODAY()),1),11))-YEAR(IF(ISNUMBER(Clients!F12),Clients!F12,DATE(YEAR(TODAY()),MONTH(TODAY()),1))))*12+MONTH(EDATE(DATE(YEAR(TODAY()),MONTH(TODAY()),1),11))-MONTH(IF(ISNUMBER(Clients!F12),Clients!F12,DATE(YEAR(TODAY()),MONTH(TODAY()),1))),3)=0,1,0),IF(Clients!E12="Semi-annual",IF(MOD((YEAR(EDATE(DATE(YEAR(TODAY()),MONTH(TODAY()),1),11))-YEAR(IF(ISNUMBER(Clients!F12),Clients!F12,DATE(YEAR(TODAY()),MONTH(TODAY()),1))))*12+MONTH(EDATE(DATE(YEAR(TODAY()),MONTH(TODAY()),1),11))-MONTH(IF(ISNUMBER(Clients!F12),Clients!F12,DATE(YEAR(TODAY()),MONTH(TODAY()),1))),6)=0,1,0),IF(Clients!E12="Annual",IF(MOD((YEAR(EDATE(DATE(YEAR(TODAY()),MONTH(TODAY()),1),11))-YEAR(IF(ISNUMBER(Clients!F12),Clients!F12,DATE(YEAR(TODAY()),MONTH(TODAY()),1))))*12+MONTH(EDATE(DATE(YEAR(TODAY()),MONTH(TODAY()),1),11))-MONTH(IF(ISNUMBER(Clients!F12),Clients!F12,DATE(YEAR(TODAY()),MONTH(TODAY()),1))),12)=0,1,0),IF(Clients!E12="One-time",IF(11=0,1,0),1)))))),"")</f>
        <v/>
      </c>
      <c r="R82" s="10" t="str">
        <f ca="1">IFERROR(IF(OR(12&gt;=$B$1,Suppliers!A80="",NOT(ISNUMBER(Suppliers!D80)),Suppliers!L80="Expired",Suppliers!L80="Terminate"),"",Suppliers!D80*-1*IF(Suppliers!E80="Monthly",IF(AND(ISNUMBER(Suppliers!G80),(YEAR(EDATE(DATE(YEAR(TODAY()),MONTH(TODAY()),1),12))*12+MONTH(EDATE(DATE(YEAR(TODAY()),MONTH(TODAY()),1),12)))&gt;(YEAR(Suppliers!G80)*12+MONTH(Suppliers!G80))),"",1),IF(Suppliers!E80="Quarterly",IF(MOD((YEAR(EDATE(DATE(YEAR(TODAY()),MONTH(TODAY()),1),12))-YEAR(IF(ISNUMBER(Suppliers!F80),Suppliers!F80,DATE(YEAR(TODAY()),MONTH(TODAY()),1))))*12+MONTH(EDATE(DATE(YEAR(TODAY()),MONTH(TODAY()),1),12))-MONTH(IF(ISNUMBER(Suppliers!F80),Suppliers!F80,DATE(YEAR(TODAY()),MONTH(TODAY()),1))),3)=0,1,0),IF(Suppliers!E80="Semi-annual",IF(MOD((YEAR(EDATE(DATE(YEAR(TODAY()),MONTH(TODAY()),1),12))-YEAR(IF(ISNUMBER(Suppliers!F80),Suppliers!F80,DATE(YEAR(TODAY()),MONTH(TODAY()),1))))*12+MONTH(EDATE(DATE(YEAR(TODAY()),MONTH(TODAY()),1),12))-MONTH(IF(ISNUMBER(Suppliers!F80),Suppliers!F80,DATE(YEAR(TODAY()),MONTH(TODAY()),1))),6)=0,1,0),IF(Suppliers!E80="Annual",IF(MOD((YEAR(EDATE(DATE(YEAR(TODAY()),MONTH(TODAY()),1),12))-YEAR(IF(ISNUMBER(Suppliers!F80),Suppliers!F80,DATE(YEAR(TODAY()),MONTH(TODAY()),1))))*12+MONTH(EDATE(DATE(YEAR(TODAY()),MONTH(TODAY()),1),12))-MONTH(IF(ISNUMBER(Suppliers!F80),Suppliers!F80,DATE(YEAR(TODAY()),MONTH(TODAY()),1))),12)=0,1,0),IF(Suppliers!E80="One-time",IF(12=0,1,0),1)))))),"")</f>
        <v/>
      </c>
      <c r="S82" s="10" t="str">
        <f ca="1">IFERROR(IF(OR(13&gt;=$B$1,Suppliers!A80="",NOT(ISNUMBER(Suppliers!D80)),Suppliers!L80="Expired",Suppliers!L80="Terminate"),"",Suppliers!D80*-1*IF(Suppliers!E80="Monthly",IF(AND(ISNUMBER(Suppliers!G80),(YEAR(EDATE(DATE(YEAR(TODAY()),MONTH(TODAY()),1),13))*12+MONTH(EDATE(DATE(YEAR(TODAY()),MONTH(TODAY()),1),13)))&gt;(YEAR(Suppliers!G80)*12+MONTH(Suppliers!G80))),"",1),IF(Suppliers!E80="Quarterly",IF(MOD((YEAR(EDATE(DATE(YEAR(TODAY()),MONTH(TODAY()),1),13))-YEAR(IF(ISNUMBER(Suppliers!F80),Suppliers!F80,DATE(YEAR(TODAY()),MONTH(TODAY()),1))))*12+MONTH(EDATE(DATE(YEAR(TODAY()),MONTH(TODAY()),1),13))-MONTH(IF(ISNUMBER(Suppliers!F80),Suppliers!F80,DATE(YEAR(TODAY()),MONTH(TODAY()),1))),3)=0,1,0),IF(Suppliers!E80="Semi-annual",IF(MOD((YEAR(EDATE(DATE(YEAR(TODAY()),MONTH(TODAY()),1),13))-YEAR(IF(ISNUMBER(Suppliers!F80),Suppliers!F80,DATE(YEAR(TODAY()),MONTH(TODAY()),1))))*12+MONTH(EDATE(DATE(YEAR(TODAY()),MONTH(TODAY()),1),13))-MONTH(IF(ISNUMBER(Suppliers!F80),Suppliers!F80,DATE(YEAR(TODAY()),MONTH(TODAY()),1))),6)=0,1,0),IF(Suppliers!E80="Annual",IF(MOD((YEAR(EDATE(DATE(YEAR(TODAY()),MONTH(TODAY()),1),13))-YEAR(IF(ISNUMBER(Suppliers!F80),Suppliers!F80,DATE(YEAR(TODAY()),MONTH(TODAY()),1))))*12+MONTH(EDATE(DATE(YEAR(TODAY()),MONTH(TODAY()),1),13))-MONTH(IF(ISNUMBER(Suppliers!F80),Suppliers!F80,DATE(YEAR(TODAY()),MONTH(TODAY()),1))),12)=0,1,0),IF(Suppliers!E80="One-time",IF(13=0,1,0),1)))))),"")</f>
        <v/>
      </c>
      <c r="T82" s="10" t="str">
        <f ca="1">IFERROR(IF(OR(14&gt;=$B$1,Suppliers!A80="",NOT(ISNUMBER(Suppliers!D80)),Suppliers!L80="Expired",Suppliers!L80="Terminate"),"",Suppliers!D80*-1*IF(Suppliers!E80="Monthly",IF(AND(ISNUMBER(Suppliers!G80),(YEAR(EDATE(DATE(YEAR(TODAY()),MONTH(TODAY()),1),14))*12+MONTH(EDATE(DATE(YEAR(TODAY()),MONTH(TODAY()),1),14)))&gt;(YEAR(Suppliers!G80)*12+MONTH(Suppliers!G80))),"",1),IF(Suppliers!E80="Quarterly",IF(MOD((YEAR(EDATE(DATE(YEAR(TODAY()),MONTH(TODAY()),1),14))-YEAR(IF(ISNUMBER(Suppliers!F80),Suppliers!F80,DATE(YEAR(TODAY()),MONTH(TODAY()),1))))*12+MONTH(EDATE(DATE(YEAR(TODAY()),MONTH(TODAY()),1),14))-MONTH(IF(ISNUMBER(Suppliers!F80),Suppliers!F80,DATE(YEAR(TODAY()),MONTH(TODAY()),1))),3)=0,1,0),IF(Suppliers!E80="Semi-annual",IF(MOD((YEAR(EDATE(DATE(YEAR(TODAY()),MONTH(TODAY()),1),14))-YEAR(IF(ISNUMBER(Suppliers!F80),Suppliers!F80,DATE(YEAR(TODAY()),MONTH(TODAY()),1))))*12+MONTH(EDATE(DATE(YEAR(TODAY()),MONTH(TODAY()),1),14))-MONTH(IF(ISNUMBER(Suppliers!F80),Suppliers!F80,DATE(YEAR(TODAY()),MONTH(TODAY()),1))),6)=0,1,0),IF(Suppliers!E80="Annual",IF(MOD((YEAR(EDATE(DATE(YEAR(TODAY()),MONTH(TODAY()),1),14))-YEAR(IF(ISNUMBER(Suppliers!F80),Suppliers!F80,DATE(YEAR(TODAY()),MONTH(TODAY()),1))))*12+MONTH(EDATE(DATE(YEAR(TODAY()),MONTH(TODAY()),1),14))-MONTH(IF(ISNUMBER(Suppliers!F80),Suppliers!F80,DATE(YEAR(TODAY()),MONTH(TODAY()),1))),12)=0,1,0),IF(Suppliers!E80="One-time",IF(14=0,1,0),1)))))),"")</f>
        <v/>
      </c>
      <c r="U82" s="10" t="str">
        <f ca="1">IFERROR(IF(OR(15&gt;=$B$1,Suppliers!A80="",NOT(ISNUMBER(Suppliers!D80)),Suppliers!L80="Expired",Suppliers!L80="Terminate"),"",Suppliers!D80*-1*IF(Suppliers!E80="Monthly",IF(AND(ISNUMBER(Suppliers!G80),(YEAR(EDATE(DATE(YEAR(TODAY()),MONTH(TODAY()),1),15))*12+MONTH(EDATE(DATE(YEAR(TODAY()),MONTH(TODAY()),1),15)))&gt;(YEAR(Suppliers!G80)*12+MONTH(Suppliers!G80))),"",1),IF(Suppliers!E80="Quarterly",IF(MOD((YEAR(EDATE(DATE(YEAR(TODAY()),MONTH(TODAY()),1),15))-YEAR(IF(ISNUMBER(Suppliers!F80),Suppliers!F80,DATE(YEAR(TODAY()),MONTH(TODAY()),1))))*12+MONTH(EDATE(DATE(YEAR(TODAY()),MONTH(TODAY()),1),15))-MONTH(IF(ISNUMBER(Suppliers!F80),Suppliers!F80,DATE(YEAR(TODAY()),MONTH(TODAY()),1))),3)=0,1,0),IF(Suppliers!E80="Semi-annual",IF(MOD((YEAR(EDATE(DATE(YEAR(TODAY()),MONTH(TODAY()),1),15))-YEAR(IF(ISNUMBER(Suppliers!F80),Suppliers!F80,DATE(YEAR(TODAY()),MONTH(TODAY()),1))))*12+MONTH(EDATE(DATE(YEAR(TODAY()),MONTH(TODAY()),1),15))-MONTH(IF(ISNUMBER(Suppliers!F80),Suppliers!F80,DATE(YEAR(TODAY()),MONTH(TODAY()),1))),6)=0,1,0),IF(Suppliers!E80="Annual",IF(MOD((YEAR(EDATE(DATE(YEAR(TODAY()),MONTH(TODAY()),1),15))-YEAR(IF(ISNUMBER(Suppliers!F80),Suppliers!F80,DATE(YEAR(TODAY()),MONTH(TODAY()),1))))*12+MONTH(EDATE(DATE(YEAR(TODAY()),MONTH(TODAY()),1),15))-MONTH(IF(ISNUMBER(Suppliers!F80),Suppliers!F80,DATE(YEAR(TODAY()),MONTH(TODAY()),1))),12)=0,1,0),IF(Suppliers!E80="One-time",IF(15=0,1,0),1)))))),"")</f>
        <v/>
      </c>
      <c r="V82" s="10" t="str">
        <f ca="1">IFERROR(IF(OR(16&gt;=$B$1,Suppliers!A80="",NOT(ISNUMBER(Suppliers!D80)),Suppliers!L80="Expired",Suppliers!L80="Terminate"),"",Suppliers!D80*-1*IF(Suppliers!E80="Monthly",IF(AND(ISNUMBER(Suppliers!G80),(YEAR(EDATE(DATE(YEAR(TODAY()),MONTH(TODAY()),1),16))*12+MONTH(EDATE(DATE(YEAR(TODAY()),MONTH(TODAY()),1),16)))&gt;(YEAR(Suppliers!G80)*12+MONTH(Suppliers!G80))),"",1),IF(Suppliers!E80="Quarterly",IF(MOD((YEAR(EDATE(DATE(YEAR(TODAY()),MONTH(TODAY()),1),16))-YEAR(IF(ISNUMBER(Suppliers!F80),Suppliers!F80,DATE(YEAR(TODAY()),MONTH(TODAY()),1))))*12+MONTH(EDATE(DATE(YEAR(TODAY()),MONTH(TODAY()),1),16))-MONTH(IF(ISNUMBER(Suppliers!F80),Suppliers!F80,DATE(YEAR(TODAY()),MONTH(TODAY()),1))),3)=0,1,0),IF(Suppliers!E80="Semi-annual",IF(MOD((YEAR(EDATE(DATE(YEAR(TODAY()),MONTH(TODAY()),1),16))-YEAR(IF(ISNUMBER(Suppliers!F80),Suppliers!F80,DATE(YEAR(TODAY()),MONTH(TODAY()),1))))*12+MONTH(EDATE(DATE(YEAR(TODAY()),MONTH(TODAY()),1),16))-MONTH(IF(ISNUMBER(Suppliers!F80),Suppliers!F80,DATE(YEAR(TODAY()),MONTH(TODAY()),1))),6)=0,1,0),IF(Suppliers!E80="Annual",IF(MOD((YEAR(EDATE(DATE(YEAR(TODAY()),MONTH(TODAY()),1),16))-YEAR(IF(ISNUMBER(Suppliers!F80),Suppliers!F80,DATE(YEAR(TODAY()),MONTH(TODAY()),1))))*12+MONTH(EDATE(DATE(YEAR(TODAY()),MONTH(TODAY()),1),16))-MONTH(IF(ISNUMBER(Suppliers!F80),Suppliers!F80,DATE(YEAR(TODAY()),MONTH(TODAY()),1))),12)=0,1,0),IF(Suppliers!E80="One-time",IF(16=0,1,0),1)))))),"")</f>
        <v/>
      </c>
      <c r="W82" s="10" t="str">
        <f ca="1">IFERROR(IF(OR(17&gt;=$B$1,Suppliers!A80="",NOT(ISNUMBER(Suppliers!D80)),Suppliers!L80="Expired",Suppliers!L80="Terminate"),"",Suppliers!D80*-1*IF(Suppliers!E80="Monthly",IF(AND(ISNUMBER(Suppliers!G80),(YEAR(EDATE(DATE(YEAR(TODAY()),MONTH(TODAY()),1),17))*12+MONTH(EDATE(DATE(YEAR(TODAY()),MONTH(TODAY()),1),17)))&gt;(YEAR(Suppliers!G80)*12+MONTH(Suppliers!G80))),"",1),IF(Suppliers!E80="Quarterly",IF(MOD((YEAR(EDATE(DATE(YEAR(TODAY()),MONTH(TODAY()),1),17))-YEAR(IF(ISNUMBER(Suppliers!F80),Suppliers!F80,DATE(YEAR(TODAY()),MONTH(TODAY()),1))))*12+MONTH(EDATE(DATE(YEAR(TODAY()),MONTH(TODAY()),1),17))-MONTH(IF(ISNUMBER(Suppliers!F80),Suppliers!F80,DATE(YEAR(TODAY()),MONTH(TODAY()),1))),3)=0,1,0),IF(Suppliers!E80="Semi-annual",IF(MOD((YEAR(EDATE(DATE(YEAR(TODAY()),MONTH(TODAY()),1),17))-YEAR(IF(ISNUMBER(Suppliers!F80),Suppliers!F80,DATE(YEAR(TODAY()),MONTH(TODAY()),1))))*12+MONTH(EDATE(DATE(YEAR(TODAY()),MONTH(TODAY()),1),17))-MONTH(IF(ISNUMBER(Suppliers!F80),Suppliers!F80,DATE(YEAR(TODAY()),MONTH(TODAY()),1))),6)=0,1,0),IF(Suppliers!E80="Annual",IF(MOD((YEAR(EDATE(DATE(YEAR(TODAY()),MONTH(TODAY()),1),17))-YEAR(IF(ISNUMBER(Suppliers!F80),Suppliers!F80,DATE(YEAR(TODAY()),MONTH(TODAY()),1))))*12+MONTH(EDATE(DATE(YEAR(TODAY()),MONTH(TODAY()),1),17))-MONTH(IF(ISNUMBER(Suppliers!F80),Suppliers!F80,DATE(YEAR(TODAY()),MONTH(TODAY()),1))),12)=0,1,0),IF(Suppliers!E80="One-time",IF(17=0,1,0),1)))))),"")</f>
        <v/>
      </c>
      <c r="X82" s="10" t="str">
        <f ca="1">IFERROR(IF(OR(18&gt;=$B$1,Suppliers!A80="",NOT(ISNUMBER(Suppliers!D80)),Suppliers!L80="Expired",Suppliers!L80="Terminate"),"",Suppliers!D80*-1*IF(Suppliers!E80="Monthly",IF(AND(ISNUMBER(Suppliers!G80),(YEAR(EDATE(DATE(YEAR(TODAY()),MONTH(TODAY()),1),18))*12+MONTH(EDATE(DATE(YEAR(TODAY()),MONTH(TODAY()),1),18)))&gt;(YEAR(Suppliers!G80)*12+MONTH(Suppliers!G80))),"",1),IF(Suppliers!E80="Quarterly",IF(MOD((YEAR(EDATE(DATE(YEAR(TODAY()),MONTH(TODAY()),1),18))-YEAR(IF(ISNUMBER(Suppliers!F80),Suppliers!F80,DATE(YEAR(TODAY()),MONTH(TODAY()),1))))*12+MONTH(EDATE(DATE(YEAR(TODAY()),MONTH(TODAY()),1),18))-MONTH(IF(ISNUMBER(Suppliers!F80),Suppliers!F80,DATE(YEAR(TODAY()),MONTH(TODAY()),1))),3)=0,1,0),IF(Suppliers!E80="Semi-annual",IF(MOD((YEAR(EDATE(DATE(YEAR(TODAY()),MONTH(TODAY()),1),18))-YEAR(IF(ISNUMBER(Suppliers!F80),Suppliers!F80,DATE(YEAR(TODAY()),MONTH(TODAY()),1))))*12+MONTH(EDATE(DATE(YEAR(TODAY()),MONTH(TODAY()),1),18))-MONTH(IF(ISNUMBER(Suppliers!F80),Suppliers!F80,DATE(YEAR(TODAY()),MONTH(TODAY()),1))),6)=0,1,0),IF(Suppliers!E80="Annual",IF(MOD((YEAR(EDATE(DATE(YEAR(TODAY()),MONTH(TODAY()),1),18))-YEAR(IF(ISNUMBER(Suppliers!F80),Suppliers!F80,DATE(YEAR(TODAY()),MONTH(TODAY()),1))))*12+MONTH(EDATE(DATE(YEAR(TODAY()),MONTH(TODAY()),1),18))-MONTH(IF(ISNUMBER(Suppliers!F80),Suppliers!F80,DATE(YEAR(TODAY()),MONTH(TODAY()),1))),12)=0,1,0),IF(Suppliers!E80="One-time",IF(18=0,1,0),1)))))),"")</f>
        <v/>
      </c>
      <c r="Y82" s="10" t="str">
        <f ca="1">IFERROR(IF(OR(19&gt;=$B$1,Suppliers!A80="",NOT(ISNUMBER(Suppliers!D80)),Suppliers!L80="Expired",Suppliers!L80="Terminate"),"",Suppliers!D80*-1*IF(Suppliers!E80="Monthly",IF(AND(ISNUMBER(Suppliers!G80),(YEAR(EDATE(DATE(YEAR(TODAY()),MONTH(TODAY()),1),19))*12+MONTH(EDATE(DATE(YEAR(TODAY()),MONTH(TODAY()),1),19)))&gt;(YEAR(Suppliers!G80)*12+MONTH(Suppliers!G80))),"",1),IF(Suppliers!E80="Quarterly",IF(MOD((YEAR(EDATE(DATE(YEAR(TODAY()),MONTH(TODAY()),1),19))-YEAR(IF(ISNUMBER(Suppliers!F80),Suppliers!F80,DATE(YEAR(TODAY()),MONTH(TODAY()),1))))*12+MONTH(EDATE(DATE(YEAR(TODAY()),MONTH(TODAY()),1),19))-MONTH(IF(ISNUMBER(Suppliers!F80),Suppliers!F80,DATE(YEAR(TODAY()),MONTH(TODAY()),1))),3)=0,1,0),IF(Suppliers!E80="Semi-annual",IF(MOD((YEAR(EDATE(DATE(YEAR(TODAY()),MONTH(TODAY()),1),19))-YEAR(IF(ISNUMBER(Suppliers!F80),Suppliers!F80,DATE(YEAR(TODAY()),MONTH(TODAY()),1))))*12+MONTH(EDATE(DATE(YEAR(TODAY()),MONTH(TODAY()),1),19))-MONTH(IF(ISNUMBER(Suppliers!F80),Suppliers!F80,DATE(YEAR(TODAY()),MONTH(TODAY()),1))),6)=0,1,0),IF(Suppliers!E80="Annual",IF(MOD((YEAR(EDATE(DATE(YEAR(TODAY()),MONTH(TODAY()),1),19))-YEAR(IF(ISNUMBER(Suppliers!F80),Suppliers!F80,DATE(YEAR(TODAY()),MONTH(TODAY()),1))))*12+MONTH(EDATE(DATE(YEAR(TODAY()),MONTH(TODAY()),1),19))-MONTH(IF(ISNUMBER(Suppliers!F80),Suppliers!F80,DATE(YEAR(TODAY()),MONTH(TODAY()),1))),12)=0,1,0),IF(Suppliers!E80="One-time",IF(19=0,1,0),1)))))),"")</f>
        <v/>
      </c>
      <c r="Z82" s="10" t="str">
        <f ca="1">IFERROR(IF(OR(20&gt;=$B$1,Suppliers!A80="",NOT(ISNUMBER(Suppliers!D80)),Suppliers!L80="Expired",Suppliers!L80="Terminate"),"",Suppliers!D80*-1*IF(Suppliers!E80="Monthly",IF(AND(ISNUMBER(Suppliers!G80),(YEAR(EDATE(DATE(YEAR(TODAY()),MONTH(TODAY()),1),20))*12+MONTH(EDATE(DATE(YEAR(TODAY()),MONTH(TODAY()),1),20)))&gt;(YEAR(Suppliers!G80)*12+MONTH(Suppliers!G80))),"",1),IF(Suppliers!E80="Quarterly",IF(MOD((YEAR(EDATE(DATE(YEAR(TODAY()),MONTH(TODAY()),1),20))-YEAR(IF(ISNUMBER(Suppliers!F80),Suppliers!F80,DATE(YEAR(TODAY()),MONTH(TODAY()),1))))*12+MONTH(EDATE(DATE(YEAR(TODAY()),MONTH(TODAY()),1),20))-MONTH(IF(ISNUMBER(Suppliers!F80),Suppliers!F80,DATE(YEAR(TODAY()),MONTH(TODAY()),1))),3)=0,1,0),IF(Suppliers!E80="Semi-annual",IF(MOD((YEAR(EDATE(DATE(YEAR(TODAY()),MONTH(TODAY()),1),20))-YEAR(IF(ISNUMBER(Suppliers!F80),Suppliers!F80,DATE(YEAR(TODAY()),MONTH(TODAY()),1))))*12+MONTH(EDATE(DATE(YEAR(TODAY()),MONTH(TODAY()),1),20))-MONTH(IF(ISNUMBER(Suppliers!F80),Suppliers!F80,DATE(YEAR(TODAY()),MONTH(TODAY()),1))),6)=0,1,0),IF(Suppliers!E80="Annual",IF(MOD((YEAR(EDATE(DATE(YEAR(TODAY()),MONTH(TODAY()),1),20))-YEAR(IF(ISNUMBER(Suppliers!F80),Suppliers!F80,DATE(YEAR(TODAY()),MONTH(TODAY()),1))))*12+MONTH(EDATE(DATE(YEAR(TODAY()),MONTH(TODAY()),1),20))-MONTH(IF(ISNUMBER(Suppliers!F80),Suppliers!F80,DATE(YEAR(TODAY()),MONTH(TODAY()),1))),12)=0,1,0),IF(Suppliers!E80="One-time",IF(20=0,1,0),1)))))),"")</f>
        <v/>
      </c>
      <c r="AA82" s="10" t="str">
        <f ca="1">IFERROR(IF(OR(21&gt;=$B$1,Suppliers!A80="",NOT(ISNUMBER(Suppliers!D80)),Suppliers!L80="Expired",Suppliers!L80="Terminate"),"",Suppliers!D80*-1*IF(Suppliers!E80="Monthly",IF(AND(ISNUMBER(Suppliers!G80),(YEAR(EDATE(DATE(YEAR(TODAY()),MONTH(TODAY()),1),21))*12+MONTH(EDATE(DATE(YEAR(TODAY()),MONTH(TODAY()),1),21)))&gt;(YEAR(Suppliers!G80)*12+MONTH(Suppliers!G80))),"",1),IF(Suppliers!E80="Quarterly",IF(MOD((YEAR(EDATE(DATE(YEAR(TODAY()),MONTH(TODAY()),1),21))-YEAR(IF(ISNUMBER(Suppliers!F80),Suppliers!F80,DATE(YEAR(TODAY()),MONTH(TODAY()),1))))*12+MONTH(EDATE(DATE(YEAR(TODAY()),MONTH(TODAY()),1),21))-MONTH(IF(ISNUMBER(Suppliers!F80),Suppliers!F80,DATE(YEAR(TODAY()),MONTH(TODAY()),1))),3)=0,1,0),IF(Suppliers!E80="Semi-annual",IF(MOD((YEAR(EDATE(DATE(YEAR(TODAY()),MONTH(TODAY()),1),21))-YEAR(IF(ISNUMBER(Suppliers!F80),Suppliers!F80,DATE(YEAR(TODAY()),MONTH(TODAY()),1))))*12+MONTH(EDATE(DATE(YEAR(TODAY()),MONTH(TODAY()),1),21))-MONTH(IF(ISNUMBER(Suppliers!F80),Suppliers!F80,DATE(YEAR(TODAY()),MONTH(TODAY()),1))),6)=0,1,0),IF(Suppliers!E80="Annual",IF(MOD((YEAR(EDATE(DATE(YEAR(TODAY()),MONTH(TODAY()),1),21))-YEAR(IF(ISNUMBER(Suppliers!F80),Suppliers!F80,DATE(YEAR(TODAY()),MONTH(TODAY()),1))))*12+MONTH(EDATE(DATE(YEAR(TODAY()),MONTH(TODAY()),1),21))-MONTH(IF(ISNUMBER(Suppliers!F80),Suppliers!F80,DATE(YEAR(TODAY()),MONTH(TODAY()),1))),12)=0,1,0),IF(Suppliers!E80="One-time",IF(21=0,1,0),1)))))),"")</f>
        <v/>
      </c>
      <c r="AB82" s="10" t="str">
        <f ca="1">IFERROR(IF(OR(22&gt;=$B$1,Suppliers!A80="",NOT(ISNUMBER(Suppliers!D80)),Suppliers!L80="Expired",Suppliers!L80="Terminate"),"",Suppliers!D80*-1*IF(Suppliers!E80="Monthly",IF(AND(ISNUMBER(Suppliers!G80),(YEAR(EDATE(DATE(YEAR(TODAY()),MONTH(TODAY()),1),22))*12+MONTH(EDATE(DATE(YEAR(TODAY()),MONTH(TODAY()),1),22)))&gt;(YEAR(Suppliers!G80)*12+MONTH(Suppliers!G80))),"",1),IF(Suppliers!E80="Quarterly",IF(MOD((YEAR(EDATE(DATE(YEAR(TODAY()),MONTH(TODAY()),1),22))-YEAR(IF(ISNUMBER(Suppliers!F80),Suppliers!F80,DATE(YEAR(TODAY()),MONTH(TODAY()),1))))*12+MONTH(EDATE(DATE(YEAR(TODAY()),MONTH(TODAY()),1),22))-MONTH(IF(ISNUMBER(Suppliers!F80),Suppliers!F80,DATE(YEAR(TODAY()),MONTH(TODAY()),1))),3)=0,1,0),IF(Suppliers!E80="Semi-annual",IF(MOD((YEAR(EDATE(DATE(YEAR(TODAY()),MONTH(TODAY()),1),22))-YEAR(IF(ISNUMBER(Suppliers!F80),Suppliers!F80,DATE(YEAR(TODAY()),MONTH(TODAY()),1))))*12+MONTH(EDATE(DATE(YEAR(TODAY()),MONTH(TODAY()),1),22))-MONTH(IF(ISNUMBER(Suppliers!F80),Suppliers!F80,DATE(YEAR(TODAY()),MONTH(TODAY()),1))),6)=0,1,0),IF(Suppliers!E80="Annual",IF(MOD((YEAR(EDATE(DATE(YEAR(TODAY()),MONTH(TODAY()),1),22))-YEAR(IF(ISNUMBER(Suppliers!F80),Suppliers!F80,DATE(YEAR(TODAY()),MONTH(TODAY()),1))))*12+MONTH(EDATE(DATE(YEAR(TODAY()),MONTH(TODAY()),1),22))-MONTH(IF(ISNUMBER(Suppliers!F80),Suppliers!F80,DATE(YEAR(TODAY()),MONTH(TODAY()),1))),12)=0,1,0),IF(Suppliers!E80="One-time",IF(22=0,1,0),1)))))),"")</f>
        <v/>
      </c>
      <c r="AC82" s="10" t="str">
        <f ca="1">IFERROR(IF(OR(23&gt;=$B$1,Suppliers!A80="",NOT(ISNUMBER(Suppliers!D80)),Suppliers!L80="Expired",Suppliers!L80="Terminate"),"",Suppliers!D80*-1*IF(Suppliers!E80="Monthly",IF(AND(ISNUMBER(Suppliers!G80),(YEAR(EDATE(DATE(YEAR(TODAY()),MONTH(TODAY()),1),23))*12+MONTH(EDATE(DATE(YEAR(TODAY()),MONTH(TODAY()),1),23)))&gt;(YEAR(Suppliers!G80)*12+MONTH(Suppliers!G80))),"",1),IF(Suppliers!E80="Quarterly",IF(MOD((YEAR(EDATE(DATE(YEAR(TODAY()),MONTH(TODAY()),1),23))-YEAR(IF(ISNUMBER(Suppliers!F80),Suppliers!F80,DATE(YEAR(TODAY()),MONTH(TODAY()),1))))*12+MONTH(EDATE(DATE(YEAR(TODAY()),MONTH(TODAY()),1),23))-MONTH(IF(ISNUMBER(Suppliers!F80),Suppliers!F80,DATE(YEAR(TODAY()),MONTH(TODAY()),1))),3)=0,1,0),IF(Suppliers!E80="Semi-annual",IF(MOD((YEAR(EDATE(DATE(YEAR(TODAY()),MONTH(TODAY()),1),23))-YEAR(IF(ISNUMBER(Suppliers!F80),Suppliers!F80,DATE(YEAR(TODAY()),MONTH(TODAY()),1))))*12+MONTH(EDATE(DATE(YEAR(TODAY()),MONTH(TODAY()),1),23))-MONTH(IF(ISNUMBER(Suppliers!F80),Suppliers!F80,DATE(YEAR(TODAY()),MONTH(TODAY()),1))),6)=0,1,0),IF(Suppliers!E80="Annual",IF(MOD((YEAR(EDATE(DATE(YEAR(TODAY()),MONTH(TODAY()),1),23))-YEAR(IF(ISNUMBER(Suppliers!F80),Suppliers!F80,DATE(YEAR(TODAY()),MONTH(TODAY()),1))))*12+MONTH(EDATE(DATE(YEAR(TODAY()),MONTH(TODAY()),1),23))-MONTH(IF(ISNUMBER(Suppliers!F80),Suppliers!F80,DATE(YEAR(TODAY()),MONTH(TODAY()),1))),12)=0,1,0),IF(Suppliers!E80="One-time",IF(23=0,1,0),1)))))),"")</f>
        <v/>
      </c>
    </row>
    <row r="83" spans="1:29" ht="15" customHeight="1" x14ac:dyDescent="0.35">
      <c r="A83" s="4" t="s">
        <v>81</v>
      </c>
      <c r="B83" s="4" t="str">
        <f>IF(Clients!A13="","",Clients!A13)</f>
        <v/>
      </c>
      <c r="C83" s="10" t="str">
        <f>IF(Clients!C13="","",Clients!C13)</f>
        <v/>
      </c>
      <c r="D83" s="10" t="str">
        <f>IF(Clients!D13="","",Clients!D13)</f>
        <v/>
      </c>
      <c r="E83" s="4" t="str">
        <f>IF(Clients!E13="","",Clients!E13)</f>
        <v/>
      </c>
      <c r="F83" s="10" t="str">
        <f ca="1">IFERROR(IF(OR(0&gt;=$B$1,Clients!A13="",NOT(ISNUMBER(Clients!D13)),Clients!L13="Expired",Clients!L13="Terminate"),"",Clients!D13*1*IF(Clients!E13="Monthly",IF(AND(ISNUMBER(Clients!G13),(YEAR(EDATE(DATE(YEAR(TODAY()),MONTH(TODAY()),1),0))*12+MONTH(EDATE(DATE(YEAR(TODAY()),MONTH(TODAY()),1),0)))&gt;(YEAR(Clients!G13)*12+MONTH(Clients!G13))),"",1),IF(Clients!E13="Quarterly",IF(MOD((YEAR(EDATE(DATE(YEAR(TODAY()),MONTH(TODAY()),1),0))-YEAR(IF(ISNUMBER(Clients!F13),Clients!F13,DATE(YEAR(TODAY()),MONTH(TODAY()),1))))*12+MONTH(EDATE(DATE(YEAR(TODAY()),MONTH(TODAY()),1),0))-MONTH(IF(ISNUMBER(Clients!F13),Clients!F13,DATE(YEAR(TODAY()),MONTH(TODAY()),1))),3)=0,1,0),IF(Clients!E13="Semi-annual",IF(MOD((YEAR(EDATE(DATE(YEAR(TODAY()),MONTH(TODAY()),1),0))-YEAR(IF(ISNUMBER(Clients!F13),Clients!F13,DATE(YEAR(TODAY()),MONTH(TODAY()),1))))*12+MONTH(EDATE(DATE(YEAR(TODAY()),MONTH(TODAY()),1),0))-MONTH(IF(ISNUMBER(Clients!F13),Clients!F13,DATE(YEAR(TODAY()),MONTH(TODAY()),1))),6)=0,1,0),IF(Clients!E13="Annual",IF(MOD((YEAR(EDATE(DATE(YEAR(TODAY()),MONTH(TODAY()),1),0))-YEAR(IF(ISNUMBER(Clients!F13),Clients!F13,DATE(YEAR(TODAY()),MONTH(TODAY()),1))))*12+MONTH(EDATE(DATE(YEAR(TODAY()),MONTH(TODAY()),1),0))-MONTH(IF(ISNUMBER(Clients!F13),Clients!F13,DATE(YEAR(TODAY()),MONTH(TODAY()),1))),12)=0,1,0),IF(Clients!E13="One-time",IF(0=0,1,0),1)))))),"")</f>
        <v/>
      </c>
      <c r="G83" s="10" t="str">
        <f ca="1">IFERROR(IF(OR(1&gt;=$B$1,Clients!A13="",NOT(ISNUMBER(Clients!D13)),Clients!L13="Expired",Clients!L13="Terminate"),"",Clients!D13*1*IF(Clients!E13="Monthly",IF(AND(ISNUMBER(Clients!G13),(YEAR(EDATE(DATE(YEAR(TODAY()),MONTH(TODAY()),1),1))*12+MONTH(EDATE(DATE(YEAR(TODAY()),MONTH(TODAY()),1),1)))&gt;(YEAR(Clients!G13)*12+MONTH(Clients!G13))),"",1),IF(Clients!E13="Quarterly",IF(MOD((YEAR(EDATE(DATE(YEAR(TODAY()),MONTH(TODAY()),1),1))-YEAR(IF(ISNUMBER(Clients!F13),Clients!F13,DATE(YEAR(TODAY()),MONTH(TODAY()),1))))*12+MONTH(EDATE(DATE(YEAR(TODAY()),MONTH(TODAY()),1),1))-MONTH(IF(ISNUMBER(Clients!F13),Clients!F13,DATE(YEAR(TODAY()),MONTH(TODAY()),1))),3)=0,1,0),IF(Clients!E13="Semi-annual",IF(MOD((YEAR(EDATE(DATE(YEAR(TODAY()),MONTH(TODAY()),1),1))-YEAR(IF(ISNUMBER(Clients!F13),Clients!F13,DATE(YEAR(TODAY()),MONTH(TODAY()),1))))*12+MONTH(EDATE(DATE(YEAR(TODAY()),MONTH(TODAY()),1),1))-MONTH(IF(ISNUMBER(Clients!F13),Clients!F13,DATE(YEAR(TODAY()),MONTH(TODAY()),1))),6)=0,1,0),IF(Clients!E13="Annual",IF(MOD((YEAR(EDATE(DATE(YEAR(TODAY()),MONTH(TODAY()),1),1))-YEAR(IF(ISNUMBER(Clients!F13),Clients!F13,DATE(YEAR(TODAY()),MONTH(TODAY()),1))))*12+MONTH(EDATE(DATE(YEAR(TODAY()),MONTH(TODAY()),1),1))-MONTH(IF(ISNUMBER(Clients!F13),Clients!F13,DATE(YEAR(TODAY()),MONTH(TODAY()),1))),12)=0,1,0),IF(Clients!E13="One-time",IF(1=0,1,0),1)))))),"")</f>
        <v/>
      </c>
      <c r="H83" s="10" t="str">
        <f ca="1">IFERROR(IF(OR(2&gt;=$B$1,Clients!A13="",NOT(ISNUMBER(Clients!D13)),Clients!L13="Expired",Clients!L13="Terminate"),"",Clients!D13*1*IF(Clients!E13="Monthly",IF(AND(ISNUMBER(Clients!G13),(YEAR(EDATE(DATE(YEAR(TODAY()),MONTH(TODAY()),1),2))*12+MONTH(EDATE(DATE(YEAR(TODAY()),MONTH(TODAY()),1),2)))&gt;(YEAR(Clients!G13)*12+MONTH(Clients!G13))),"",1),IF(Clients!E13="Quarterly",IF(MOD((YEAR(EDATE(DATE(YEAR(TODAY()),MONTH(TODAY()),1),2))-YEAR(IF(ISNUMBER(Clients!F13),Clients!F13,DATE(YEAR(TODAY()),MONTH(TODAY()),1))))*12+MONTH(EDATE(DATE(YEAR(TODAY()),MONTH(TODAY()),1),2))-MONTH(IF(ISNUMBER(Clients!F13),Clients!F13,DATE(YEAR(TODAY()),MONTH(TODAY()),1))),3)=0,1,0),IF(Clients!E13="Semi-annual",IF(MOD((YEAR(EDATE(DATE(YEAR(TODAY()),MONTH(TODAY()),1),2))-YEAR(IF(ISNUMBER(Clients!F13),Clients!F13,DATE(YEAR(TODAY()),MONTH(TODAY()),1))))*12+MONTH(EDATE(DATE(YEAR(TODAY()),MONTH(TODAY()),1),2))-MONTH(IF(ISNUMBER(Clients!F13),Clients!F13,DATE(YEAR(TODAY()),MONTH(TODAY()),1))),6)=0,1,0),IF(Clients!E13="Annual",IF(MOD((YEAR(EDATE(DATE(YEAR(TODAY()),MONTH(TODAY()),1),2))-YEAR(IF(ISNUMBER(Clients!F13),Clients!F13,DATE(YEAR(TODAY()),MONTH(TODAY()),1))))*12+MONTH(EDATE(DATE(YEAR(TODAY()),MONTH(TODAY()),1),2))-MONTH(IF(ISNUMBER(Clients!F13),Clients!F13,DATE(YEAR(TODAY()),MONTH(TODAY()),1))),12)=0,1,0),IF(Clients!E13="One-time",IF(2=0,1,0),1)))))),"")</f>
        <v/>
      </c>
      <c r="I83" s="10" t="str">
        <f ca="1">IFERROR(IF(OR(3&gt;=$B$1,Clients!A13="",NOT(ISNUMBER(Clients!D13)),Clients!L13="Expired",Clients!L13="Terminate"),"",Clients!D13*1*IF(Clients!E13="Monthly",IF(AND(ISNUMBER(Clients!G13),(YEAR(EDATE(DATE(YEAR(TODAY()),MONTH(TODAY()),1),3))*12+MONTH(EDATE(DATE(YEAR(TODAY()),MONTH(TODAY()),1),3)))&gt;(YEAR(Clients!G13)*12+MONTH(Clients!G13))),"",1),IF(Clients!E13="Quarterly",IF(MOD((YEAR(EDATE(DATE(YEAR(TODAY()),MONTH(TODAY()),1),3))-YEAR(IF(ISNUMBER(Clients!F13),Clients!F13,DATE(YEAR(TODAY()),MONTH(TODAY()),1))))*12+MONTH(EDATE(DATE(YEAR(TODAY()),MONTH(TODAY()),1),3))-MONTH(IF(ISNUMBER(Clients!F13),Clients!F13,DATE(YEAR(TODAY()),MONTH(TODAY()),1))),3)=0,1,0),IF(Clients!E13="Semi-annual",IF(MOD((YEAR(EDATE(DATE(YEAR(TODAY()),MONTH(TODAY()),1),3))-YEAR(IF(ISNUMBER(Clients!F13),Clients!F13,DATE(YEAR(TODAY()),MONTH(TODAY()),1))))*12+MONTH(EDATE(DATE(YEAR(TODAY()),MONTH(TODAY()),1),3))-MONTH(IF(ISNUMBER(Clients!F13),Clients!F13,DATE(YEAR(TODAY()),MONTH(TODAY()),1))),6)=0,1,0),IF(Clients!E13="Annual",IF(MOD((YEAR(EDATE(DATE(YEAR(TODAY()),MONTH(TODAY()),1),3))-YEAR(IF(ISNUMBER(Clients!F13),Clients!F13,DATE(YEAR(TODAY()),MONTH(TODAY()),1))))*12+MONTH(EDATE(DATE(YEAR(TODAY()),MONTH(TODAY()),1),3))-MONTH(IF(ISNUMBER(Clients!F13),Clients!F13,DATE(YEAR(TODAY()),MONTH(TODAY()),1))),12)=0,1,0),IF(Clients!E13="One-time",IF(3=0,1,0),1)))))),"")</f>
        <v/>
      </c>
      <c r="J83" s="10" t="str">
        <f ca="1">IFERROR(IF(OR(4&gt;=$B$1,Clients!A13="",NOT(ISNUMBER(Clients!D13)),Clients!L13="Expired",Clients!L13="Terminate"),"",Clients!D13*1*IF(Clients!E13="Monthly",IF(AND(ISNUMBER(Clients!G13),(YEAR(EDATE(DATE(YEAR(TODAY()),MONTH(TODAY()),1),4))*12+MONTH(EDATE(DATE(YEAR(TODAY()),MONTH(TODAY()),1),4)))&gt;(YEAR(Clients!G13)*12+MONTH(Clients!G13))),"",1),IF(Clients!E13="Quarterly",IF(MOD((YEAR(EDATE(DATE(YEAR(TODAY()),MONTH(TODAY()),1),4))-YEAR(IF(ISNUMBER(Clients!F13),Clients!F13,DATE(YEAR(TODAY()),MONTH(TODAY()),1))))*12+MONTH(EDATE(DATE(YEAR(TODAY()),MONTH(TODAY()),1),4))-MONTH(IF(ISNUMBER(Clients!F13),Clients!F13,DATE(YEAR(TODAY()),MONTH(TODAY()),1))),3)=0,1,0),IF(Clients!E13="Semi-annual",IF(MOD((YEAR(EDATE(DATE(YEAR(TODAY()),MONTH(TODAY()),1),4))-YEAR(IF(ISNUMBER(Clients!F13),Clients!F13,DATE(YEAR(TODAY()),MONTH(TODAY()),1))))*12+MONTH(EDATE(DATE(YEAR(TODAY()),MONTH(TODAY()),1),4))-MONTH(IF(ISNUMBER(Clients!F13),Clients!F13,DATE(YEAR(TODAY()),MONTH(TODAY()),1))),6)=0,1,0),IF(Clients!E13="Annual",IF(MOD((YEAR(EDATE(DATE(YEAR(TODAY()),MONTH(TODAY()),1),4))-YEAR(IF(ISNUMBER(Clients!F13),Clients!F13,DATE(YEAR(TODAY()),MONTH(TODAY()),1))))*12+MONTH(EDATE(DATE(YEAR(TODAY()),MONTH(TODAY()),1),4))-MONTH(IF(ISNUMBER(Clients!F13),Clients!F13,DATE(YEAR(TODAY()),MONTH(TODAY()),1))),12)=0,1,0),IF(Clients!E13="One-time",IF(4=0,1,0),1)))))),"")</f>
        <v/>
      </c>
      <c r="K83" s="10" t="str">
        <f ca="1">IFERROR(IF(OR(5&gt;=$B$1,Clients!A13="",NOT(ISNUMBER(Clients!D13)),Clients!L13="Expired",Clients!L13="Terminate"),"",Clients!D13*1*IF(Clients!E13="Monthly",IF(AND(ISNUMBER(Clients!G13),(YEAR(EDATE(DATE(YEAR(TODAY()),MONTH(TODAY()),1),5))*12+MONTH(EDATE(DATE(YEAR(TODAY()),MONTH(TODAY()),1),5)))&gt;(YEAR(Clients!G13)*12+MONTH(Clients!G13))),"",1),IF(Clients!E13="Quarterly",IF(MOD((YEAR(EDATE(DATE(YEAR(TODAY()),MONTH(TODAY()),1),5))-YEAR(IF(ISNUMBER(Clients!F13),Clients!F13,DATE(YEAR(TODAY()),MONTH(TODAY()),1))))*12+MONTH(EDATE(DATE(YEAR(TODAY()),MONTH(TODAY()),1),5))-MONTH(IF(ISNUMBER(Clients!F13),Clients!F13,DATE(YEAR(TODAY()),MONTH(TODAY()),1))),3)=0,1,0),IF(Clients!E13="Semi-annual",IF(MOD((YEAR(EDATE(DATE(YEAR(TODAY()),MONTH(TODAY()),1),5))-YEAR(IF(ISNUMBER(Clients!F13),Clients!F13,DATE(YEAR(TODAY()),MONTH(TODAY()),1))))*12+MONTH(EDATE(DATE(YEAR(TODAY()),MONTH(TODAY()),1),5))-MONTH(IF(ISNUMBER(Clients!F13),Clients!F13,DATE(YEAR(TODAY()),MONTH(TODAY()),1))),6)=0,1,0),IF(Clients!E13="Annual",IF(MOD((YEAR(EDATE(DATE(YEAR(TODAY()),MONTH(TODAY()),1),5))-YEAR(IF(ISNUMBER(Clients!F13),Clients!F13,DATE(YEAR(TODAY()),MONTH(TODAY()),1))))*12+MONTH(EDATE(DATE(YEAR(TODAY()),MONTH(TODAY()),1),5))-MONTH(IF(ISNUMBER(Clients!F13),Clients!F13,DATE(YEAR(TODAY()),MONTH(TODAY()),1))),12)=0,1,0),IF(Clients!E13="One-time",IF(5=0,1,0),1)))))),"")</f>
        <v/>
      </c>
      <c r="L83" s="10" t="str">
        <f ca="1">IFERROR(IF(OR(6&gt;=$B$1,Clients!A13="",NOT(ISNUMBER(Clients!D13)),Clients!L13="Expired",Clients!L13="Terminate"),"",Clients!D13*1*IF(Clients!E13="Monthly",IF(AND(ISNUMBER(Clients!G13),(YEAR(EDATE(DATE(YEAR(TODAY()),MONTH(TODAY()),1),6))*12+MONTH(EDATE(DATE(YEAR(TODAY()),MONTH(TODAY()),1),6)))&gt;(YEAR(Clients!G13)*12+MONTH(Clients!G13))),"",1),IF(Clients!E13="Quarterly",IF(MOD((YEAR(EDATE(DATE(YEAR(TODAY()),MONTH(TODAY()),1),6))-YEAR(IF(ISNUMBER(Clients!F13),Clients!F13,DATE(YEAR(TODAY()),MONTH(TODAY()),1))))*12+MONTH(EDATE(DATE(YEAR(TODAY()),MONTH(TODAY()),1),6))-MONTH(IF(ISNUMBER(Clients!F13),Clients!F13,DATE(YEAR(TODAY()),MONTH(TODAY()),1))),3)=0,1,0),IF(Clients!E13="Semi-annual",IF(MOD((YEAR(EDATE(DATE(YEAR(TODAY()),MONTH(TODAY()),1),6))-YEAR(IF(ISNUMBER(Clients!F13),Clients!F13,DATE(YEAR(TODAY()),MONTH(TODAY()),1))))*12+MONTH(EDATE(DATE(YEAR(TODAY()),MONTH(TODAY()),1),6))-MONTH(IF(ISNUMBER(Clients!F13),Clients!F13,DATE(YEAR(TODAY()),MONTH(TODAY()),1))),6)=0,1,0),IF(Clients!E13="Annual",IF(MOD((YEAR(EDATE(DATE(YEAR(TODAY()),MONTH(TODAY()),1),6))-YEAR(IF(ISNUMBER(Clients!F13),Clients!F13,DATE(YEAR(TODAY()),MONTH(TODAY()),1))))*12+MONTH(EDATE(DATE(YEAR(TODAY()),MONTH(TODAY()),1),6))-MONTH(IF(ISNUMBER(Clients!F13),Clients!F13,DATE(YEAR(TODAY()),MONTH(TODAY()),1))),12)=0,1,0),IF(Clients!E13="One-time",IF(6=0,1,0),1)))))),"")</f>
        <v/>
      </c>
      <c r="M83" s="10" t="str">
        <f ca="1">IFERROR(IF(OR(7&gt;=$B$1,Clients!A13="",NOT(ISNUMBER(Clients!D13)),Clients!L13="Expired",Clients!L13="Terminate"),"",Clients!D13*1*IF(Clients!E13="Monthly",IF(AND(ISNUMBER(Clients!G13),(YEAR(EDATE(DATE(YEAR(TODAY()),MONTH(TODAY()),1),7))*12+MONTH(EDATE(DATE(YEAR(TODAY()),MONTH(TODAY()),1),7)))&gt;(YEAR(Clients!G13)*12+MONTH(Clients!G13))),"",1),IF(Clients!E13="Quarterly",IF(MOD((YEAR(EDATE(DATE(YEAR(TODAY()),MONTH(TODAY()),1),7))-YEAR(IF(ISNUMBER(Clients!F13),Clients!F13,DATE(YEAR(TODAY()),MONTH(TODAY()),1))))*12+MONTH(EDATE(DATE(YEAR(TODAY()),MONTH(TODAY()),1),7))-MONTH(IF(ISNUMBER(Clients!F13),Clients!F13,DATE(YEAR(TODAY()),MONTH(TODAY()),1))),3)=0,1,0),IF(Clients!E13="Semi-annual",IF(MOD((YEAR(EDATE(DATE(YEAR(TODAY()),MONTH(TODAY()),1),7))-YEAR(IF(ISNUMBER(Clients!F13),Clients!F13,DATE(YEAR(TODAY()),MONTH(TODAY()),1))))*12+MONTH(EDATE(DATE(YEAR(TODAY()),MONTH(TODAY()),1),7))-MONTH(IF(ISNUMBER(Clients!F13),Clients!F13,DATE(YEAR(TODAY()),MONTH(TODAY()),1))),6)=0,1,0),IF(Clients!E13="Annual",IF(MOD((YEAR(EDATE(DATE(YEAR(TODAY()),MONTH(TODAY()),1),7))-YEAR(IF(ISNUMBER(Clients!F13),Clients!F13,DATE(YEAR(TODAY()),MONTH(TODAY()),1))))*12+MONTH(EDATE(DATE(YEAR(TODAY()),MONTH(TODAY()),1),7))-MONTH(IF(ISNUMBER(Clients!F13),Clients!F13,DATE(YEAR(TODAY()),MONTH(TODAY()),1))),12)=0,1,0),IF(Clients!E13="One-time",IF(7=0,1,0),1)))))),"")</f>
        <v/>
      </c>
      <c r="N83" s="10" t="str">
        <f ca="1">IFERROR(IF(OR(8&gt;=$B$1,Clients!A13="",NOT(ISNUMBER(Clients!D13)),Clients!L13="Expired",Clients!L13="Terminate"),"",Clients!D13*1*IF(Clients!E13="Monthly",IF(AND(ISNUMBER(Clients!G13),(YEAR(EDATE(DATE(YEAR(TODAY()),MONTH(TODAY()),1),8))*12+MONTH(EDATE(DATE(YEAR(TODAY()),MONTH(TODAY()),1),8)))&gt;(YEAR(Clients!G13)*12+MONTH(Clients!G13))),"",1),IF(Clients!E13="Quarterly",IF(MOD((YEAR(EDATE(DATE(YEAR(TODAY()),MONTH(TODAY()),1),8))-YEAR(IF(ISNUMBER(Clients!F13),Clients!F13,DATE(YEAR(TODAY()),MONTH(TODAY()),1))))*12+MONTH(EDATE(DATE(YEAR(TODAY()),MONTH(TODAY()),1),8))-MONTH(IF(ISNUMBER(Clients!F13),Clients!F13,DATE(YEAR(TODAY()),MONTH(TODAY()),1))),3)=0,1,0),IF(Clients!E13="Semi-annual",IF(MOD((YEAR(EDATE(DATE(YEAR(TODAY()),MONTH(TODAY()),1),8))-YEAR(IF(ISNUMBER(Clients!F13),Clients!F13,DATE(YEAR(TODAY()),MONTH(TODAY()),1))))*12+MONTH(EDATE(DATE(YEAR(TODAY()),MONTH(TODAY()),1),8))-MONTH(IF(ISNUMBER(Clients!F13),Clients!F13,DATE(YEAR(TODAY()),MONTH(TODAY()),1))),6)=0,1,0),IF(Clients!E13="Annual",IF(MOD((YEAR(EDATE(DATE(YEAR(TODAY()),MONTH(TODAY()),1),8))-YEAR(IF(ISNUMBER(Clients!F13),Clients!F13,DATE(YEAR(TODAY()),MONTH(TODAY()),1))))*12+MONTH(EDATE(DATE(YEAR(TODAY()),MONTH(TODAY()),1),8))-MONTH(IF(ISNUMBER(Clients!F13),Clients!F13,DATE(YEAR(TODAY()),MONTH(TODAY()),1))),12)=0,1,0),IF(Clients!E13="One-time",IF(8=0,1,0),1)))))),"")</f>
        <v/>
      </c>
      <c r="O83" s="10" t="str">
        <f ca="1">IFERROR(IF(OR(9&gt;=$B$1,Clients!A13="",NOT(ISNUMBER(Clients!D13)),Clients!L13="Expired",Clients!L13="Terminate"),"",Clients!D13*1*IF(Clients!E13="Monthly",IF(AND(ISNUMBER(Clients!G13),(YEAR(EDATE(DATE(YEAR(TODAY()),MONTH(TODAY()),1),9))*12+MONTH(EDATE(DATE(YEAR(TODAY()),MONTH(TODAY()),1),9)))&gt;(YEAR(Clients!G13)*12+MONTH(Clients!G13))),"",1),IF(Clients!E13="Quarterly",IF(MOD((YEAR(EDATE(DATE(YEAR(TODAY()),MONTH(TODAY()),1),9))-YEAR(IF(ISNUMBER(Clients!F13),Clients!F13,DATE(YEAR(TODAY()),MONTH(TODAY()),1))))*12+MONTH(EDATE(DATE(YEAR(TODAY()),MONTH(TODAY()),1),9))-MONTH(IF(ISNUMBER(Clients!F13),Clients!F13,DATE(YEAR(TODAY()),MONTH(TODAY()),1))),3)=0,1,0),IF(Clients!E13="Semi-annual",IF(MOD((YEAR(EDATE(DATE(YEAR(TODAY()),MONTH(TODAY()),1),9))-YEAR(IF(ISNUMBER(Clients!F13),Clients!F13,DATE(YEAR(TODAY()),MONTH(TODAY()),1))))*12+MONTH(EDATE(DATE(YEAR(TODAY()),MONTH(TODAY()),1),9))-MONTH(IF(ISNUMBER(Clients!F13),Clients!F13,DATE(YEAR(TODAY()),MONTH(TODAY()),1))),6)=0,1,0),IF(Clients!E13="Annual",IF(MOD((YEAR(EDATE(DATE(YEAR(TODAY()),MONTH(TODAY()),1),9))-YEAR(IF(ISNUMBER(Clients!F13),Clients!F13,DATE(YEAR(TODAY()),MONTH(TODAY()),1))))*12+MONTH(EDATE(DATE(YEAR(TODAY()),MONTH(TODAY()),1),9))-MONTH(IF(ISNUMBER(Clients!F13),Clients!F13,DATE(YEAR(TODAY()),MONTH(TODAY()),1))),12)=0,1,0),IF(Clients!E13="One-time",IF(9=0,1,0),1)))))),"")</f>
        <v/>
      </c>
      <c r="P83" s="10" t="str">
        <f ca="1">IFERROR(IF(OR(10&gt;=$B$1,Clients!A13="",NOT(ISNUMBER(Clients!D13)),Clients!L13="Expired",Clients!L13="Terminate"),"",Clients!D13*1*IF(Clients!E13="Monthly",IF(AND(ISNUMBER(Clients!G13),(YEAR(EDATE(DATE(YEAR(TODAY()),MONTH(TODAY()),1),10))*12+MONTH(EDATE(DATE(YEAR(TODAY()),MONTH(TODAY()),1),10)))&gt;(YEAR(Clients!G13)*12+MONTH(Clients!G13))),"",1),IF(Clients!E13="Quarterly",IF(MOD((YEAR(EDATE(DATE(YEAR(TODAY()),MONTH(TODAY()),1),10))-YEAR(IF(ISNUMBER(Clients!F13),Clients!F13,DATE(YEAR(TODAY()),MONTH(TODAY()),1))))*12+MONTH(EDATE(DATE(YEAR(TODAY()),MONTH(TODAY()),1),10))-MONTH(IF(ISNUMBER(Clients!F13),Clients!F13,DATE(YEAR(TODAY()),MONTH(TODAY()),1))),3)=0,1,0),IF(Clients!E13="Semi-annual",IF(MOD((YEAR(EDATE(DATE(YEAR(TODAY()),MONTH(TODAY()),1),10))-YEAR(IF(ISNUMBER(Clients!F13),Clients!F13,DATE(YEAR(TODAY()),MONTH(TODAY()),1))))*12+MONTH(EDATE(DATE(YEAR(TODAY()),MONTH(TODAY()),1),10))-MONTH(IF(ISNUMBER(Clients!F13),Clients!F13,DATE(YEAR(TODAY()),MONTH(TODAY()),1))),6)=0,1,0),IF(Clients!E13="Annual",IF(MOD((YEAR(EDATE(DATE(YEAR(TODAY()),MONTH(TODAY()),1),10))-YEAR(IF(ISNUMBER(Clients!F13),Clients!F13,DATE(YEAR(TODAY()),MONTH(TODAY()),1))))*12+MONTH(EDATE(DATE(YEAR(TODAY()),MONTH(TODAY()),1),10))-MONTH(IF(ISNUMBER(Clients!F13),Clients!F13,DATE(YEAR(TODAY()),MONTH(TODAY()),1))),12)=0,1,0),IF(Clients!E13="One-time",IF(10=0,1,0),1)))))),"")</f>
        <v/>
      </c>
      <c r="Q83" s="10" t="str">
        <f ca="1">IFERROR(IF(OR(11&gt;=$B$1,Clients!A13="",NOT(ISNUMBER(Clients!D13)),Clients!L13="Expired",Clients!L13="Terminate"),"",Clients!D13*1*IF(Clients!E13="Monthly",IF(AND(ISNUMBER(Clients!G13),(YEAR(EDATE(DATE(YEAR(TODAY()),MONTH(TODAY()),1),11))*12+MONTH(EDATE(DATE(YEAR(TODAY()),MONTH(TODAY()),1),11)))&gt;(YEAR(Clients!G13)*12+MONTH(Clients!G13))),"",1),IF(Clients!E13="Quarterly",IF(MOD((YEAR(EDATE(DATE(YEAR(TODAY()),MONTH(TODAY()),1),11))-YEAR(IF(ISNUMBER(Clients!F13),Clients!F13,DATE(YEAR(TODAY()),MONTH(TODAY()),1))))*12+MONTH(EDATE(DATE(YEAR(TODAY()),MONTH(TODAY()),1),11))-MONTH(IF(ISNUMBER(Clients!F13),Clients!F13,DATE(YEAR(TODAY()),MONTH(TODAY()),1))),3)=0,1,0),IF(Clients!E13="Semi-annual",IF(MOD((YEAR(EDATE(DATE(YEAR(TODAY()),MONTH(TODAY()),1),11))-YEAR(IF(ISNUMBER(Clients!F13),Clients!F13,DATE(YEAR(TODAY()),MONTH(TODAY()),1))))*12+MONTH(EDATE(DATE(YEAR(TODAY()),MONTH(TODAY()),1),11))-MONTH(IF(ISNUMBER(Clients!F13),Clients!F13,DATE(YEAR(TODAY()),MONTH(TODAY()),1))),6)=0,1,0),IF(Clients!E13="Annual",IF(MOD((YEAR(EDATE(DATE(YEAR(TODAY()),MONTH(TODAY()),1),11))-YEAR(IF(ISNUMBER(Clients!F13),Clients!F13,DATE(YEAR(TODAY()),MONTH(TODAY()),1))))*12+MONTH(EDATE(DATE(YEAR(TODAY()),MONTH(TODAY()),1),11))-MONTH(IF(ISNUMBER(Clients!F13),Clients!F13,DATE(YEAR(TODAY()),MONTH(TODAY()),1))),12)=0,1,0),IF(Clients!E13="One-time",IF(11=0,1,0),1)))))),"")</f>
        <v/>
      </c>
      <c r="R83" s="10" t="str">
        <f ca="1">IFERROR(IF(OR(12&gt;=$B$1,Suppliers!A81="",NOT(ISNUMBER(Suppliers!D81)),Suppliers!L81="Expired",Suppliers!L81="Terminate"),"",Suppliers!D81*-1*IF(Suppliers!E81="Monthly",IF(AND(ISNUMBER(Suppliers!G81),(YEAR(EDATE(DATE(YEAR(TODAY()),MONTH(TODAY()),1),12))*12+MONTH(EDATE(DATE(YEAR(TODAY()),MONTH(TODAY()),1),12)))&gt;(YEAR(Suppliers!G81)*12+MONTH(Suppliers!G81))),"",1),IF(Suppliers!E81="Quarterly",IF(MOD((YEAR(EDATE(DATE(YEAR(TODAY()),MONTH(TODAY()),1),12))-YEAR(IF(ISNUMBER(Suppliers!F81),Suppliers!F81,DATE(YEAR(TODAY()),MONTH(TODAY()),1))))*12+MONTH(EDATE(DATE(YEAR(TODAY()),MONTH(TODAY()),1),12))-MONTH(IF(ISNUMBER(Suppliers!F81),Suppliers!F81,DATE(YEAR(TODAY()),MONTH(TODAY()),1))),3)=0,1,0),IF(Suppliers!E81="Semi-annual",IF(MOD((YEAR(EDATE(DATE(YEAR(TODAY()),MONTH(TODAY()),1),12))-YEAR(IF(ISNUMBER(Suppliers!F81),Suppliers!F81,DATE(YEAR(TODAY()),MONTH(TODAY()),1))))*12+MONTH(EDATE(DATE(YEAR(TODAY()),MONTH(TODAY()),1),12))-MONTH(IF(ISNUMBER(Suppliers!F81),Suppliers!F81,DATE(YEAR(TODAY()),MONTH(TODAY()),1))),6)=0,1,0),IF(Suppliers!E81="Annual",IF(MOD((YEAR(EDATE(DATE(YEAR(TODAY()),MONTH(TODAY()),1),12))-YEAR(IF(ISNUMBER(Suppliers!F81),Suppliers!F81,DATE(YEAR(TODAY()),MONTH(TODAY()),1))))*12+MONTH(EDATE(DATE(YEAR(TODAY()),MONTH(TODAY()),1),12))-MONTH(IF(ISNUMBER(Suppliers!F81),Suppliers!F81,DATE(YEAR(TODAY()),MONTH(TODAY()),1))),12)=0,1,0),IF(Suppliers!E81="One-time",IF(12=0,1,0),1)))))),"")</f>
        <v/>
      </c>
      <c r="S83" s="10" t="str">
        <f ca="1">IFERROR(IF(OR(13&gt;=$B$1,Suppliers!A81="",NOT(ISNUMBER(Suppliers!D81)),Suppliers!L81="Expired",Suppliers!L81="Terminate"),"",Suppliers!D81*-1*IF(Suppliers!E81="Monthly",IF(AND(ISNUMBER(Suppliers!G81),(YEAR(EDATE(DATE(YEAR(TODAY()),MONTH(TODAY()),1),13))*12+MONTH(EDATE(DATE(YEAR(TODAY()),MONTH(TODAY()),1),13)))&gt;(YEAR(Suppliers!G81)*12+MONTH(Suppliers!G81))),"",1),IF(Suppliers!E81="Quarterly",IF(MOD((YEAR(EDATE(DATE(YEAR(TODAY()),MONTH(TODAY()),1),13))-YEAR(IF(ISNUMBER(Suppliers!F81),Suppliers!F81,DATE(YEAR(TODAY()),MONTH(TODAY()),1))))*12+MONTH(EDATE(DATE(YEAR(TODAY()),MONTH(TODAY()),1),13))-MONTH(IF(ISNUMBER(Suppliers!F81),Suppliers!F81,DATE(YEAR(TODAY()),MONTH(TODAY()),1))),3)=0,1,0),IF(Suppliers!E81="Semi-annual",IF(MOD((YEAR(EDATE(DATE(YEAR(TODAY()),MONTH(TODAY()),1),13))-YEAR(IF(ISNUMBER(Suppliers!F81),Suppliers!F81,DATE(YEAR(TODAY()),MONTH(TODAY()),1))))*12+MONTH(EDATE(DATE(YEAR(TODAY()),MONTH(TODAY()),1),13))-MONTH(IF(ISNUMBER(Suppliers!F81),Suppliers!F81,DATE(YEAR(TODAY()),MONTH(TODAY()),1))),6)=0,1,0),IF(Suppliers!E81="Annual",IF(MOD((YEAR(EDATE(DATE(YEAR(TODAY()),MONTH(TODAY()),1),13))-YEAR(IF(ISNUMBER(Suppliers!F81),Suppliers!F81,DATE(YEAR(TODAY()),MONTH(TODAY()),1))))*12+MONTH(EDATE(DATE(YEAR(TODAY()),MONTH(TODAY()),1),13))-MONTH(IF(ISNUMBER(Suppliers!F81),Suppliers!F81,DATE(YEAR(TODAY()),MONTH(TODAY()),1))),12)=0,1,0),IF(Suppliers!E81="One-time",IF(13=0,1,0),1)))))),"")</f>
        <v/>
      </c>
      <c r="T83" s="10" t="str">
        <f ca="1">IFERROR(IF(OR(14&gt;=$B$1,Suppliers!A81="",NOT(ISNUMBER(Suppliers!D81)),Suppliers!L81="Expired",Suppliers!L81="Terminate"),"",Suppliers!D81*-1*IF(Suppliers!E81="Monthly",IF(AND(ISNUMBER(Suppliers!G81),(YEAR(EDATE(DATE(YEAR(TODAY()),MONTH(TODAY()),1),14))*12+MONTH(EDATE(DATE(YEAR(TODAY()),MONTH(TODAY()),1),14)))&gt;(YEAR(Suppliers!G81)*12+MONTH(Suppliers!G81))),"",1),IF(Suppliers!E81="Quarterly",IF(MOD((YEAR(EDATE(DATE(YEAR(TODAY()),MONTH(TODAY()),1),14))-YEAR(IF(ISNUMBER(Suppliers!F81),Suppliers!F81,DATE(YEAR(TODAY()),MONTH(TODAY()),1))))*12+MONTH(EDATE(DATE(YEAR(TODAY()),MONTH(TODAY()),1),14))-MONTH(IF(ISNUMBER(Suppliers!F81),Suppliers!F81,DATE(YEAR(TODAY()),MONTH(TODAY()),1))),3)=0,1,0),IF(Suppliers!E81="Semi-annual",IF(MOD((YEAR(EDATE(DATE(YEAR(TODAY()),MONTH(TODAY()),1),14))-YEAR(IF(ISNUMBER(Suppliers!F81),Suppliers!F81,DATE(YEAR(TODAY()),MONTH(TODAY()),1))))*12+MONTH(EDATE(DATE(YEAR(TODAY()),MONTH(TODAY()),1),14))-MONTH(IF(ISNUMBER(Suppliers!F81),Suppliers!F81,DATE(YEAR(TODAY()),MONTH(TODAY()),1))),6)=0,1,0),IF(Suppliers!E81="Annual",IF(MOD((YEAR(EDATE(DATE(YEAR(TODAY()),MONTH(TODAY()),1),14))-YEAR(IF(ISNUMBER(Suppliers!F81),Suppliers!F81,DATE(YEAR(TODAY()),MONTH(TODAY()),1))))*12+MONTH(EDATE(DATE(YEAR(TODAY()),MONTH(TODAY()),1),14))-MONTH(IF(ISNUMBER(Suppliers!F81),Suppliers!F81,DATE(YEAR(TODAY()),MONTH(TODAY()),1))),12)=0,1,0),IF(Suppliers!E81="One-time",IF(14=0,1,0),1)))))),"")</f>
        <v/>
      </c>
      <c r="U83" s="10" t="str">
        <f ca="1">IFERROR(IF(OR(15&gt;=$B$1,Suppliers!A81="",NOT(ISNUMBER(Suppliers!D81)),Suppliers!L81="Expired",Suppliers!L81="Terminate"),"",Suppliers!D81*-1*IF(Suppliers!E81="Monthly",IF(AND(ISNUMBER(Suppliers!G81),(YEAR(EDATE(DATE(YEAR(TODAY()),MONTH(TODAY()),1),15))*12+MONTH(EDATE(DATE(YEAR(TODAY()),MONTH(TODAY()),1),15)))&gt;(YEAR(Suppliers!G81)*12+MONTH(Suppliers!G81))),"",1),IF(Suppliers!E81="Quarterly",IF(MOD((YEAR(EDATE(DATE(YEAR(TODAY()),MONTH(TODAY()),1),15))-YEAR(IF(ISNUMBER(Suppliers!F81),Suppliers!F81,DATE(YEAR(TODAY()),MONTH(TODAY()),1))))*12+MONTH(EDATE(DATE(YEAR(TODAY()),MONTH(TODAY()),1),15))-MONTH(IF(ISNUMBER(Suppliers!F81),Suppliers!F81,DATE(YEAR(TODAY()),MONTH(TODAY()),1))),3)=0,1,0),IF(Suppliers!E81="Semi-annual",IF(MOD((YEAR(EDATE(DATE(YEAR(TODAY()),MONTH(TODAY()),1),15))-YEAR(IF(ISNUMBER(Suppliers!F81),Suppliers!F81,DATE(YEAR(TODAY()),MONTH(TODAY()),1))))*12+MONTH(EDATE(DATE(YEAR(TODAY()),MONTH(TODAY()),1),15))-MONTH(IF(ISNUMBER(Suppliers!F81),Suppliers!F81,DATE(YEAR(TODAY()),MONTH(TODAY()),1))),6)=0,1,0),IF(Suppliers!E81="Annual",IF(MOD((YEAR(EDATE(DATE(YEAR(TODAY()),MONTH(TODAY()),1),15))-YEAR(IF(ISNUMBER(Suppliers!F81),Suppliers!F81,DATE(YEAR(TODAY()),MONTH(TODAY()),1))))*12+MONTH(EDATE(DATE(YEAR(TODAY()),MONTH(TODAY()),1),15))-MONTH(IF(ISNUMBER(Suppliers!F81),Suppliers!F81,DATE(YEAR(TODAY()),MONTH(TODAY()),1))),12)=0,1,0),IF(Suppliers!E81="One-time",IF(15=0,1,0),1)))))),"")</f>
        <v/>
      </c>
      <c r="V83" s="10" t="str">
        <f ca="1">IFERROR(IF(OR(16&gt;=$B$1,Suppliers!A81="",NOT(ISNUMBER(Suppliers!D81)),Suppliers!L81="Expired",Suppliers!L81="Terminate"),"",Suppliers!D81*-1*IF(Suppliers!E81="Monthly",IF(AND(ISNUMBER(Suppliers!G81),(YEAR(EDATE(DATE(YEAR(TODAY()),MONTH(TODAY()),1),16))*12+MONTH(EDATE(DATE(YEAR(TODAY()),MONTH(TODAY()),1),16)))&gt;(YEAR(Suppliers!G81)*12+MONTH(Suppliers!G81))),"",1),IF(Suppliers!E81="Quarterly",IF(MOD((YEAR(EDATE(DATE(YEAR(TODAY()),MONTH(TODAY()),1),16))-YEAR(IF(ISNUMBER(Suppliers!F81),Suppliers!F81,DATE(YEAR(TODAY()),MONTH(TODAY()),1))))*12+MONTH(EDATE(DATE(YEAR(TODAY()),MONTH(TODAY()),1),16))-MONTH(IF(ISNUMBER(Suppliers!F81),Suppliers!F81,DATE(YEAR(TODAY()),MONTH(TODAY()),1))),3)=0,1,0),IF(Suppliers!E81="Semi-annual",IF(MOD((YEAR(EDATE(DATE(YEAR(TODAY()),MONTH(TODAY()),1),16))-YEAR(IF(ISNUMBER(Suppliers!F81),Suppliers!F81,DATE(YEAR(TODAY()),MONTH(TODAY()),1))))*12+MONTH(EDATE(DATE(YEAR(TODAY()),MONTH(TODAY()),1),16))-MONTH(IF(ISNUMBER(Suppliers!F81),Suppliers!F81,DATE(YEAR(TODAY()),MONTH(TODAY()),1))),6)=0,1,0),IF(Suppliers!E81="Annual",IF(MOD((YEAR(EDATE(DATE(YEAR(TODAY()),MONTH(TODAY()),1),16))-YEAR(IF(ISNUMBER(Suppliers!F81),Suppliers!F81,DATE(YEAR(TODAY()),MONTH(TODAY()),1))))*12+MONTH(EDATE(DATE(YEAR(TODAY()),MONTH(TODAY()),1),16))-MONTH(IF(ISNUMBER(Suppliers!F81),Suppliers!F81,DATE(YEAR(TODAY()),MONTH(TODAY()),1))),12)=0,1,0),IF(Suppliers!E81="One-time",IF(16=0,1,0),1)))))),"")</f>
        <v/>
      </c>
      <c r="W83" s="10" t="str">
        <f ca="1">IFERROR(IF(OR(17&gt;=$B$1,Suppliers!A81="",NOT(ISNUMBER(Suppliers!D81)),Suppliers!L81="Expired",Suppliers!L81="Terminate"),"",Suppliers!D81*-1*IF(Suppliers!E81="Monthly",IF(AND(ISNUMBER(Suppliers!G81),(YEAR(EDATE(DATE(YEAR(TODAY()),MONTH(TODAY()),1),17))*12+MONTH(EDATE(DATE(YEAR(TODAY()),MONTH(TODAY()),1),17)))&gt;(YEAR(Suppliers!G81)*12+MONTH(Suppliers!G81))),"",1),IF(Suppliers!E81="Quarterly",IF(MOD((YEAR(EDATE(DATE(YEAR(TODAY()),MONTH(TODAY()),1),17))-YEAR(IF(ISNUMBER(Suppliers!F81),Suppliers!F81,DATE(YEAR(TODAY()),MONTH(TODAY()),1))))*12+MONTH(EDATE(DATE(YEAR(TODAY()),MONTH(TODAY()),1),17))-MONTH(IF(ISNUMBER(Suppliers!F81),Suppliers!F81,DATE(YEAR(TODAY()),MONTH(TODAY()),1))),3)=0,1,0),IF(Suppliers!E81="Semi-annual",IF(MOD((YEAR(EDATE(DATE(YEAR(TODAY()),MONTH(TODAY()),1),17))-YEAR(IF(ISNUMBER(Suppliers!F81),Suppliers!F81,DATE(YEAR(TODAY()),MONTH(TODAY()),1))))*12+MONTH(EDATE(DATE(YEAR(TODAY()),MONTH(TODAY()),1),17))-MONTH(IF(ISNUMBER(Suppliers!F81),Suppliers!F81,DATE(YEAR(TODAY()),MONTH(TODAY()),1))),6)=0,1,0),IF(Suppliers!E81="Annual",IF(MOD((YEAR(EDATE(DATE(YEAR(TODAY()),MONTH(TODAY()),1),17))-YEAR(IF(ISNUMBER(Suppliers!F81),Suppliers!F81,DATE(YEAR(TODAY()),MONTH(TODAY()),1))))*12+MONTH(EDATE(DATE(YEAR(TODAY()),MONTH(TODAY()),1),17))-MONTH(IF(ISNUMBER(Suppliers!F81),Suppliers!F81,DATE(YEAR(TODAY()),MONTH(TODAY()),1))),12)=0,1,0),IF(Suppliers!E81="One-time",IF(17=0,1,0),1)))))),"")</f>
        <v/>
      </c>
      <c r="X83" s="10" t="str">
        <f ca="1">IFERROR(IF(OR(18&gt;=$B$1,Suppliers!A81="",NOT(ISNUMBER(Suppliers!D81)),Suppliers!L81="Expired",Suppliers!L81="Terminate"),"",Suppliers!D81*-1*IF(Suppliers!E81="Monthly",IF(AND(ISNUMBER(Suppliers!G81),(YEAR(EDATE(DATE(YEAR(TODAY()),MONTH(TODAY()),1),18))*12+MONTH(EDATE(DATE(YEAR(TODAY()),MONTH(TODAY()),1),18)))&gt;(YEAR(Suppliers!G81)*12+MONTH(Suppliers!G81))),"",1),IF(Suppliers!E81="Quarterly",IF(MOD((YEAR(EDATE(DATE(YEAR(TODAY()),MONTH(TODAY()),1),18))-YEAR(IF(ISNUMBER(Suppliers!F81),Suppliers!F81,DATE(YEAR(TODAY()),MONTH(TODAY()),1))))*12+MONTH(EDATE(DATE(YEAR(TODAY()),MONTH(TODAY()),1),18))-MONTH(IF(ISNUMBER(Suppliers!F81),Suppliers!F81,DATE(YEAR(TODAY()),MONTH(TODAY()),1))),3)=0,1,0),IF(Suppliers!E81="Semi-annual",IF(MOD((YEAR(EDATE(DATE(YEAR(TODAY()),MONTH(TODAY()),1),18))-YEAR(IF(ISNUMBER(Suppliers!F81),Suppliers!F81,DATE(YEAR(TODAY()),MONTH(TODAY()),1))))*12+MONTH(EDATE(DATE(YEAR(TODAY()),MONTH(TODAY()),1),18))-MONTH(IF(ISNUMBER(Suppliers!F81),Suppliers!F81,DATE(YEAR(TODAY()),MONTH(TODAY()),1))),6)=0,1,0),IF(Suppliers!E81="Annual",IF(MOD((YEAR(EDATE(DATE(YEAR(TODAY()),MONTH(TODAY()),1),18))-YEAR(IF(ISNUMBER(Suppliers!F81),Suppliers!F81,DATE(YEAR(TODAY()),MONTH(TODAY()),1))))*12+MONTH(EDATE(DATE(YEAR(TODAY()),MONTH(TODAY()),1),18))-MONTH(IF(ISNUMBER(Suppliers!F81),Suppliers!F81,DATE(YEAR(TODAY()),MONTH(TODAY()),1))),12)=0,1,0),IF(Suppliers!E81="One-time",IF(18=0,1,0),1)))))),"")</f>
        <v/>
      </c>
      <c r="Y83" s="10" t="str">
        <f ca="1">IFERROR(IF(OR(19&gt;=$B$1,Suppliers!A81="",NOT(ISNUMBER(Suppliers!D81)),Suppliers!L81="Expired",Suppliers!L81="Terminate"),"",Suppliers!D81*-1*IF(Suppliers!E81="Monthly",IF(AND(ISNUMBER(Suppliers!G81),(YEAR(EDATE(DATE(YEAR(TODAY()),MONTH(TODAY()),1),19))*12+MONTH(EDATE(DATE(YEAR(TODAY()),MONTH(TODAY()),1),19)))&gt;(YEAR(Suppliers!G81)*12+MONTH(Suppliers!G81))),"",1),IF(Suppliers!E81="Quarterly",IF(MOD((YEAR(EDATE(DATE(YEAR(TODAY()),MONTH(TODAY()),1),19))-YEAR(IF(ISNUMBER(Suppliers!F81),Suppliers!F81,DATE(YEAR(TODAY()),MONTH(TODAY()),1))))*12+MONTH(EDATE(DATE(YEAR(TODAY()),MONTH(TODAY()),1),19))-MONTH(IF(ISNUMBER(Suppliers!F81),Suppliers!F81,DATE(YEAR(TODAY()),MONTH(TODAY()),1))),3)=0,1,0),IF(Suppliers!E81="Semi-annual",IF(MOD((YEAR(EDATE(DATE(YEAR(TODAY()),MONTH(TODAY()),1),19))-YEAR(IF(ISNUMBER(Suppliers!F81),Suppliers!F81,DATE(YEAR(TODAY()),MONTH(TODAY()),1))))*12+MONTH(EDATE(DATE(YEAR(TODAY()),MONTH(TODAY()),1),19))-MONTH(IF(ISNUMBER(Suppliers!F81),Suppliers!F81,DATE(YEAR(TODAY()),MONTH(TODAY()),1))),6)=0,1,0),IF(Suppliers!E81="Annual",IF(MOD((YEAR(EDATE(DATE(YEAR(TODAY()),MONTH(TODAY()),1),19))-YEAR(IF(ISNUMBER(Suppliers!F81),Suppliers!F81,DATE(YEAR(TODAY()),MONTH(TODAY()),1))))*12+MONTH(EDATE(DATE(YEAR(TODAY()),MONTH(TODAY()),1),19))-MONTH(IF(ISNUMBER(Suppliers!F81),Suppliers!F81,DATE(YEAR(TODAY()),MONTH(TODAY()),1))),12)=0,1,0),IF(Suppliers!E81="One-time",IF(19=0,1,0),1)))))),"")</f>
        <v/>
      </c>
      <c r="Z83" s="10" t="str">
        <f ca="1">IFERROR(IF(OR(20&gt;=$B$1,Suppliers!A81="",NOT(ISNUMBER(Suppliers!D81)),Suppliers!L81="Expired",Suppliers!L81="Terminate"),"",Suppliers!D81*-1*IF(Suppliers!E81="Monthly",IF(AND(ISNUMBER(Suppliers!G81),(YEAR(EDATE(DATE(YEAR(TODAY()),MONTH(TODAY()),1),20))*12+MONTH(EDATE(DATE(YEAR(TODAY()),MONTH(TODAY()),1),20)))&gt;(YEAR(Suppliers!G81)*12+MONTH(Suppliers!G81))),"",1),IF(Suppliers!E81="Quarterly",IF(MOD((YEAR(EDATE(DATE(YEAR(TODAY()),MONTH(TODAY()),1),20))-YEAR(IF(ISNUMBER(Suppliers!F81),Suppliers!F81,DATE(YEAR(TODAY()),MONTH(TODAY()),1))))*12+MONTH(EDATE(DATE(YEAR(TODAY()),MONTH(TODAY()),1),20))-MONTH(IF(ISNUMBER(Suppliers!F81),Suppliers!F81,DATE(YEAR(TODAY()),MONTH(TODAY()),1))),3)=0,1,0),IF(Suppliers!E81="Semi-annual",IF(MOD((YEAR(EDATE(DATE(YEAR(TODAY()),MONTH(TODAY()),1),20))-YEAR(IF(ISNUMBER(Suppliers!F81),Suppliers!F81,DATE(YEAR(TODAY()),MONTH(TODAY()),1))))*12+MONTH(EDATE(DATE(YEAR(TODAY()),MONTH(TODAY()),1),20))-MONTH(IF(ISNUMBER(Suppliers!F81),Suppliers!F81,DATE(YEAR(TODAY()),MONTH(TODAY()),1))),6)=0,1,0),IF(Suppliers!E81="Annual",IF(MOD((YEAR(EDATE(DATE(YEAR(TODAY()),MONTH(TODAY()),1),20))-YEAR(IF(ISNUMBER(Suppliers!F81),Suppliers!F81,DATE(YEAR(TODAY()),MONTH(TODAY()),1))))*12+MONTH(EDATE(DATE(YEAR(TODAY()),MONTH(TODAY()),1),20))-MONTH(IF(ISNUMBER(Suppliers!F81),Suppliers!F81,DATE(YEAR(TODAY()),MONTH(TODAY()),1))),12)=0,1,0),IF(Suppliers!E81="One-time",IF(20=0,1,0),1)))))),"")</f>
        <v/>
      </c>
      <c r="AA83" s="10" t="str">
        <f ca="1">IFERROR(IF(OR(21&gt;=$B$1,Suppliers!A81="",NOT(ISNUMBER(Suppliers!D81)),Suppliers!L81="Expired",Suppliers!L81="Terminate"),"",Suppliers!D81*-1*IF(Suppliers!E81="Monthly",IF(AND(ISNUMBER(Suppliers!G81),(YEAR(EDATE(DATE(YEAR(TODAY()),MONTH(TODAY()),1),21))*12+MONTH(EDATE(DATE(YEAR(TODAY()),MONTH(TODAY()),1),21)))&gt;(YEAR(Suppliers!G81)*12+MONTH(Suppliers!G81))),"",1),IF(Suppliers!E81="Quarterly",IF(MOD((YEAR(EDATE(DATE(YEAR(TODAY()),MONTH(TODAY()),1),21))-YEAR(IF(ISNUMBER(Suppliers!F81),Suppliers!F81,DATE(YEAR(TODAY()),MONTH(TODAY()),1))))*12+MONTH(EDATE(DATE(YEAR(TODAY()),MONTH(TODAY()),1),21))-MONTH(IF(ISNUMBER(Suppliers!F81),Suppliers!F81,DATE(YEAR(TODAY()),MONTH(TODAY()),1))),3)=0,1,0),IF(Suppliers!E81="Semi-annual",IF(MOD((YEAR(EDATE(DATE(YEAR(TODAY()),MONTH(TODAY()),1),21))-YEAR(IF(ISNUMBER(Suppliers!F81),Suppliers!F81,DATE(YEAR(TODAY()),MONTH(TODAY()),1))))*12+MONTH(EDATE(DATE(YEAR(TODAY()),MONTH(TODAY()),1),21))-MONTH(IF(ISNUMBER(Suppliers!F81),Suppliers!F81,DATE(YEAR(TODAY()),MONTH(TODAY()),1))),6)=0,1,0),IF(Suppliers!E81="Annual",IF(MOD((YEAR(EDATE(DATE(YEAR(TODAY()),MONTH(TODAY()),1),21))-YEAR(IF(ISNUMBER(Suppliers!F81),Suppliers!F81,DATE(YEAR(TODAY()),MONTH(TODAY()),1))))*12+MONTH(EDATE(DATE(YEAR(TODAY()),MONTH(TODAY()),1),21))-MONTH(IF(ISNUMBER(Suppliers!F81),Suppliers!F81,DATE(YEAR(TODAY()),MONTH(TODAY()),1))),12)=0,1,0),IF(Suppliers!E81="One-time",IF(21=0,1,0),1)))))),"")</f>
        <v/>
      </c>
      <c r="AB83" s="10" t="str">
        <f ca="1">IFERROR(IF(OR(22&gt;=$B$1,Suppliers!A81="",NOT(ISNUMBER(Suppliers!D81)),Suppliers!L81="Expired",Suppliers!L81="Terminate"),"",Suppliers!D81*-1*IF(Suppliers!E81="Monthly",IF(AND(ISNUMBER(Suppliers!G81),(YEAR(EDATE(DATE(YEAR(TODAY()),MONTH(TODAY()),1),22))*12+MONTH(EDATE(DATE(YEAR(TODAY()),MONTH(TODAY()),1),22)))&gt;(YEAR(Suppliers!G81)*12+MONTH(Suppliers!G81))),"",1),IF(Suppliers!E81="Quarterly",IF(MOD((YEAR(EDATE(DATE(YEAR(TODAY()),MONTH(TODAY()),1),22))-YEAR(IF(ISNUMBER(Suppliers!F81),Suppliers!F81,DATE(YEAR(TODAY()),MONTH(TODAY()),1))))*12+MONTH(EDATE(DATE(YEAR(TODAY()),MONTH(TODAY()),1),22))-MONTH(IF(ISNUMBER(Suppliers!F81),Suppliers!F81,DATE(YEAR(TODAY()),MONTH(TODAY()),1))),3)=0,1,0),IF(Suppliers!E81="Semi-annual",IF(MOD((YEAR(EDATE(DATE(YEAR(TODAY()),MONTH(TODAY()),1),22))-YEAR(IF(ISNUMBER(Suppliers!F81),Suppliers!F81,DATE(YEAR(TODAY()),MONTH(TODAY()),1))))*12+MONTH(EDATE(DATE(YEAR(TODAY()),MONTH(TODAY()),1),22))-MONTH(IF(ISNUMBER(Suppliers!F81),Suppliers!F81,DATE(YEAR(TODAY()),MONTH(TODAY()),1))),6)=0,1,0),IF(Suppliers!E81="Annual",IF(MOD((YEAR(EDATE(DATE(YEAR(TODAY()),MONTH(TODAY()),1),22))-YEAR(IF(ISNUMBER(Suppliers!F81),Suppliers!F81,DATE(YEAR(TODAY()),MONTH(TODAY()),1))))*12+MONTH(EDATE(DATE(YEAR(TODAY()),MONTH(TODAY()),1),22))-MONTH(IF(ISNUMBER(Suppliers!F81),Suppliers!F81,DATE(YEAR(TODAY()),MONTH(TODAY()),1))),12)=0,1,0),IF(Suppliers!E81="One-time",IF(22=0,1,0),1)))))),"")</f>
        <v/>
      </c>
      <c r="AC83" s="10" t="str">
        <f ca="1">IFERROR(IF(OR(23&gt;=$B$1,Suppliers!A81="",NOT(ISNUMBER(Suppliers!D81)),Suppliers!L81="Expired",Suppliers!L81="Terminate"),"",Suppliers!D81*-1*IF(Suppliers!E81="Monthly",IF(AND(ISNUMBER(Suppliers!G81),(YEAR(EDATE(DATE(YEAR(TODAY()),MONTH(TODAY()),1),23))*12+MONTH(EDATE(DATE(YEAR(TODAY()),MONTH(TODAY()),1),23)))&gt;(YEAR(Suppliers!G81)*12+MONTH(Suppliers!G81))),"",1),IF(Suppliers!E81="Quarterly",IF(MOD((YEAR(EDATE(DATE(YEAR(TODAY()),MONTH(TODAY()),1),23))-YEAR(IF(ISNUMBER(Suppliers!F81),Suppliers!F81,DATE(YEAR(TODAY()),MONTH(TODAY()),1))))*12+MONTH(EDATE(DATE(YEAR(TODAY()),MONTH(TODAY()),1),23))-MONTH(IF(ISNUMBER(Suppliers!F81),Suppliers!F81,DATE(YEAR(TODAY()),MONTH(TODAY()),1))),3)=0,1,0),IF(Suppliers!E81="Semi-annual",IF(MOD((YEAR(EDATE(DATE(YEAR(TODAY()),MONTH(TODAY()),1),23))-YEAR(IF(ISNUMBER(Suppliers!F81),Suppliers!F81,DATE(YEAR(TODAY()),MONTH(TODAY()),1))))*12+MONTH(EDATE(DATE(YEAR(TODAY()),MONTH(TODAY()),1),23))-MONTH(IF(ISNUMBER(Suppliers!F81),Suppliers!F81,DATE(YEAR(TODAY()),MONTH(TODAY()),1))),6)=0,1,0),IF(Suppliers!E81="Annual",IF(MOD((YEAR(EDATE(DATE(YEAR(TODAY()),MONTH(TODAY()),1),23))-YEAR(IF(ISNUMBER(Suppliers!F81),Suppliers!F81,DATE(YEAR(TODAY()),MONTH(TODAY()),1))))*12+MONTH(EDATE(DATE(YEAR(TODAY()),MONTH(TODAY()),1),23))-MONTH(IF(ISNUMBER(Suppliers!F81),Suppliers!F81,DATE(YEAR(TODAY()),MONTH(TODAY()),1))),12)=0,1,0),IF(Suppliers!E81="One-time",IF(23=0,1,0),1)))))),"")</f>
        <v/>
      </c>
    </row>
    <row r="84" spans="1:29" ht="15" customHeight="1" x14ac:dyDescent="0.35">
      <c r="A84" s="4" t="s">
        <v>81</v>
      </c>
      <c r="B84" s="4" t="str">
        <f>IF(Clients!A14="","",Clients!A14)</f>
        <v/>
      </c>
      <c r="C84" s="10" t="str">
        <f>IF(Clients!C14="","",Clients!C14)</f>
        <v/>
      </c>
      <c r="D84" s="10" t="str">
        <f>IF(Clients!D14="","",Clients!D14)</f>
        <v/>
      </c>
      <c r="E84" s="4" t="str">
        <f>IF(Clients!E14="","",Clients!E14)</f>
        <v/>
      </c>
      <c r="F84" s="10" t="str">
        <f ca="1">IFERROR(IF(OR(0&gt;=$B$1,Clients!A14="",NOT(ISNUMBER(Clients!D14)),Clients!L14="Expired",Clients!L14="Terminate"),"",Clients!D14*1*IF(Clients!E14="Monthly",IF(AND(ISNUMBER(Clients!G14),(YEAR(EDATE(DATE(YEAR(TODAY()),MONTH(TODAY()),1),0))*12+MONTH(EDATE(DATE(YEAR(TODAY()),MONTH(TODAY()),1),0)))&gt;(YEAR(Clients!G14)*12+MONTH(Clients!G14))),"",1),IF(Clients!E14="Quarterly",IF(MOD((YEAR(EDATE(DATE(YEAR(TODAY()),MONTH(TODAY()),1),0))-YEAR(IF(ISNUMBER(Clients!F14),Clients!F14,DATE(YEAR(TODAY()),MONTH(TODAY()),1))))*12+MONTH(EDATE(DATE(YEAR(TODAY()),MONTH(TODAY()),1),0))-MONTH(IF(ISNUMBER(Clients!F14),Clients!F14,DATE(YEAR(TODAY()),MONTH(TODAY()),1))),3)=0,1,0),IF(Clients!E14="Semi-annual",IF(MOD((YEAR(EDATE(DATE(YEAR(TODAY()),MONTH(TODAY()),1),0))-YEAR(IF(ISNUMBER(Clients!F14),Clients!F14,DATE(YEAR(TODAY()),MONTH(TODAY()),1))))*12+MONTH(EDATE(DATE(YEAR(TODAY()),MONTH(TODAY()),1),0))-MONTH(IF(ISNUMBER(Clients!F14),Clients!F14,DATE(YEAR(TODAY()),MONTH(TODAY()),1))),6)=0,1,0),IF(Clients!E14="Annual",IF(MOD((YEAR(EDATE(DATE(YEAR(TODAY()),MONTH(TODAY()),1),0))-YEAR(IF(ISNUMBER(Clients!F14),Clients!F14,DATE(YEAR(TODAY()),MONTH(TODAY()),1))))*12+MONTH(EDATE(DATE(YEAR(TODAY()),MONTH(TODAY()),1),0))-MONTH(IF(ISNUMBER(Clients!F14),Clients!F14,DATE(YEAR(TODAY()),MONTH(TODAY()),1))),12)=0,1,0),IF(Clients!E14="One-time",IF(0=0,1,0),1)))))),"")</f>
        <v/>
      </c>
      <c r="G84" s="10" t="str">
        <f ca="1">IFERROR(IF(OR(1&gt;=$B$1,Clients!A14="",NOT(ISNUMBER(Clients!D14)),Clients!L14="Expired",Clients!L14="Terminate"),"",Clients!D14*1*IF(Clients!E14="Monthly",IF(AND(ISNUMBER(Clients!G14),(YEAR(EDATE(DATE(YEAR(TODAY()),MONTH(TODAY()),1),1))*12+MONTH(EDATE(DATE(YEAR(TODAY()),MONTH(TODAY()),1),1)))&gt;(YEAR(Clients!G14)*12+MONTH(Clients!G14))),"",1),IF(Clients!E14="Quarterly",IF(MOD((YEAR(EDATE(DATE(YEAR(TODAY()),MONTH(TODAY()),1),1))-YEAR(IF(ISNUMBER(Clients!F14),Clients!F14,DATE(YEAR(TODAY()),MONTH(TODAY()),1))))*12+MONTH(EDATE(DATE(YEAR(TODAY()),MONTH(TODAY()),1),1))-MONTH(IF(ISNUMBER(Clients!F14),Clients!F14,DATE(YEAR(TODAY()),MONTH(TODAY()),1))),3)=0,1,0),IF(Clients!E14="Semi-annual",IF(MOD((YEAR(EDATE(DATE(YEAR(TODAY()),MONTH(TODAY()),1),1))-YEAR(IF(ISNUMBER(Clients!F14),Clients!F14,DATE(YEAR(TODAY()),MONTH(TODAY()),1))))*12+MONTH(EDATE(DATE(YEAR(TODAY()),MONTH(TODAY()),1),1))-MONTH(IF(ISNUMBER(Clients!F14),Clients!F14,DATE(YEAR(TODAY()),MONTH(TODAY()),1))),6)=0,1,0),IF(Clients!E14="Annual",IF(MOD((YEAR(EDATE(DATE(YEAR(TODAY()),MONTH(TODAY()),1),1))-YEAR(IF(ISNUMBER(Clients!F14),Clients!F14,DATE(YEAR(TODAY()),MONTH(TODAY()),1))))*12+MONTH(EDATE(DATE(YEAR(TODAY()),MONTH(TODAY()),1),1))-MONTH(IF(ISNUMBER(Clients!F14),Clients!F14,DATE(YEAR(TODAY()),MONTH(TODAY()),1))),12)=0,1,0),IF(Clients!E14="One-time",IF(1=0,1,0),1)))))),"")</f>
        <v/>
      </c>
      <c r="H84" s="10" t="str">
        <f ca="1">IFERROR(IF(OR(2&gt;=$B$1,Clients!A14="",NOT(ISNUMBER(Clients!D14)),Clients!L14="Expired",Clients!L14="Terminate"),"",Clients!D14*1*IF(Clients!E14="Monthly",IF(AND(ISNUMBER(Clients!G14),(YEAR(EDATE(DATE(YEAR(TODAY()),MONTH(TODAY()),1),2))*12+MONTH(EDATE(DATE(YEAR(TODAY()),MONTH(TODAY()),1),2)))&gt;(YEAR(Clients!G14)*12+MONTH(Clients!G14))),"",1),IF(Clients!E14="Quarterly",IF(MOD((YEAR(EDATE(DATE(YEAR(TODAY()),MONTH(TODAY()),1),2))-YEAR(IF(ISNUMBER(Clients!F14),Clients!F14,DATE(YEAR(TODAY()),MONTH(TODAY()),1))))*12+MONTH(EDATE(DATE(YEAR(TODAY()),MONTH(TODAY()),1),2))-MONTH(IF(ISNUMBER(Clients!F14),Clients!F14,DATE(YEAR(TODAY()),MONTH(TODAY()),1))),3)=0,1,0),IF(Clients!E14="Semi-annual",IF(MOD((YEAR(EDATE(DATE(YEAR(TODAY()),MONTH(TODAY()),1),2))-YEAR(IF(ISNUMBER(Clients!F14),Clients!F14,DATE(YEAR(TODAY()),MONTH(TODAY()),1))))*12+MONTH(EDATE(DATE(YEAR(TODAY()),MONTH(TODAY()),1),2))-MONTH(IF(ISNUMBER(Clients!F14),Clients!F14,DATE(YEAR(TODAY()),MONTH(TODAY()),1))),6)=0,1,0),IF(Clients!E14="Annual",IF(MOD((YEAR(EDATE(DATE(YEAR(TODAY()),MONTH(TODAY()),1),2))-YEAR(IF(ISNUMBER(Clients!F14),Clients!F14,DATE(YEAR(TODAY()),MONTH(TODAY()),1))))*12+MONTH(EDATE(DATE(YEAR(TODAY()),MONTH(TODAY()),1),2))-MONTH(IF(ISNUMBER(Clients!F14),Clients!F14,DATE(YEAR(TODAY()),MONTH(TODAY()),1))),12)=0,1,0),IF(Clients!E14="One-time",IF(2=0,1,0),1)))))),"")</f>
        <v/>
      </c>
      <c r="I84" s="10" t="str">
        <f ca="1">IFERROR(IF(OR(3&gt;=$B$1,Clients!A14="",NOT(ISNUMBER(Clients!D14)),Clients!L14="Expired",Clients!L14="Terminate"),"",Clients!D14*1*IF(Clients!E14="Monthly",IF(AND(ISNUMBER(Clients!G14),(YEAR(EDATE(DATE(YEAR(TODAY()),MONTH(TODAY()),1),3))*12+MONTH(EDATE(DATE(YEAR(TODAY()),MONTH(TODAY()),1),3)))&gt;(YEAR(Clients!G14)*12+MONTH(Clients!G14))),"",1),IF(Clients!E14="Quarterly",IF(MOD((YEAR(EDATE(DATE(YEAR(TODAY()),MONTH(TODAY()),1),3))-YEAR(IF(ISNUMBER(Clients!F14),Clients!F14,DATE(YEAR(TODAY()),MONTH(TODAY()),1))))*12+MONTH(EDATE(DATE(YEAR(TODAY()),MONTH(TODAY()),1),3))-MONTH(IF(ISNUMBER(Clients!F14),Clients!F14,DATE(YEAR(TODAY()),MONTH(TODAY()),1))),3)=0,1,0),IF(Clients!E14="Semi-annual",IF(MOD((YEAR(EDATE(DATE(YEAR(TODAY()),MONTH(TODAY()),1),3))-YEAR(IF(ISNUMBER(Clients!F14),Clients!F14,DATE(YEAR(TODAY()),MONTH(TODAY()),1))))*12+MONTH(EDATE(DATE(YEAR(TODAY()),MONTH(TODAY()),1),3))-MONTH(IF(ISNUMBER(Clients!F14),Clients!F14,DATE(YEAR(TODAY()),MONTH(TODAY()),1))),6)=0,1,0),IF(Clients!E14="Annual",IF(MOD((YEAR(EDATE(DATE(YEAR(TODAY()),MONTH(TODAY()),1),3))-YEAR(IF(ISNUMBER(Clients!F14),Clients!F14,DATE(YEAR(TODAY()),MONTH(TODAY()),1))))*12+MONTH(EDATE(DATE(YEAR(TODAY()),MONTH(TODAY()),1),3))-MONTH(IF(ISNUMBER(Clients!F14),Clients!F14,DATE(YEAR(TODAY()),MONTH(TODAY()),1))),12)=0,1,0),IF(Clients!E14="One-time",IF(3=0,1,0),1)))))),"")</f>
        <v/>
      </c>
      <c r="J84" s="10" t="str">
        <f ca="1">IFERROR(IF(OR(4&gt;=$B$1,Clients!A14="",NOT(ISNUMBER(Clients!D14)),Clients!L14="Expired",Clients!L14="Terminate"),"",Clients!D14*1*IF(Clients!E14="Monthly",IF(AND(ISNUMBER(Clients!G14),(YEAR(EDATE(DATE(YEAR(TODAY()),MONTH(TODAY()),1),4))*12+MONTH(EDATE(DATE(YEAR(TODAY()),MONTH(TODAY()),1),4)))&gt;(YEAR(Clients!G14)*12+MONTH(Clients!G14))),"",1),IF(Clients!E14="Quarterly",IF(MOD((YEAR(EDATE(DATE(YEAR(TODAY()),MONTH(TODAY()),1),4))-YEAR(IF(ISNUMBER(Clients!F14),Clients!F14,DATE(YEAR(TODAY()),MONTH(TODAY()),1))))*12+MONTH(EDATE(DATE(YEAR(TODAY()),MONTH(TODAY()),1),4))-MONTH(IF(ISNUMBER(Clients!F14),Clients!F14,DATE(YEAR(TODAY()),MONTH(TODAY()),1))),3)=0,1,0),IF(Clients!E14="Semi-annual",IF(MOD((YEAR(EDATE(DATE(YEAR(TODAY()),MONTH(TODAY()),1),4))-YEAR(IF(ISNUMBER(Clients!F14),Clients!F14,DATE(YEAR(TODAY()),MONTH(TODAY()),1))))*12+MONTH(EDATE(DATE(YEAR(TODAY()),MONTH(TODAY()),1),4))-MONTH(IF(ISNUMBER(Clients!F14),Clients!F14,DATE(YEAR(TODAY()),MONTH(TODAY()),1))),6)=0,1,0),IF(Clients!E14="Annual",IF(MOD((YEAR(EDATE(DATE(YEAR(TODAY()),MONTH(TODAY()),1),4))-YEAR(IF(ISNUMBER(Clients!F14),Clients!F14,DATE(YEAR(TODAY()),MONTH(TODAY()),1))))*12+MONTH(EDATE(DATE(YEAR(TODAY()),MONTH(TODAY()),1),4))-MONTH(IF(ISNUMBER(Clients!F14),Clients!F14,DATE(YEAR(TODAY()),MONTH(TODAY()),1))),12)=0,1,0),IF(Clients!E14="One-time",IF(4=0,1,0),1)))))),"")</f>
        <v/>
      </c>
      <c r="K84" s="10" t="str">
        <f ca="1">IFERROR(IF(OR(5&gt;=$B$1,Clients!A14="",NOT(ISNUMBER(Clients!D14)),Clients!L14="Expired",Clients!L14="Terminate"),"",Clients!D14*1*IF(Clients!E14="Monthly",IF(AND(ISNUMBER(Clients!G14),(YEAR(EDATE(DATE(YEAR(TODAY()),MONTH(TODAY()),1),5))*12+MONTH(EDATE(DATE(YEAR(TODAY()),MONTH(TODAY()),1),5)))&gt;(YEAR(Clients!G14)*12+MONTH(Clients!G14))),"",1),IF(Clients!E14="Quarterly",IF(MOD((YEAR(EDATE(DATE(YEAR(TODAY()),MONTH(TODAY()),1),5))-YEAR(IF(ISNUMBER(Clients!F14),Clients!F14,DATE(YEAR(TODAY()),MONTH(TODAY()),1))))*12+MONTH(EDATE(DATE(YEAR(TODAY()),MONTH(TODAY()),1),5))-MONTH(IF(ISNUMBER(Clients!F14),Clients!F14,DATE(YEAR(TODAY()),MONTH(TODAY()),1))),3)=0,1,0),IF(Clients!E14="Semi-annual",IF(MOD((YEAR(EDATE(DATE(YEAR(TODAY()),MONTH(TODAY()),1),5))-YEAR(IF(ISNUMBER(Clients!F14),Clients!F14,DATE(YEAR(TODAY()),MONTH(TODAY()),1))))*12+MONTH(EDATE(DATE(YEAR(TODAY()),MONTH(TODAY()),1),5))-MONTH(IF(ISNUMBER(Clients!F14),Clients!F14,DATE(YEAR(TODAY()),MONTH(TODAY()),1))),6)=0,1,0),IF(Clients!E14="Annual",IF(MOD((YEAR(EDATE(DATE(YEAR(TODAY()),MONTH(TODAY()),1),5))-YEAR(IF(ISNUMBER(Clients!F14),Clients!F14,DATE(YEAR(TODAY()),MONTH(TODAY()),1))))*12+MONTH(EDATE(DATE(YEAR(TODAY()),MONTH(TODAY()),1),5))-MONTH(IF(ISNUMBER(Clients!F14),Clients!F14,DATE(YEAR(TODAY()),MONTH(TODAY()),1))),12)=0,1,0),IF(Clients!E14="One-time",IF(5=0,1,0),1)))))),"")</f>
        <v/>
      </c>
      <c r="L84" s="10" t="str">
        <f ca="1">IFERROR(IF(OR(6&gt;=$B$1,Clients!A14="",NOT(ISNUMBER(Clients!D14)),Clients!L14="Expired",Clients!L14="Terminate"),"",Clients!D14*1*IF(Clients!E14="Monthly",IF(AND(ISNUMBER(Clients!G14),(YEAR(EDATE(DATE(YEAR(TODAY()),MONTH(TODAY()),1),6))*12+MONTH(EDATE(DATE(YEAR(TODAY()),MONTH(TODAY()),1),6)))&gt;(YEAR(Clients!G14)*12+MONTH(Clients!G14))),"",1),IF(Clients!E14="Quarterly",IF(MOD((YEAR(EDATE(DATE(YEAR(TODAY()),MONTH(TODAY()),1),6))-YEAR(IF(ISNUMBER(Clients!F14),Clients!F14,DATE(YEAR(TODAY()),MONTH(TODAY()),1))))*12+MONTH(EDATE(DATE(YEAR(TODAY()),MONTH(TODAY()),1),6))-MONTH(IF(ISNUMBER(Clients!F14),Clients!F14,DATE(YEAR(TODAY()),MONTH(TODAY()),1))),3)=0,1,0),IF(Clients!E14="Semi-annual",IF(MOD((YEAR(EDATE(DATE(YEAR(TODAY()),MONTH(TODAY()),1),6))-YEAR(IF(ISNUMBER(Clients!F14),Clients!F14,DATE(YEAR(TODAY()),MONTH(TODAY()),1))))*12+MONTH(EDATE(DATE(YEAR(TODAY()),MONTH(TODAY()),1),6))-MONTH(IF(ISNUMBER(Clients!F14),Clients!F14,DATE(YEAR(TODAY()),MONTH(TODAY()),1))),6)=0,1,0),IF(Clients!E14="Annual",IF(MOD((YEAR(EDATE(DATE(YEAR(TODAY()),MONTH(TODAY()),1),6))-YEAR(IF(ISNUMBER(Clients!F14),Clients!F14,DATE(YEAR(TODAY()),MONTH(TODAY()),1))))*12+MONTH(EDATE(DATE(YEAR(TODAY()),MONTH(TODAY()),1),6))-MONTH(IF(ISNUMBER(Clients!F14),Clients!F14,DATE(YEAR(TODAY()),MONTH(TODAY()),1))),12)=0,1,0),IF(Clients!E14="One-time",IF(6=0,1,0),1)))))),"")</f>
        <v/>
      </c>
      <c r="M84" s="10" t="str">
        <f ca="1">IFERROR(IF(OR(7&gt;=$B$1,Clients!A14="",NOT(ISNUMBER(Clients!D14)),Clients!L14="Expired",Clients!L14="Terminate"),"",Clients!D14*1*IF(Clients!E14="Monthly",IF(AND(ISNUMBER(Clients!G14),(YEAR(EDATE(DATE(YEAR(TODAY()),MONTH(TODAY()),1),7))*12+MONTH(EDATE(DATE(YEAR(TODAY()),MONTH(TODAY()),1),7)))&gt;(YEAR(Clients!G14)*12+MONTH(Clients!G14))),"",1),IF(Clients!E14="Quarterly",IF(MOD((YEAR(EDATE(DATE(YEAR(TODAY()),MONTH(TODAY()),1),7))-YEAR(IF(ISNUMBER(Clients!F14),Clients!F14,DATE(YEAR(TODAY()),MONTH(TODAY()),1))))*12+MONTH(EDATE(DATE(YEAR(TODAY()),MONTH(TODAY()),1),7))-MONTH(IF(ISNUMBER(Clients!F14),Clients!F14,DATE(YEAR(TODAY()),MONTH(TODAY()),1))),3)=0,1,0),IF(Clients!E14="Semi-annual",IF(MOD((YEAR(EDATE(DATE(YEAR(TODAY()),MONTH(TODAY()),1),7))-YEAR(IF(ISNUMBER(Clients!F14),Clients!F14,DATE(YEAR(TODAY()),MONTH(TODAY()),1))))*12+MONTH(EDATE(DATE(YEAR(TODAY()),MONTH(TODAY()),1),7))-MONTH(IF(ISNUMBER(Clients!F14),Clients!F14,DATE(YEAR(TODAY()),MONTH(TODAY()),1))),6)=0,1,0),IF(Clients!E14="Annual",IF(MOD((YEAR(EDATE(DATE(YEAR(TODAY()),MONTH(TODAY()),1),7))-YEAR(IF(ISNUMBER(Clients!F14),Clients!F14,DATE(YEAR(TODAY()),MONTH(TODAY()),1))))*12+MONTH(EDATE(DATE(YEAR(TODAY()),MONTH(TODAY()),1),7))-MONTH(IF(ISNUMBER(Clients!F14),Clients!F14,DATE(YEAR(TODAY()),MONTH(TODAY()),1))),12)=0,1,0),IF(Clients!E14="One-time",IF(7=0,1,0),1)))))),"")</f>
        <v/>
      </c>
      <c r="N84" s="10" t="str">
        <f ca="1">IFERROR(IF(OR(8&gt;=$B$1,Clients!A14="",NOT(ISNUMBER(Clients!D14)),Clients!L14="Expired",Clients!L14="Terminate"),"",Clients!D14*1*IF(Clients!E14="Monthly",IF(AND(ISNUMBER(Clients!G14),(YEAR(EDATE(DATE(YEAR(TODAY()),MONTH(TODAY()),1),8))*12+MONTH(EDATE(DATE(YEAR(TODAY()),MONTH(TODAY()),1),8)))&gt;(YEAR(Clients!G14)*12+MONTH(Clients!G14))),"",1),IF(Clients!E14="Quarterly",IF(MOD((YEAR(EDATE(DATE(YEAR(TODAY()),MONTH(TODAY()),1),8))-YEAR(IF(ISNUMBER(Clients!F14),Clients!F14,DATE(YEAR(TODAY()),MONTH(TODAY()),1))))*12+MONTH(EDATE(DATE(YEAR(TODAY()),MONTH(TODAY()),1),8))-MONTH(IF(ISNUMBER(Clients!F14),Clients!F14,DATE(YEAR(TODAY()),MONTH(TODAY()),1))),3)=0,1,0),IF(Clients!E14="Semi-annual",IF(MOD((YEAR(EDATE(DATE(YEAR(TODAY()),MONTH(TODAY()),1),8))-YEAR(IF(ISNUMBER(Clients!F14),Clients!F14,DATE(YEAR(TODAY()),MONTH(TODAY()),1))))*12+MONTH(EDATE(DATE(YEAR(TODAY()),MONTH(TODAY()),1),8))-MONTH(IF(ISNUMBER(Clients!F14),Clients!F14,DATE(YEAR(TODAY()),MONTH(TODAY()),1))),6)=0,1,0),IF(Clients!E14="Annual",IF(MOD((YEAR(EDATE(DATE(YEAR(TODAY()),MONTH(TODAY()),1),8))-YEAR(IF(ISNUMBER(Clients!F14),Clients!F14,DATE(YEAR(TODAY()),MONTH(TODAY()),1))))*12+MONTH(EDATE(DATE(YEAR(TODAY()),MONTH(TODAY()),1),8))-MONTH(IF(ISNUMBER(Clients!F14),Clients!F14,DATE(YEAR(TODAY()),MONTH(TODAY()),1))),12)=0,1,0),IF(Clients!E14="One-time",IF(8=0,1,0),1)))))),"")</f>
        <v/>
      </c>
      <c r="O84" s="10" t="str">
        <f ca="1">IFERROR(IF(OR(9&gt;=$B$1,Clients!A14="",NOT(ISNUMBER(Clients!D14)),Clients!L14="Expired",Clients!L14="Terminate"),"",Clients!D14*1*IF(Clients!E14="Monthly",IF(AND(ISNUMBER(Clients!G14),(YEAR(EDATE(DATE(YEAR(TODAY()),MONTH(TODAY()),1),9))*12+MONTH(EDATE(DATE(YEAR(TODAY()),MONTH(TODAY()),1),9)))&gt;(YEAR(Clients!G14)*12+MONTH(Clients!G14))),"",1),IF(Clients!E14="Quarterly",IF(MOD((YEAR(EDATE(DATE(YEAR(TODAY()),MONTH(TODAY()),1),9))-YEAR(IF(ISNUMBER(Clients!F14),Clients!F14,DATE(YEAR(TODAY()),MONTH(TODAY()),1))))*12+MONTH(EDATE(DATE(YEAR(TODAY()),MONTH(TODAY()),1),9))-MONTH(IF(ISNUMBER(Clients!F14),Clients!F14,DATE(YEAR(TODAY()),MONTH(TODAY()),1))),3)=0,1,0),IF(Clients!E14="Semi-annual",IF(MOD((YEAR(EDATE(DATE(YEAR(TODAY()),MONTH(TODAY()),1),9))-YEAR(IF(ISNUMBER(Clients!F14),Clients!F14,DATE(YEAR(TODAY()),MONTH(TODAY()),1))))*12+MONTH(EDATE(DATE(YEAR(TODAY()),MONTH(TODAY()),1),9))-MONTH(IF(ISNUMBER(Clients!F14),Clients!F14,DATE(YEAR(TODAY()),MONTH(TODAY()),1))),6)=0,1,0),IF(Clients!E14="Annual",IF(MOD((YEAR(EDATE(DATE(YEAR(TODAY()),MONTH(TODAY()),1),9))-YEAR(IF(ISNUMBER(Clients!F14),Clients!F14,DATE(YEAR(TODAY()),MONTH(TODAY()),1))))*12+MONTH(EDATE(DATE(YEAR(TODAY()),MONTH(TODAY()),1),9))-MONTH(IF(ISNUMBER(Clients!F14),Clients!F14,DATE(YEAR(TODAY()),MONTH(TODAY()),1))),12)=0,1,0),IF(Clients!E14="One-time",IF(9=0,1,0),1)))))),"")</f>
        <v/>
      </c>
      <c r="P84" s="10" t="str">
        <f ca="1">IFERROR(IF(OR(10&gt;=$B$1,Clients!A14="",NOT(ISNUMBER(Clients!D14)),Clients!L14="Expired",Clients!L14="Terminate"),"",Clients!D14*1*IF(Clients!E14="Monthly",IF(AND(ISNUMBER(Clients!G14),(YEAR(EDATE(DATE(YEAR(TODAY()),MONTH(TODAY()),1),10))*12+MONTH(EDATE(DATE(YEAR(TODAY()),MONTH(TODAY()),1),10)))&gt;(YEAR(Clients!G14)*12+MONTH(Clients!G14))),"",1),IF(Clients!E14="Quarterly",IF(MOD((YEAR(EDATE(DATE(YEAR(TODAY()),MONTH(TODAY()),1),10))-YEAR(IF(ISNUMBER(Clients!F14),Clients!F14,DATE(YEAR(TODAY()),MONTH(TODAY()),1))))*12+MONTH(EDATE(DATE(YEAR(TODAY()),MONTH(TODAY()),1),10))-MONTH(IF(ISNUMBER(Clients!F14),Clients!F14,DATE(YEAR(TODAY()),MONTH(TODAY()),1))),3)=0,1,0),IF(Clients!E14="Semi-annual",IF(MOD((YEAR(EDATE(DATE(YEAR(TODAY()),MONTH(TODAY()),1),10))-YEAR(IF(ISNUMBER(Clients!F14),Clients!F14,DATE(YEAR(TODAY()),MONTH(TODAY()),1))))*12+MONTH(EDATE(DATE(YEAR(TODAY()),MONTH(TODAY()),1),10))-MONTH(IF(ISNUMBER(Clients!F14),Clients!F14,DATE(YEAR(TODAY()),MONTH(TODAY()),1))),6)=0,1,0),IF(Clients!E14="Annual",IF(MOD((YEAR(EDATE(DATE(YEAR(TODAY()),MONTH(TODAY()),1),10))-YEAR(IF(ISNUMBER(Clients!F14),Clients!F14,DATE(YEAR(TODAY()),MONTH(TODAY()),1))))*12+MONTH(EDATE(DATE(YEAR(TODAY()),MONTH(TODAY()),1),10))-MONTH(IF(ISNUMBER(Clients!F14),Clients!F14,DATE(YEAR(TODAY()),MONTH(TODAY()),1))),12)=0,1,0),IF(Clients!E14="One-time",IF(10=0,1,0),1)))))),"")</f>
        <v/>
      </c>
      <c r="Q84" s="10" t="str">
        <f ca="1">IFERROR(IF(OR(11&gt;=$B$1,Clients!A14="",NOT(ISNUMBER(Clients!D14)),Clients!L14="Expired",Clients!L14="Terminate"),"",Clients!D14*1*IF(Clients!E14="Monthly",IF(AND(ISNUMBER(Clients!G14),(YEAR(EDATE(DATE(YEAR(TODAY()),MONTH(TODAY()),1),11))*12+MONTH(EDATE(DATE(YEAR(TODAY()),MONTH(TODAY()),1),11)))&gt;(YEAR(Clients!G14)*12+MONTH(Clients!G14))),"",1),IF(Clients!E14="Quarterly",IF(MOD((YEAR(EDATE(DATE(YEAR(TODAY()),MONTH(TODAY()),1),11))-YEAR(IF(ISNUMBER(Clients!F14),Clients!F14,DATE(YEAR(TODAY()),MONTH(TODAY()),1))))*12+MONTH(EDATE(DATE(YEAR(TODAY()),MONTH(TODAY()),1),11))-MONTH(IF(ISNUMBER(Clients!F14),Clients!F14,DATE(YEAR(TODAY()),MONTH(TODAY()),1))),3)=0,1,0),IF(Clients!E14="Semi-annual",IF(MOD((YEAR(EDATE(DATE(YEAR(TODAY()),MONTH(TODAY()),1),11))-YEAR(IF(ISNUMBER(Clients!F14),Clients!F14,DATE(YEAR(TODAY()),MONTH(TODAY()),1))))*12+MONTH(EDATE(DATE(YEAR(TODAY()),MONTH(TODAY()),1),11))-MONTH(IF(ISNUMBER(Clients!F14),Clients!F14,DATE(YEAR(TODAY()),MONTH(TODAY()),1))),6)=0,1,0),IF(Clients!E14="Annual",IF(MOD((YEAR(EDATE(DATE(YEAR(TODAY()),MONTH(TODAY()),1),11))-YEAR(IF(ISNUMBER(Clients!F14),Clients!F14,DATE(YEAR(TODAY()),MONTH(TODAY()),1))))*12+MONTH(EDATE(DATE(YEAR(TODAY()),MONTH(TODAY()),1),11))-MONTH(IF(ISNUMBER(Clients!F14),Clients!F14,DATE(YEAR(TODAY()),MONTH(TODAY()),1))),12)=0,1,0),IF(Clients!E14="One-time",IF(11=0,1,0),1)))))),"")</f>
        <v/>
      </c>
      <c r="R84" s="10" t="str">
        <f ca="1">IFERROR(IF(OR(12&gt;=$B$1,Suppliers!A82="",NOT(ISNUMBER(Suppliers!D82)),Suppliers!L82="Expired",Suppliers!L82="Terminate"),"",Suppliers!D82*-1*IF(Suppliers!E82="Monthly",IF(AND(ISNUMBER(Suppliers!G82),(YEAR(EDATE(DATE(YEAR(TODAY()),MONTH(TODAY()),1),12))*12+MONTH(EDATE(DATE(YEAR(TODAY()),MONTH(TODAY()),1),12)))&gt;(YEAR(Suppliers!G82)*12+MONTH(Suppliers!G82))),"",1),IF(Suppliers!E82="Quarterly",IF(MOD((YEAR(EDATE(DATE(YEAR(TODAY()),MONTH(TODAY()),1),12))-YEAR(IF(ISNUMBER(Suppliers!F82),Suppliers!F82,DATE(YEAR(TODAY()),MONTH(TODAY()),1))))*12+MONTH(EDATE(DATE(YEAR(TODAY()),MONTH(TODAY()),1),12))-MONTH(IF(ISNUMBER(Suppliers!F82),Suppliers!F82,DATE(YEAR(TODAY()),MONTH(TODAY()),1))),3)=0,1,0),IF(Suppliers!E82="Semi-annual",IF(MOD((YEAR(EDATE(DATE(YEAR(TODAY()),MONTH(TODAY()),1),12))-YEAR(IF(ISNUMBER(Suppliers!F82),Suppliers!F82,DATE(YEAR(TODAY()),MONTH(TODAY()),1))))*12+MONTH(EDATE(DATE(YEAR(TODAY()),MONTH(TODAY()),1),12))-MONTH(IF(ISNUMBER(Suppliers!F82),Suppliers!F82,DATE(YEAR(TODAY()),MONTH(TODAY()),1))),6)=0,1,0),IF(Suppliers!E82="Annual",IF(MOD((YEAR(EDATE(DATE(YEAR(TODAY()),MONTH(TODAY()),1),12))-YEAR(IF(ISNUMBER(Suppliers!F82),Suppliers!F82,DATE(YEAR(TODAY()),MONTH(TODAY()),1))))*12+MONTH(EDATE(DATE(YEAR(TODAY()),MONTH(TODAY()),1),12))-MONTH(IF(ISNUMBER(Suppliers!F82),Suppliers!F82,DATE(YEAR(TODAY()),MONTH(TODAY()),1))),12)=0,1,0),IF(Suppliers!E82="One-time",IF(12=0,1,0),1)))))),"")</f>
        <v/>
      </c>
      <c r="S84" s="10" t="str">
        <f ca="1">IFERROR(IF(OR(13&gt;=$B$1,Suppliers!A82="",NOT(ISNUMBER(Suppliers!D82)),Suppliers!L82="Expired",Suppliers!L82="Terminate"),"",Suppliers!D82*-1*IF(Suppliers!E82="Monthly",IF(AND(ISNUMBER(Suppliers!G82),(YEAR(EDATE(DATE(YEAR(TODAY()),MONTH(TODAY()),1),13))*12+MONTH(EDATE(DATE(YEAR(TODAY()),MONTH(TODAY()),1),13)))&gt;(YEAR(Suppliers!G82)*12+MONTH(Suppliers!G82))),"",1),IF(Suppliers!E82="Quarterly",IF(MOD((YEAR(EDATE(DATE(YEAR(TODAY()),MONTH(TODAY()),1),13))-YEAR(IF(ISNUMBER(Suppliers!F82),Suppliers!F82,DATE(YEAR(TODAY()),MONTH(TODAY()),1))))*12+MONTH(EDATE(DATE(YEAR(TODAY()),MONTH(TODAY()),1),13))-MONTH(IF(ISNUMBER(Suppliers!F82),Suppliers!F82,DATE(YEAR(TODAY()),MONTH(TODAY()),1))),3)=0,1,0),IF(Suppliers!E82="Semi-annual",IF(MOD((YEAR(EDATE(DATE(YEAR(TODAY()),MONTH(TODAY()),1),13))-YEAR(IF(ISNUMBER(Suppliers!F82),Suppliers!F82,DATE(YEAR(TODAY()),MONTH(TODAY()),1))))*12+MONTH(EDATE(DATE(YEAR(TODAY()),MONTH(TODAY()),1),13))-MONTH(IF(ISNUMBER(Suppliers!F82),Suppliers!F82,DATE(YEAR(TODAY()),MONTH(TODAY()),1))),6)=0,1,0),IF(Suppliers!E82="Annual",IF(MOD((YEAR(EDATE(DATE(YEAR(TODAY()),MONTH(TODAY()),1),13))-YEAR(IF(ISNUMBER(Suppliers!F82),Suppliers!F82,DATE(YEAR(TODAY()),MONTH(TODAY()),1))))*12+MONTH(EDATE(DATE(YEAR(TODAY()),MONTH(TODAY()),1),13))-MONTH(IF(ISNUMBER(Suppliers!F82),Suppliers!F82,DATE(YEAR(TODAY()),MONTH(TODAY()),1))),12)=0,1,0),IF(Suppliers!E82="One-time",IF(13=0,1,0),1)))))),"")</f>
        <v/>
      </c>
      <c r="T84" s="10" t="str">
        <f ca="1">IFERROR(IF(OR(14&gt;=$B$1,Suppliers!A82="",NOT(ISNUMBER(Suppliers!D82)),Suppliers!L82="Expired",Suppliers!L82="Terminate"),"",Suppliers!D82*-1*IF(Suppliers!E82="Monthly",IF(AND(ISNUMBER(Suppliers!G82),(YEAR(EDATE(DATE(YEAR(TODAY()),MONTH(TODAY()),1),14))*12+MONTH(EDATE(DATE(YEAR(TODAY()),MONTH(TODAY()),1),14)))&gt;(YEAR(Suppliers!G82)*12+MONTH(Suppliers!G82))),"",1),IF(Suppliers!E82="Quarterly",IF(MOD((YEAR(EDATE(DATE(YEAR(TODAY()),MONTH(TODAY()),1),14))-YEAR(IF(ISNUMBER(Suppliers!F82),Suppliers!F82,DATE(YEAR(TODAY()),MONTH(TODAY()),1))))*12+MONTH(EDATE(DATE(YEAR(TODAY()),MONTH(TODAY()),1),14))-MONTH(IF(ISNUMBER(Suppliers!F82),Suppliers!F82,DATE(YEAR(TODAY()),MONTH(TODAY()),1))),3)=0,1,0),IF(Suppliers!E82="Semi-annual",IF(MOD((YEAR(EDATE(DATE(YEAR(TODAY()),MONTH(TODAY()),1),14))-YEAR(IF(ISNUMBER(Suppliers!F82),Suppliers!F82,DATE(YEAR(TODAY()),MONTH(TODAY()),1))))*12+MONTH(EDATE(DATE(YEAR(TODAY()),MONTH(TODAY()),1),14))-MONTH(IF(ISNUMBER(Suppliers!F82),Suppliers!F82,DATE(YEAR(TODAY()),MONTH(TODAY()),1))),6)=0,1,0),IF(Suppliers!E82="Annual",IF(MOD((YEAR(EDATE(DATE(YEAR(TODAY()),MONTH(TODAY()),1),14))-YEAR(IF(ISNUMBER(Suppliers!F82),Suppliers!F82,DATE(YEAR(TODAY()),MONTH(TODAY()),1))))*12+MONTH(EDATE(DATE(YEAR(TODAY()),MONTH(TODAY()),1),14))-MONTH(IF(ISNUMBER(Suppliers!F82),Suppliers!F82,DATE(YEAR(TODAY()),MONTH(TODAY()),1))),12)=0,1,0),IF(Suppliers!E82="One-time",IF(14=0,1,0),1)))))),"")</f>
        <v/>
      </c>
      <c r="U84" s="10" t="str">
        <f ca="1">IFERROR(IF(OR(15&gt;=$B$1,Suppliers!A82="",NOT(ISNUMBER(Suppliers!D82)),Suppliers!L82="Expired",Suppliers!L82="Terminate"),"",Suppliers!D82*-1*IF(Suppliers!E82="Monthly",IF(AND(ISNUMBER(Suppliers!G82),(YEAR(EDATE(DATE(YEAR(TODAY()),MONTH(TODAY()),1),15))*12+MONTH(EDATE(DATE(YEAR(TODAY()),MONTH(TODAY()),1),15)))&gt;(YEAR(Suppliers!G82)*12+MONTH(Suppliers!G82))),"",1),IF(Suppliers!E82="Quarterly",IF(MOD((YEAR(EDATE(DATE(YEAR(TODAY()),MONTH(TODAY()),1),15))-YEAR(IF(ISNUMBER(Suppliers!F82),Suppliers!F82,DATE(YEAR(TODAY()),MONTH(TODAY()),1))))*12+MONTH(EDATE(DATE(YEAR(TODAY()),MONTH(TODAY()),1),15))-MONTH(IF(ISNUMBER(Suppliers!F82),Suppliers!F82,DATE(YEAR(TODAY()),MONTH(TODAY()),1))),3)=0,1,0),IF(Suppliers!E82="Semi-annual",IF(MOD((YEAR(EDATE(DATE(YEAR(TODAY()),MONTH(TODAY()),1),15))-YEAR(IF(ISNUMBER(Suppliers!F82),Suppliers!F82,DATE(YEAR(TODAY()),MONTH(TODAY()),1))))*12+MONTH(EDATE(DATE(YEAR(TODAY()),MONTH(TODAY()),1),15))-MONTH(IF(ISNUMBER(Suppliers!F82),Suppliers!F82,DATE(YEAR(TODAY()),MONTH(TODAY()),1))),6)=0,1,0),IF(Suppliers!E82="Annual",IF(MOD((YEAR(EDATE(DATE(YEAR(TODAY()),MONTH(TODAY()),1),15))-YEAR(IF(ISNUMBER(Suppliers!F82),Suppliers!F82,DATE(YEAR(TODAY()),MONTH(TODAY()),1))))*12+MONTH(EDATE(DATE(YEAR(TODAY()),MONTH(TODAY()),1),15))-MONTH(IF(ISNUMBER(Suppliers!F82),Suppliers!F82,DATE(YEAR(TODAY()),MONTH(TODAY()),1))),12)=0,1,0),IF(Suppliers!E82="One-time",IF(15=0,1,0),1)))))),"")</f>
        <v/>
      </c>
      <c r="V84" s="10" t="str">
        <f ca="1">IFERROR(IF(OR(16&gt;=$B$1,Suppliers!A82="",NOT(ISNUMBER(Suppliers!D82)),Suppliers!L82="Expired",Suppliers!L82="Terminate"),"",Suppliers!D82*-1*IF(Suppliers!E82="Monthly",IF(AND(ISNUMBER(Suppliers!G82),(YEAR(EDATE(DATE(YEAR(TODAY()),MONTH(TODAY()),1),16))*12+MONTH(EDATE(DATE(YEAR(TODAY()),MONTH(TODAY()),1),16)))&gt;(YEAR(Suppliers!G82)*12+MONTH(Suppliers!G82))),"",1),IF(Suppliers!E82="Quarterly",IF(MOD((YEAR(EDATE(DATE(YEAR(TODAY()),MONTH(TODAY()),1),16))-YEAR(IF(ISNUMBER(Suppliers!F82),Suppliers!F82,DATE(YEAR(TODAY()),MONTH(TODAY()),1))))*12+MONTH(EDATE(DATE(YEAR(TODAY()),MONTH(TODAY()),1),16))-MONTH(IF(ISNUMBER(Suppliers!F82),Suppliers!F82,DATE(YEAR(TODAY()),MONTH(TODAY()),1))),3)=0,1,0),IF(Suppliers!E82="Semi-annual",IF(MOD((YEAR(EDATE(DATE(YEAR(TODAY()),MONTH(TODAY()),1),16))-YEAR(IF(ISNUMBER(Suppliers!F82),Suppliers!F82,DATE(YEAR(TODAY()),MONTH(TODAY()),1))))*12+MONTH(EDATE(DATE(YEAR(TODAY()),MONTH(TODAY()),1),16))-MONTH(IF(ISNUMBER(Suppliers!F82),Suppliers!F82,DATE(YEAR(TODAY()),MONTH(TODAY()),1))),6)=0,1,0),IF(Suppliers!E82="Annual",IF(MOD((YEAR(EDATE(DATE(YEAR(TODAY()),MONTH(TODAY()),1),16))-YEAR(IF(ISNUMBER(Suppliers!F82),Suppliers!F82,DATE(YEAR(TODAY()),MONTH(TODAY()),1))))*12+MONTH(EDATE(DATE(YEAR(TODAY()),MONTH(TODAY()),1),16))-MONTH(IF(ISNUMBER(Suppliers!F82),Suppliers!F82,DATE(YEAR(TODAY()),MONTH(TODAY()),1))),12)=0,1,0),IF(Suppliers!E82="One-time",IF(16=0,1,0),1)))))),"")</f>
        <v/>
      </c>
      <c r="W84" s="10" t="str">
        <f ca="1">IFERROR(IF(OR(17&gt;=$B$1,Suppliers!A82="",NOT(ISNUMBER(Suppliers!D82)),Suppliers!L82="Expired",Suppliers!L82="Terminate"),"",Suppliers!D82*-1*IF(Suppliers!E82="Monthly",IF(AND(ISNUMBER(Suppliers!G82),(YEAR(EDATE(DATE(YEAR(TODAY()),MONTH(TODAY()),1),17))*12+MONTH(EDATE(DATE(YEAR(TODAY()),MONTH(TODAY()),1),17)))&gt;(YEAR(Suppliers!G82)*12+MONTH(Suppliers!G82))),"",1),IF(Suppliers!E82="Quarterly",IF(MOD((YEAR(EDATE(DATE(YEAR(TODAY()),MONTH(TODAY()),1),17))-YEAR(IF(ISNUMBER(Suppliers!F82),Suppliers!F82,DATE(YEAR(TODAY()),MONTH(TODAY()),1))))*12+MONTH(EDATE(DATE(YEAR(TODAY()),MONTH(TODAY()),1),17))-MONTH(IF(ISNUMBER(Suppliers!F82),Suppliers!F82,DATE(YEAR(TODAY()),MONTH(TODAY()),1))),3)=0,1,0),IF(Suppliers!E82="Semi-annual",IF(MOD((YEAR(EDATE(DATE(YEAR(TODAY()),MONTH(TODAY()),1),17))-YEAR(IF(ISNUMBER(Suppliers!F82),Suppliers!F82,DATE(YEAR(TODAY()),MONTH(TODAY()),1))))*12+MONTH(EDATE(DATE(YEAR(TODAY()),MONTH(TODAY()),1),17))-MONTH(IF(ISNUMBER(Suppliers!F82),Suppliers!F82,DATE(YEAR(TODAY()),MONTH(TODAY()),1))),6)=0,1,0),IF(Suppliers!E82="Annual",IF(MOD((YEAR(EDATE(DATE(YEAR(TODAY()),MONTH(TODAY()),1),17))-YEAR(IF(ISNUMBER(Suppliers!F82),Suppliers!F82,DATE(YEAR(TODAY()),MONTH(TODAY()),1))))*12+MONTH(EDATE(DATE(YEAR(TODAY()),MONTH(TODAY()),1),17))-MONTH(IF(ISNUMBER(Suppliers!F82),Suppliers!F82,DATE(YEAR(TODAY()),MONTH(TODAY()),1))),12)=0,1,0),IF(Suppliers!E82="One-time",IF(17=0,1,0),1)))))),"")</f>
        <v/>
      </c>
      <c r="X84" s="10" t="str">
        <f ca="1">IFERROR(IF(OR(18&gt;=$B$1,Suppliers!A82="",NOT(ISNUMBER(Suppliers!D82)),Suppliers!L82="Expired",Suppliers!L82="Terminate"),"",Suppliers!D82*-1*IF(Suppliers!E82="Monthly",IF(AND(ISNUMBER(Suppliers!G82),(YEAR(EDATE(DATE(YEAR(TODAY()),MONTH(TODAY()),1),18))*12+MONTH(EDATE(DATE(YEAR(TODAY()),MONTH(TODAY()),1),18)))&gt;(YEAR(Suppliers!G82)*12+MONTH(Suppliers!G82))),"",1),IF(Suppliers!E82="Quarterly",IF(MOD((YEAR(EDATE(DATE(YEAR(TODAY()),MONTH(TODAY()),1),18))-YEAR(IF(ISNUMBER(Suppliers!F82),Suppliers!F82,DATE(YEAR(TODAY()),MONTH(TODAY()),1))))*12+MONTH(EDATE(DATE(YEAR(TODAY()),MONTH(TODAY()),1),18))-MONTH(IF(ISNUMBER(Suppliers!F82),Suppliers!F82,DATE(YEAR(TODAY()),MONTH(TODAY()),1))),3)=0,1,0),IF(Suppliers!E82="Semi-annual",IF(MOD((YEAR(EDATE(DATE(YEAR(TODAY()),MONTH(TODAY()),1),18))-YEAR(IF(ISNUMBER(Suppliers!F82),Suppliers!F82,DATE(YEAR(TODAY()),MONTH(TODAY()),1))))*12+MONTH(EDATE(DATE(YEAR(TODAY()),MONTH(TODAY()),1),18))-MONTH(IF(ISNUMBER(Suppliers!F82),Suppliers!F82,DATE(YEAR(TODAY()),MONTH(TODAY()),1))),6)=0,1,0),IF(Suppliers!E82="Annual",IF(MOD((YEAR(EDATE(DATE(YEAR(TODAY()),MONTH(TODAY()),1),18))-YEAR(IF(ISNUMBER(Suppliers!F82),Suppliers!F82,DATE(YEAR(TODAY()),MONTH(TODAY()),1))))*12+MONTH(EDATE(DATE(YEAR(TODAY()),MONTH(TODAY()),1),18))-MONTH(IF(ISNUMBER(Suppliers!F82),Suppliers!F82,DATE(YEAR(TODAY()),MONTH(TODAY()),1))),12)=0,1,0),IF(Suppliers!E82="One-time",IF(18=0,1,0),1)))))),"")</f>
        <v/>
      </c>
      <c r="Y84" s="10" t="str">
        <f ca="1">IFERROR(IF(OR(19&gt;=$B$1,Suppliers!A82="",NOT(ISNUMBER(Suppliers!D82)),Suppliers!L82="Expired",Suppliers!L82="Terminate"),"",Suppliers!D82*-1*IF(Suppliers!E82="Monthly",IF(AND(ISNUMBER(Suppliers!G82),(YEAR(EDATE(DATE(YEAR(TODAY()),MONTH(TODAY()),1),19))*12+MONTH(EDATE(DATE(YEAR(TODAY()),MONTH(TODAY()),1),19)))&gt;(YEAR(Suppliers!G82)*12+MONTH(Suppliers!G82))),"",1),IF(Suppliers!E82="Quarterly",IF(MOD((YEAR(EDATE(DATE(YEAR(TODAY()),MONTH(TODAY()),1),19))-YEAR(IF(ISNUMBER(Suppliers!F82),Suppliers!F82,DATE(YEAR(TODAY()),MONTH(TODAY()),1))))*12+MONTH(EDATE(DATE(YEAR(TODAY()),MONTH(TODAY()),1),19))-MONTH(IF(ISNUMBER(Suppliers!F82),Suppliers!F82,DATE(YEAR(TODAY()),MONTH(TODAY()),1))),3)=0,1,0),IF(Suppliers!E82="Semi-annual",IF(MOD((YEAR(EDATE(DATE(YEAR(TODAY()),MONTH(TODAY()),1),19))-YEAR(IF(ISNUMBER(Suppliers!F82),Suppliers!F82,DATE(YEAR(TODAY()),MONTH(TODAY()),1))))*12+MONTH(EDATE(DATE(YEAR(TODAY()),MONTH(TODAY()),1),19))-MONTH(IF(ISNUMBER(Suppliers!F82),Suppliers!F82,DATE(YEAR(TODAY()),MONTH(TODAY()),1))),6)=0,1,0),IF(Suppliers!E82="Annual",IF(MOD((YEAR(EDATE(DATE(YEAR(TODAY()),MONTH(TODAY()),1),19))-YEAR(IF(ISNUMBER(Suppliers!F82),Suppliers!F82,DATE(YEAR(TODAY()),MONTH(TODAY()),1))))*12+MONTH(EDATE(DATE(YEAR(TODAY()),MONTH(TODAY()),1),19))-MONTH(IF(ISNUMBER(Suppliers!F82),Suppliers!F82,DATE(YEAR(TODAY()),MONTH(TODAY()),1))),12)=0,1,0),IF(Suppliers!E82="One-time",IF(19=0,1,0),1)))))),"")</f>
        <v/>
      </c>
      <c r="Z84" s="10" t="str">
        <f ca="1">IFERROR(IF(OR(20&gt;=$B$1,Suppliers!A82="",NOT(ISNUMBER(Suppliers!D82)),Suppliers!L82="Expired",Suppliers!L82="Terminate"),"",Suppliers!D82*-1*IF(Suppliers!E82="Monthly",IF(AND(ISNUMBER(Suppliers!G82),(YEAR(EDATE(DATE(YEAR(TODAY()),MONTH(TODAY()),1),20))*12+MONTH(EDATE(DATE(YEAR(TODAY()),MONTH(TODAY()),1),20)))&gt;(YEAR(Suppliers!G82)*12+MONTH(Suppliers!G82))),"",1),IF(Suppliers!E82="Quarterly",IF(MOD((YEAR(EDATE(DATE(YEAR(TODAY()),MONTH(TODAY()),1),20))-YEAR(IF(ISNUMBER(Suppliers!F82),Suppliers!F82,DATE(YEAR(TODAY()),MONTH(TODAY()),1))))*12+MONTH(EDATE(DATE(YEAR(TODAY()),MONTH(TODAY()),1),20))-MONTH(IF(ISNUMBER(Suppliers!F82),Suppliers!F82,DATE(YEAR(TODAY()),MONTH(TODAY()),1))),3)=0,1,0),IF(Suppliers!E82="Semi-annual",IF(MOD((YEAR(EDATE(DATE(YEAR(TODAY()),MONTH(TODAY()),1),20))-YEAR(IF(ISNUMBER(Suppliers!F82),Suppliers!F82,DATE(YEAR(TODAY()),MONTH(TODAY()),1))))*12+MONTH(EDATE(DATE(YEAR(TODAY()),MONTH(TODAY()),1),20))-MONTH(IF(ISNUMBER(Suppliers!F82),Suppliers!F82,DATE(YEAR(TODAY()),MONTH(TODAY()),1))),6)=0,1,0),IF(Suppliers!E82="Annual",IF(MOD((YEAR(EDATE(DATE(YEAR(TODAY()),MONTH(TODAY()),1),20))-YEAR(IF(ISNUMBER(Suppliers!F82),Suppliers!F82,DATE(YEAR(TODAY()),MONTH(TODAY()),1))))*12+MONTH(EDATE(DATE(YEAR(TODAY()),MONTH(TODAY()),1),20))-MONTH(IF(ISNUMBER(Suppliers!F82),Suppliers!F82,DATE(YEAR(TODAY()),MONTH(TODAY()),1))),12)=0,1,0),IF(Suppliers!E82="One-time",IF(20=0,1,0),1)))))),"")</f>
        <v/>
      </c>
      <c r="AA84" s="10" t="str">
        <f ca="1">IFERROR(IF(OR(21&gt;=$B$1,Suppliers!A82="",NOT(ISNUMBER(Suppliers!D82)),Suppliers!L82="Expired",Suppliers!L82="Terminate"),"",Suppliers!D82*-1*IF(Suppliers!E82="Monthly",IF(AND(ISNUMBER(Suppliers!G82),(YEAR(EDATE(DATE(YEAR(TODAY()),MONTH(TODAY()),1),21))*12+MONTH(EDATE(DATE(YEAR(TODAY()),MONTH(TODAY()),1),21)))&gt;(YEAR(Suppliers!G82)*12+MONTH(Suppliers!G82))),"",1),IF(Suppliers!E82="Quarterly",IF(MOD((YEAR(EDATE(DATE(YEAR(TODAY()),MONTH(TODAY()),1),21))-YEAR(IF(ISNUMBER(Suppliers!F82),Suppliers!F82,DATE(YEAR(TODAY()),MONTH(TODAY()),1))))*12+MONTH(EDATE(DATE(YEAR(TODAY()),MONTH(TODAY()),1),21))-MONTH(IF(ISNUMBER(Suppliers!F82),Suppliers!F82,DATE(YEAR(TODAY()),MONTH(TODAY()),1))),3)=0,1,0),IF(Suppliers!E82="Semi-annual",IF(MOD((YEAR(EDATE(DATE(YEAR(TODAY()),MONTH(TODAY()),1),21))-YEAR(IF(ISNUMBER(Suppliers!F82),Suppliers!F82,DATE(YEAR(TODAY()),MONTH(TODAY()),1))))*12+MONTH(EDATE(DATE(YEAR(TODAY()),MONTH(TODAY()),1),21))-MONTH(IF(ISNUMBER(Suppliers!F82),Suppliers!F82,DATE(YEAR(TODAY()),MONTH(TODAY()),1))),6)=0,1,0),IF(Suppliers!E82="Annual",IF(MOD((YEAR(EDATE(DATE(YEAR(TODAY()),MONTH(TODAY()),1),21))-YEAR(IF(ISNUMBER(Suppliers!F82),Suppliers!F82,DATE(YEAR(TODAY()),MONTH(TODAY()),1))))*12+MONTH(EDATE(DATE(YEAR(TODAY()),MONTH(TODAY()),1),21))-MONTH(IF(ISNUMBER(Suppliers!F82),Suppliers!F82,DATE(YEAR(TODAY()),MONTH(TODAY()),1))),12)=0,1,0),IF(Suppliers!E82="One-time",IF(21=0,1,0),1)))))),"")</f>
        <v/>
      </c>
      <c r="AB84" s="10" t="str">
        <f ca="1">IFERROR(IF(OR(22&gt;=$B$1,Suppliers!A82="",NOT(ISNUMBER(Suppliers!D82)),Suppliers!L82="Expired",Suppliers!L82="Terminate"),"",Suppliers!D82*-1*IF(Suppliers!E82="Monthly",IF(AND(ISNUMBER(Suppliers!G82),(YEAR(EDATE(DATE(YEAR(TODAY()),MONTH(TODAY()),1),22))*12+MONTH(EDATE(DATE(YEAR(TODAY()),MONTH(TODAY()),1),22)))&gt;(YEAR(Suppliers!G82)*12+MONTH(Suppliers!G82))),"",1),IF(Suppliers!E82="Quarterly",IF(MOD((YEAR(EDATE(DATE(YEAR(TODAY()),MONTH(TODAY()),1),22))-YEAR(IF(ISNUMBER(Suppliers!F82),Suppliers!F82,DATE(YEAR(TODAY()),MONTH(TODAY()),1))))*12+MONTH(EDATE(DATE(YEAR(TODAY()),MONTH(TODAY()),1),22))-MONTH(IF(ISNUMBER(Suppliers!F82),Suppliers!F82,DATE(YEAR(TODAY()),MONTH(TODAY()),1))),3)=0,1,0),IF(Suppliers!E82="Semi-annual",IF(MOD((YEAR(EDATE(DATE(YEAR(TODAY()),MONTH(TODAY()),1),22))-YEAR(IF(ISNUMBER(Suppliers!F82),Suppliers!F82,DATE(YEAR(TODAY()),MONTH(TODAY()),1))))*12+MONTH(EDATE(DATE(YEAR(TODAY()),MONTH(TODAY()),1),22))-MONTH(IF(ISNUMBER(Suppliers!F82),Suppliers!F82,DATE(YEAR(TODAY()),MONTH(TODAY()),1))),6)=0,1,0),IF(Suppliers!E82="Annual",IF(MOD((YEAR(EDATE(DATE(YEAR(TODAY()),MONTH(TODAY()),1),22))-YEAR(IF(ISNUMBER(Suppliers!F82),Suppliers!F82,DATE(YEAR(TODAY()),MONTH(TODAY()),1))))*12+MONTH(EDATE(DATE(YEAR(TODAY()),MONTH(TODAY()),1),22))-MONTH(IF(ISNUMBER(Suppliers!F82),Suppliers!F82,DATE(YEAR(TODAY()),MONTH(TODAY()),1))),12)=0,1,0),IF(Suppliers!E82="One-time",IF(22=0,1,0),1)))))),"")</f>
        <v/>
      </c>
      <c r="AC84" s="10" t="str">
        <f ca="1">IFERROR(IF(OR(23&gt;=$B$1,Suppliers!A82="",NOT(ISNUMBER(Suppliers!D82)),Suppliers!L82="Expired",Suppliers!L82="Terminate"),"",Suppliers!D82*-1*IF(Suppliers!E82="Monthly",IF(AND(ISNUMBER(Suppliers!G82),(YEAR(EDATE(DATE(YEAR(TODAY()),MONTH(TODAY()),1),23))*12+MONTH(EDATE(DATE(YEAR(TODAY()),MONTH(TODAY()),1),23)))&gt;(YEAR(Suppliers!G82)*12+MONTH(Suppliers!G82))),"",1),IF(Suppliers!E82="Quarterly",IF(MOD((YEAR(EDATE(DATE(YEAR(TODAY()),MONTH(TODAY()),1),23))-YEAR(IF(ISNUMBER(Suppliers!F82),Suppliers!F82,DATE(YEAR(TODAY()),MONTH(TODAY()),1))))*12+MONTH(EDATE(DATE(YEAR(TODAY()),MONTH(TODAY()),1),23))-MONTH(IF(ISNUMBER(Suppliers!F82),Suppliers!F82,DATE(YEAR(TODAY()),MONTH(TODAY()),1))),3)=0,1,0),IF(Suppliers!E82="Semi-annual",IF(MOD((YEAR(EDATE(DATE(YEAR(TODAY()),MONTH(TODAY()),1),23))-YEAR(IF(ISNUMBER(Suppliers!F82),Suppliers!F82,DATE(YEAR(TODAY()),MONTH(TODAY()),1))))*12+MONTH(EDATE(DATE(YEAR(TODAY()),MONTH(TODAY()),1),23))-MONTH(IF(ISNUMBER(Suppliers!F82),Suppliers!F82,DATE(YEAR(TODAY()),MONTH(TODAY()),1))),6)=0,1,0),IF(Suppliers!E82="Annual",IF(MOD((YEAR(EDATE(DATE(YEAR(TODAY()),MONTH(TODAY()),1),23))-YEAR(IF(ISNUMBER(Suppliers!F82),Suppliers!F82,DATE(YEAR(TODAY()),MONTH(TODAY()),1))))*12+MONTH(EDATE(DATE(YEAR(TODAY()),MONTH(TODAY()),1),23))-MONTH(IF(ISNUMBER(Suppliers!F82),Suppliers!F82,DATE(YEAR(TODAY()),MONTH(TODAY()),1))),12)=0,1,0),IF(Suppliers!E82="One-time",IF(23=0,1,0),1)))))),"")</f>
        <v/>
      </c>
    </row>
    <row r="85" spans="1:29" ht="15" customHeight="1" x14ac:dyDescent="0.35">
      <c r="A85" s="4" t="s">
        <v>81</v>
      </c>
      <c r="B85" s="4" t="str">
        <f>IF(Clients!A15="","",Clients!A15)</f>
        <v/>
      </c>
      <c r="C85" s="10" t="str">
        <f>IF(Clients!C15="","",Clients!C15)</f>
        <v/>
      </c>
      <c r="D85" s="10" t="str">
        <f>IF(Clients!D15="","",Clients!D15)</f>
        <v/>
      </c>
      <c r="E85" s="4" t="str">
        <f>IF(Clients!E15="","",Clients!E15)</f>
        <v/>
      </c>
      <c r="F85" s="10" t="str">
        <f ca="1">IFERROR(IF(OR(0&gt;=$B$1,Clients!A15="",NOT(ISNUMBER(Clients!D15)),Clients!L15="Expired",Clients!L15="Terminate"),"",Clients!D15*1*IF(Clients!E15="Monthly",IF(AND(ISNUMBER(Clients!G15),(YEAR(EDATE(DATE(YEAR(TODAY()),MONTH(TODAY()),1),0))*12+MONTH(EDATE(DATE(YEAR(TODAY()),MONTH(TODAY()),1),0)))&gt;(YEAR(Clients!G15)*12+MONTH(Clients!G15))),"",1),IF(Clients!E15="Quarterly",IF(MOD((YEAR(EDATE(DATE(YEAR(TODAY()),MONTH(TODAY()),1),0))-YEAR(IF(ISNUMBER(Clients!F15),Clients!F15,DATE(YEAR(TODAY()),MONTH(TODAY()),1))))*12+MONTH(EDATE(DATE(YEAR(TODAY()),MONTH(TODAY()),1),0))-MONTH(IF(ISNUMBER(Clients!F15),Clients!F15,DATE(YEAR(TODAY()),MONTH(TODAY()),1))),3)=0,1,0),IF(Clients!E15="Semi-annual",IF(MOD((YEAR(EDATE(DATE(YEAR(TODAY()),MONTH(TODAY()),1),0))-YEAR(IF(ISNUMBER(Clients!F15),Clients!F15,DATE(YEAR(TODAY()),MONTH(TODAY()),1))))*12+MONTH(EDATE(DATE(YEAR(TODAY()),MONTH(TODAY()),1),0))-MONTH(IF(ISNUMBER(Clients!F15),Clients!F15,DATE(YEAR(TODAY()),MONTH(TODAY()),1))),6)=0,1,0),IF(Clients!E15="Annual",IF(MOD((YEAR(EDATE(DATE(YEAR(TODAY()),MONTH(TODAY()),1),0))-YEAR(IF(ISNUMBER(Clients!F15),Clients!F15,DATE(YEAR(TODAY()),MONTH(TODAY()),1))))*12+MONTH(EDATE(DATE(YEAR(TODAY()),MONTH(TODAY()),1),0))-MONTH(IF(ISNUMBER(Clients!F15),Clients!F15,DATE(YEAR(TODAY()),MONTH(TODAY()),1))),12)=0,1,0),IF(Clients!E15="One-time",IF(0=0,1,0),1)))))),"")</f>
        <v/>
      </c>
      <c r="G85" s="10" t="str">
        <f ca="1">IFERROR(IF(OR(1&gt;=$B$1,Clients!A15="",NOT(ISNUMBER(Clients!D15)),Clients!L15="Expired",Clients!L15="Terminate"),"",Clients!D15*1*IF(Clients!E15="Monthly",IF(AND(ISNUMBER(Clients!G15),(YEAR(EDATE(DATE(YEAR(TODAY()),MONTH(TODAY()),1),1))*12+MONTH(EDATE(DATE(YEAR(TODAY()),MONTH(TODAY()),1),1)))&gt;(YEAR(Clients!G15)*12+MONTH(Clients!G15))),"",1),IF(Clients!E15="Quarterly",IF(MOD((YEAR(EDATE(DATE(YEAR(TODAY()),MONTH(TODAY()),1),1))-YEAR(IF(ISNUMBER(Clients!F15),Clients!F15,DATE(YEAR(TODAY()),MONTH(TODAY()),1))))*12+MONTH(EDATE(DATE(YEAR(TODAY()),MONTH(TODAY()),1),1))-MONTH(IF(ISNUMBER(Clients!F15),Clients!F15,DATE(YEAR(TODAY()),MONTH(TODAY()),1))),3)=0,1,0),IF(Clients!E15="Semi-annual",IF(MOD((YEAR(EDATE(DATE(YEAR(TODAY()),MONTH(TODAY()),1),1))-YEAR(IF(ISNUMBER(Clients!F15),Clients!F15,DATE(YEAR(TODAY()),MONTH(TODAY()),1))))*12+MONTH(EDATE(DATE(YEAR(TODAY()),MONTH(TODAY()),1),1))-MONTH(IF(ISNUMBER(Clients!F15),Clients!F15,DATE(YEAR(TODAY()),MONTH(TODAY()),1))),6)=0,1,0),IF(Clients!E15="Annual",IF(MOD((YEAR(EDATE(DATE(YEAR(TODAY()),MONTH(TODAY()),1),1))-YEAR(IF(ISNUMBER(Clients!F15),Clients!F15,DATE(YEAR(TODAY()),MONTH(TODAY()),1))))*12+MONTH(EDATE(DATE(YEAR(TODAY()),MONTH(TODAY()),1),1))-MONTH(IF(ISNUMBER(Clients!F15),Clients!F15,DATE(YEAR(TODAY()),MONTH(TODAY()),1))),12)=0,1,0),IF(Clients!E15="One-time",IF(1=0,1,0),1)))))),"")</f>
        <v/>
      </c>
      <c r="H85" s="10" t="str">
        <f ca="1">IFERROR(IF(OR(2&gt;=$B$1,Clients!A15="",NOT(ISNUMBER(Clients!D15)),Clients!L15="Expired",Clients!L15="Terminate"),"",Clients!D15*1*IF(Clients!E15="Monthly",IF(AND(ISNUMBER(Clients!G15),(YEAR(EDATE(DATE(YEAR(TODAY()),MONTH(TODAY()),1),2))*12+MONTH(EDATE(DATE(YEAR(TODAY()),MONTH(TODAY()),1),2)))&gt;(YEAR(Clients!G15)*12+MONTH(Clients!G15))),"",1),IF(Clients!E15="Quarterly",IF(MOD((YEAR(EDATE(DATE(YEAR(TODAY()),MONTH(TODAY()),1),2))-YEAR(IF(ISNUMBER(Clients!F15),Clients!F15,DATE(YEAR(TODAY()),MONTH(TODAY()),1))))*12+MONTH(EDATE(DATE(YEAR(TODAY()),MONTH(TODAY()),1),2))-MONTH(IF(ISNUMBER(Clients!F15),Clients!F15,DATE(YEAR(TODAY()),MONTH(TODAY()),1))),3)=0,1,0),IF(Clients!E15="Semi-annual",IF(MOD((YEAR(EDATE(DATE(YEAR(TODAY()),MONTH(TODAY()),1),2))-YEAR(IF(ISNUMBER(Clients!F15),Clients!F15,DATE(YEAR(TODAY()),MONTH(TODAY()),1))))*12+MONTH(EDATE(DATE(YEAR(TODAY()),MONTH(TODAY()),1),2))-MONTH(IF(ISNUMBER(Clients!F15),Clients!F15,DATE(YEAR(TODAY()),MONTH(TODAY()),1))),6)=0,1,0),IF(Clients!E15="Annual",IF(MOD((YEAR(EDATE(DATE(YEAR(TODAY()),MONTH(TODAY()),1),2))-YEAR(IF(ISNUMBER(Clients!F15),Clients!F15,DATE(YEAR(TODAY()),MONTH(TODAY()),1))))*12+MONTH(EDATE(DATE(YEAR(TODAY()),MONTH(TODAY()),1),2))-MONTH(IF(ISNUMBER(Clients!F15),Clients!F15,DATE(YEAR(TODAY()),MONTH(TODAY()),1))),12)=0,1,0),IF(Clients!E15="One-time",IF(2=0,1,0),1)))))),"")</f>
        <v/>
      </c>
      <c r="I85" s="10" t="str">
        <f ca="1">IFERROR(IF(OR(3&gt;=$B$1,Clients!A15="",NOT(ISNUMBER(Clients!D15)),Clients!L15="Expired",Clients!L15="Terminate"),"",Clients!D15*1*IF(Clients!E15="Monthly",IF(AND(ISNUMBER(Clients!G15),(YEAR(EDATE(DATE(YEAR(TODAY()),MONTH(TODAY()),1),3))*12+MONTH(EDATE(DATE(YEAR(TODAY()),MONTH(TODAY()),1),3)))&gt;(YEAR(Clients!G15)*12+MONTH(Clients!G15))),"",1),IF(Clients!E15="Quarterly",IF(MOD((YEAR(EDATE(DATE(YEAR(TODAY()),MONTH(TODAY()),1),3))-YEAR(IF(ISNUMBER(Clients!F15),Clients!F15,DATE(YEAR(TODAY()),MONTH(TODAY()),1))))*12+MONTH(EDATE(DATE(YEAR(TODAY()),MONTH(TODAY()),1),3))-MONTH(IF(ISNUMBER(Clients!F15),Clients!F15,DATE(YEAR(TODAY()),MONTH(TODAY()),1))),3)=0,1,0),IF(Clients!E15="Semi-annual",IF(MOD((YEAR(EDATE(DATE(YEAR(TODAY()),MONTH(TODAY()),1),3))-YEAR(IF(ISNUMBER(Clients!F15),Clients!F15,DATE(YEAR(TODAY()),MONTH(TODAY()),1))))*12+MONTH(EDATE(DATE(YEAR(TODAY()),MONTH(TODAY()),1),3))-MONTH(IF(ISNUMBER(Clients!F15),Clients!F15,DATE(YEAR(TODAY()),MONTH(TODAY()),1))),6)=0,1,0),IF(Clients!E15="Annual",IF(MOD((YEAR(EDATE(DATE(YEAR(TODAY()),MONTH(TODAY()),1),3))-YEAR(IF(ISNUMBER(Clients!F15),Clients!F15,DATE(YEAR(TODAY()),MONTH(TODAY()),1))))*12+MONTH(EDATE(DATE(YEAR(TODAY()),MONTH(TODAY()),1),3))-MONTH(IF(ISNUMBER(Clients!F15),Clients!F15,DATE(YEAR(TODAY()),MONTH(TODAY()),1))),12)=0,1,0),IF(Clients!E15="One-time",IF(3=0,1,0),1)))))),"")</f>
        <v/>
      </c>
      <c r="J85" s="10" t="str">
        <f ca="1">IFERROR(IF(OR(4&gt;=$B$1,Clients!A15="",NOT(ISNUMBER(Clients!D15)),Clients!L15="Expired",Clients!L15="Terminate"),"",Clients!D15*1*IF(Clients!E15="Monthly",IF(AND(ISNUMBER(Clients!G15),(YEAR(EDATE(DATE(YEAR(TODAY()),MONTH(TODAY()),1),4))*12+MONTH(EDATE(DATE(YEAR(TODAY()),MONTH(TODAY()),1),4)))&gt;(YEAR(Clients!G15)*12+MONTH(Clients!G15))),"",1),IF(Clients!E15="Quarterly",IF(MOD((YEAR(EDATE(DATE(YEAR(TODAY()),MONTH(TODAY()),1),4))-YEAR(IF(ISNUMBER(Clients!F15),Clients!F15,DATE(YEAR(TODAY()),MONTH(TODAY()),1))))*12+MONTH(EDATE(DATE(YEAR(TODAY()),MONTH(TODAY()),1),4))-MONTH(IF(ISNUMBER(Clients!F15),Clients!F15,DATE(YEAR(TODAY()),MONTH(TODAY()),1))),3)=0,1,0),IF(Clients!E15="Semi-annual",IF(MOD((YEAR(EDATE(DATE(YEAR(TODAY()),MONTH(TODAY()),1),4))-YEAR(IF(ISNUMBER(Clients!F15),Clients!F15,DATE(YEAR(TODAY()),MONTH(TODAY()),1))))*12+MONTH(EDATE(DATE(YEAR(TODAY()),MONTH(TODAY()),1),4))-MONTH(IF(ISNUMBER(Clients!F15),Clients!F15,DATE(YEAR(TODAY()),MONTH(TODAY()),1))),6)=0,1,0),IF(Clients!E15="Annual",IF(MOD((YEAR(EDATE(DATE(YEAR(TODAY()),MONTH(TODAY()),1),4))-YEAR(IF(ISNUMBER(Clients!F15),Clients!F15,DATE(YEAR(TODAY()),MONTH(TODAY()),1))))*12+MONTH(EDATE(DATE(YEAR(TODAY()),MONTH(TODAY()),1),4))-MONTH(IF(ISNUMBER(Clients!F15),Clients!F15,DATE(YEAR(TODAY()),MONTH(TODAY()),1))),12)=0,1,0),IF(Clients!E15="One-time",IF(4=0,1,0),1)))))),"")</f>
        <v/>
      </c>
      <c r="K85" s="10" t="str">
        <f ca="1">IFERROR(IF(OR(5&gt;=$B$1,Clients!A15="",NOT(ISNUMBER(Clients!D15)),Clients!L15="Expired",Clients!L15="Terminate"),"",Clients!D15*1*IF(Clients!E15="Monthly",IF(AND(ISNUMBER(Clients!G15),(YEAR(EDATE(DATE(YEAR(TODAY()),MONTH(TODAY()),1),5))*12+MONTH(EDATE(DATE(YEAR(TODAY()),MONTH(TODAY()),1),5)))&gt;(YEAR(Clients!G15)*12+MONTH(Clients!G15))),"",1),IF(Clients!E15="Quarterly",IF(MOD((YEAR(EDATE(DATE(YEAR(TODAY()),MONTH(TODAY()),1),5))-YEAR(IF(ISNUMBER(Clients!F15),Clients!F15,DATE(YEAR(TODAY()),MONTH(TODAY()),1))))*12+MONTH(EDATE(DATE(YEAR(TODAY()),MONTH(TODAY()),1),5))-MONTH(IF(ISNUMBER(Clients!F15),Clients!F15,DATE(YEAR(TODAY()),MONTH(TODAY()),1))),3)=0,1,0),IF(Clients!E15="Semi-annual",IF(MOD((YEAR(EDATE(DATE(YEAR(TODAY()),MONTH(TODAY()),1),5))-YEAR(IF(ISNUMBER(Clients!F15),Clients!F15,DATE(YEAR(TODAY()),MONTH(TODAY()),1))))*12+MONTH(EDATE(DATE(YEAR(TODAY()),MONTH(TODAY()),1),5))-MONTH(IF(ISNUMBER(Clients!F15),Clients!F15,DATE(YEAR(TODAY()),MONTH(TODAY()),1))),6)=0,1,0),IF(Clients!E15="Annual",IF(MOD((YEAR(EDATE(DATE(YEAR(TODAY()),MONTH(TODAY()),1),5))-YEAR(IF(ISNUMBER(Clients!F15),Clients!F15,DATE(YEAR(TODAY()),MONTH(TODAY()),1))))*12+MONTH(EDATE(DATE(YEAR(TODAY()),MONTH(TODAY()),1),5))-MONTH(IF(ISNUMBER(Clients!F15),Clients!F15,DATE(YEAR(TODAY()),MONTH(TODAY()),1))),12)=0,1,0),IF(Clients!E15="One-time",IF(5=0,1,0),1)))))),"")</f>
        <v/>
      </c>
      <c r="L85" s="10" t="str">
        <f ca="1">IFERROR(IF(OR(6&gt;=$B$1,Clients!A15="",NOT(ISNUMBER(Clients!D15)),Clients!L15="Expired",Clients!L15="Terminate"),"",Clients!D15*1*IF(Clients!E15="Monthly",IF(AND(ISNUMBER(Clients!G15),(YEAR(EDATE(DATE(YEAR(TODAY()),MONTH(TODAY()),1),6))*12+MONTH(EDATE(DATE(YEAR(TODAY()),MONTH(TODAY()),1),6)))&gt;(YEAR(Clients!G15)*12+MONTH(Clients!G15))),"",1),IF(Clients!E15="Quarterly",IF(MOD((YEAR(EDATE(DATE(YEAR(TODAY()),MONTH(TODAY()),1),6))-YEAR(IF(ISNUMBER(Clients!F15),Clients!F15,DATE(YEAR(TODAY()),MONTH(TODAY()),1))))*12+MONTH(EDATE(DATE(YEAR(TODAY()),MONTH(TODAY()),1),6))-MONTH(IF(ISNUMBER(Clients!F15),Clients!F15,DATE(YEAR(TODAY()),MONTH(TODAY()),1))),3)=0,1,0),IF(Clients!E15="Semi-annual",IF(MOD((YEAR(EDATE(DATE(YEAR(TODAY()),MONTH(TODAY()),1),6))-YEAR(IF(ISNUMBER(Clients!F15),Clients!F15,DATE(YEAR(TODAY()),MONTH(TODAY()),1))))*12+MONTH(EDATE(DATE(YEAR(TODAY()),MONTH(TODAY()),1),6))-MONTH(IF(ISNUMBER(Clients!F15),Clients!F15,DATE(YEAR(TODAY()),MONTH(TODAY()),1))),6)=0,1,0),IF(Clients!E15="Annual",IF(MOD((YEAR(EDATE(DATE(YEAR(TODAY()),MONTH(TODAY()),1),6))-YEAR(IF(ISNUMBER(Clients!F15),Clients!F15,DATE(YEAR(TODAY()),MONTH(TODAY()),1))))*12+MONTH(EDATE(DATE(YEAR(TODAY()),MONTH(TODAY()),1),6))-MONTH(IF(ISNUMBER(Clients!F15),Clients!F15,DATE(YEAR(TODAY()),MONTH(TODAY()),1))),12)=0,1,0),IF(Clients!E15="One-time",IF(6=0,1,0),1)))))),"")</f>
        <v/>
      </c>
      <c r="M85" s="10" t="str">
        <f ca="1">IFERROR(IF(OR(7&gt;=$B$1,Clients!A15="",NOT(ISNUMBER(Clients!D15)),Clients!L15="Expired",Clients!L15="Terminate"),"",Clients!D15*1*IF(Clients!E15="Monthly",IF(AND(ISNUMBER(Clients!G15),(YEAR(EDATE(DATE(YEAR(TODAY()),MONTH(TODAY()),1),7))*12+MONTH(EDATE(DATE(YEAR(TODAY()),MONTH(TODAY()),1),7)))&gt;(YEAR(Clients!G15)*12+MONTH(Clients!G15))),"",1),IF(Clients!E15="Quarterly",IF(MOD((YEAR(EDATE(DATE(YEAR(TODAY()),MONTH(TODAY()),1),7))-YEAR(IF(ISNUMBER(Clients!F15),Clients!F15,DATE(YEAR(TODAY()),MONTH(TODAY()),1))))*12+MONTH(EDATE(DATE(YEAR(TODAY()),MONTH(TODAY()),1),7))-MONTH(IF(ISNUMBER(Clients!F15),Clients!F15,DATE(YEAR(TODAY()),MONTH(TODAY()),1))),3)=0,1,0),IF(Clients!E15="Semi-annual",IF(MOD((YEAR(EDATE(DATE(YEAR(TODAY()),MONTH(TODAY()),1),7))-YEAR(IF(ISNUMBER(Clients!F15),Clients!F15,DATE(YEAR(TODAY()),MONTH(TODAY()),1))))*12+MONTH(EDATE(DATE(YEAR(TODAY()),MONTH(TODAY()),1),7))-MONTH(IF(ISNUMBER(Clients!F15),Clients!F15,DATE(YEAR(TODAY()),MONTH(TODAY()),1))),6)=0,1,0),IF(Clients!E15="Annual",IF(MOD((YEAR(EDATE(DATE(YEAR(TODAY()),MONTH(TODAY()),1),7))-YEAR(IF(ISNUMBER(Clients!F15),Clients!F15,DATE(YEAR(TODAY()),MONTH(TODAY()),1))))*12+MONTH(EDATE(DATE(YEAR(TODAY()),MONTH(TODAY()),1),7))-MONTH(IF(ISNUMBER(Clients!F15),Clients!F15,DATE(YEAR(TODAY()),MONTH(TODAY()),1))),12)=0,1,0),IF(Clients!E15="One-time",IF(7=0,1,0),1)))))),"")</f>
        <v/>
      </c>
      <c r="N85" s="10" t="str">
        <f ca="1">IFERROR(IF(OR(8&gt;=$B$1,Clients!A15="",NOT(ISNUMBER(Clients!D15)),Clients!L15="Expired",Clients!L15="Terminate"),"",Clients!D15*1*IF(Clients!E15="Monthly",IF(AND(ISNUMBER(Clients!G15),(YEAR(EDATE(DATE(YEAR(TODAY()),MONTH(TODAY()),1),8))*12+MONTH(EDATE(DATE(YEAR(TODAY()),MONTH(TODAY()),1),8)))&gt;(YEAR(Clients!G15)*12+MONTH(Clients!G15))),"",1),IF(Clients!E15="Quarterly",IF(MOD((YEAR(EDATE(DATE(YEAR(TODAY()),MONTH(TODAY()),1),8))-YEAR(IF(ISNUMBER(Clients!F15),Clients!F15,DATE(YEAR(TODAY()),MONTH(TODAY()),1))))*12+MONTH(EDATE(DATE(YEAR(TODAY()),MONTH(TODAY()),1),8))-MONTH(IF(ISNUMBER(Clients!F15),Clients!F15,DATE(YEAR(TODAY()),MONTH(TODAY()),1))),3)=0,1,0),IF(Clients!E15="Semi-annual",IF(MOD((YEAR(EDATE(DATE(YEAR(TODAY()),MONTH(TODAY()),1),8))-YEAR(IF(ISNUMBER(Clients!F15),Clients!F15,DATE(YEAR(TODAY()),MONTH(TODAY()),1))))*12+MONTH(EDATE(DATE(YEAR(TODAY()),MONTH(TODAY()),1),8))-MONTH(IF(ISNUMBER(Clients!F15),Clients!F15,DATE(YEAR(TODAY()),MONTH(TODAY()),1))),6)=0,1,0),IF(Clients!E15="Annual",IF(MOD((YEAR(EDATE(DATE(YEAR(TODAY()),MONTH(TODAY()),1),8))-YEAR(IF(ISNUMBER(Clients!F15),Clients!F15,DATE(YEAR(TODAY()),MONTH(TODAY()),1))))*12+MONTH(EDATE(DATE(YEAR(TODAY()),MONTH(TODAY()),1),8))-MONTH(IF(ISNUMBER(Clients!F15),Clients!F15,DATE(YEAR(TODAY()),MONTH(TODAY()),1))),12)=0,1,0),IF(Clients!E15="One-time",IF(8=0,1,0),1)))))),"")</f>
        <v/>
      </c>
      <c r="O85" s="10" t="str">
        <f ca="1">IFERROR(IF(OR(9&gt;=$B$1,Clients!A15="",NOT(ISNUMBER(Clients!D15)),Clients!L15="Expired",Clients!L15="Terminate"),"",Clients!D15*1*IF(Clients!E15="Monthly",IF(AND(ISNUMBER(Clients!G15),(YEAR(EDATE(DATE(YEAR(TODAY()),MONTH(TODAY()),1),9))*12+MONTH(EDATE(DATE(YEAR(TODAY()),MONTH(TODAY()),1),9)))&gt;(YEAR(Clients!G15)*12+MONTH(Clients!G15))),"",1),IF(Clients!E15="Quarterly",IF(MOD((YEAR(EDATE(DATE(YEAR(TODAY()),MONTH(TODAY()),1),9))-YEAR(IF(ISNUMBER(Clients!F15),Clients!F15,DATE(YEAR(TODAY()),MONTH(TODAY()),1))))*12+MONTH(EDATE(DATE(YEAR(TODAY()),MONTH(TODAY()),1),9))-MONTH(IF(ISNUMBER(Clients!F15),Clients!F15,DATE(YEAR(TODAY()),MONTH(TODAY()),1))),3)=0,1,0),IF(Clients!E15="Semi-annual",IF(MOD((YEAR(EDATE(DATE(YEAR(TODAY()),MONTH(TODAY()),1),9))-YEAR(IF(ISNUMBER(Clients!F15),Clients!F15,DATE(YEAR(TODAY()),MONTH(TODAY()),1))))*12+MONTH(EDATE(DATE(YEAR(TODAY()),MONTH(TODAY()),1),9))-MONTH(IF(ISNUMBER(Clients!F15),Clients!F15,DATE(YEAR(TODAY()),MONTH(TODAY()),1))),6)=0,1,0),IF(Clients!E15="Annual",IF(MOD((YEAR(EDATE(DATE(YEAR(TODAY()),MONTH(TODAY()),1),9))-YEAR(IF(ISNUMBER(Clients!F15),Clients!F15,DATE(YEAR(TODAY()),MONTH(TODAY()),1))))*12+MONTH(EDATE(DATE(YEAR(TODAY()),MONTH(TODAY()),1),9))-MONTH(IF(ISNUMBER(Clients!F15),Clients!F15,DATE(YEAR(TODAY()),MONTH(TODAY()),1))),12)=0,1,0),IF(Clients!E15="One-time",IF(9=0,1,0),1)))))),"")</f>
        <v/>
      </c>
      <c r="P85" s="10" t="str">
        <f ca="1">IFERROR(IF(OR(10&gt;=$B$1,Clients!A15="",NOT(ISNUMBER(Clients!D15)),Clients!L15="Expired",Clients!L15="Terminate"),"",Clients!D15*1*IF(Clients!E15="Monthly",IF(AND(ISNUMBER(Clients!G15),(YEAR(EDATE(DATE(YEAR(TODAY()),MONTH(TODAY()),1),10))*12+MONTH(EDATE(DATE(YEAR(TODAY()),MONTH(TODAY()),1),10)))&gt;(YEAR(Clients!G15)*12+MONTH(Clients!G15))),"",1),IF(Clients!E15="Quarterly",IF(MOD((YEAR(EDATE(DATE(YEAR(TODAY()),MONTH(TODAY()),1),10))-YEAR(IF(ISNUMBER(Clients!F15),Clients!F15,DATE(YEAR(TODAY()),MONTH(TODAY()),1))))*12+MONTH(EDATE(DATE(YEAR(TODAY()),MONTH(TODAY()),1),10))-MONTH(IF(ISNUMBER(Clients!F15),Clients!F15,DATE(YEAR(TODAY()),MONTH(TODAY()),1))),3)=0,1,0),IF(Clients!E15="Semi-annual",IF(MOD((YEAR(EDATE(DATE(YEAR(TODAY()),MONTH(TODAY()),1),10))-YEAR(IF(ISNUMBER(Clients!F15),Clients!F15,DATE(YEAR(TODAY()),MONTH(TODAY()),1))))*12+MONTH(EDATE(DATE(YEAR(TODAY()),MONTH(TODAY()),1),10))-MONTH(IF(ISNUMBER(Clients!F15),Clients!F15,DATE(YEAR(TODAY()),MONTH(TODAY()),1))),6)=0,1,0),IF(Clients!E15="Annual",IF(MOD((YEAR(EDATE(DATE(YEAR(TODAY()),MONTH(TODAY()),1),10))-YEAR(IF(ISNUMBER(Clients!F15),Clients!F15,DATE(YEAR(TODAY()),MONTH(TODAY()),1))))*12+MONTH(EDATE(DATE(YEAR(TODAY()),MONTH(TODAY()),1),10))-MONTH(IF(ISNUMBER(Clients!F15),Clients!F15,DATE(YEAR(TODAY()),MONTH(TODAY()),1))),12)=0,1,0),IF(Clients!E15="One-time",IF(10=0,1,0),1)))))),"")</f>
        <v/>
      </c>
      <c r="Q85" s="10" t="str">
        <f ca="1">IFERROR(IF(OR(11&gt;=$B$1,Clients!A15="",NOT(ISNUMBER(Clients!D15)),Clients!L15="Expired",Clients!L15="Terminate"),"",Clients!D15*1*IF(Clients!E15="Monthly",IF(AND(ISNUMBER(Clients!G15),(YEAR(EDATE(DATE(YEAR(TODAY()),MONTH(TODAY()),1),11))*12+MONTH(EDATE(DATE(YEAR(TODAY()),MONTH(TODAY()),1),11)))&gt;(YEAR(Clients!G15)*12+MONTH(Clients!G15))),"",1),IF(Clients!E15="Quarterly",IF(MOD((YEAR(EDATE(DATE(YEAR(TODAY()),MONTH(TODAY()),1),11))-YEAR(IF(ISNUMBER(Clients!F15),Clients!F15,DATE(YEAR(TODAY()),MONTH(TODAY()),1))))*12+MONTH(EDATE(DATE(YEAR(TODAY()),MONTH(TODAY()),1),11))-MONTH(IF(ISNUMBER(Clients!F15),Clients!F15,DATE(YEAR(TODAY()),MONTH(TODAY()),1))),3)=0,1,0),IF(Clients!E15="Semi-annual",IF(MOD((YEAR(EDATE(DATE(YEAR(TODAY()),MONTH(TODAY()),1),11))-YEAR(IF(ISNUMBER(Clients!F15),Clients!F15,DATE(YEAR(TODAY()),MONTH(TODAY()),1))))*12+MONTH(EDATE(DATE(YEAR(TODAY()),MONTH(TODAY()),1),11))-MONTH(IF(ISNUMBER(Clients!F15),Clients!F15,DATE(YEAR(TODAY()),MONTH(TODAY()),1))),6)=0,1,0),IF(Clients!E15="Annual",IF(MOD((YEAR(EDATE(DATE(YEAR(TODAY()),MONTH(TODAY()),1),11))-YEAR(IF(ISNUMBER(Clients!F15),Clients!F15,DATE(YEAR(TODAY()),MONTH(TODAY()),1))))*12+MONTH(EDATE(DATE(YEAR(TODAY()),MONTH(TODAY()),1),11))-MONTH(IF(ISNUMBER(Clients!F15),Clients!F15,DATE(YEAR(TODAY()),MONTH(TODAY()),1))),12)=0,1,0),IF(Clients!E15="One-time",IF(11=0,1,0),1)))))),"")</f>
        <v/>
      </c>
      <c r="R85" s="10" t="str">
        <f ca="1">IFERROR(IF(OR(12&gt;=$B$1,Suppliers!A83="",NOT(ISNUMBER(Suppliers!D83)),Suppliers!L83="Expired",Suppliers!L83="Terminate"),"",Suppliers!D83*-1*IF(Suppliers!E83="Monthly",IF(AND(ISNUMBER(Suppliers!G83),(YEAR(EDATE(DATE(YEAR(TODAY()),MONTH(TODAY()),1),12))*12+MONTH(EDATE(DATE(YEAR(TODAY()),MONTH(TODAY()),1),12)))&gt;(YEAR(Suppliers!G83)*12+MONTH(Suppliers!G83))),"",1),IF(Suppliers!E83="Quarterly",IF(MOD((YEAR(EDATE(DATE(YEAR(TODAY()),MONTH(TODAY()),1),12))-YEAR(IF(ISNUMBER(Suppliers!F83),Suppliers!F83,DATE(YEAR(TODAY()),MONTH(TODAY()),1))))*12+MONTH(EDATE(DATE(YEAR(TODAY()),MONTH(TODAY()),1),12))-MONTH(IF(ISNUMBER(Suppliers!F83),Suppliers!F83,DATE(YEAR(TODAY()),MONTH(TODAY()),1))),3)=0,1,0),IF(Suppliers!E83="Semi-annual",IF(MOD((YEAR(EDATE(DATE(YEAR(TODAY()),MONTH(TODAY()),1),12))-YEAR(IF(ISNUMBER(Suppliers!F83),Suppliers!F83,DATE(YEAR(TODAY()),MONTH(TODAY()),1))))*12+MONTH(EDATE(DATE(YEAR(TODAY()),MONTH(TODAY()),1),12))-MONTH(IF(ISNUMBER(Suppliers!F83),Suppliers!F83,DATE(YEAR(TODAY()),MONTH(TODAY()),1))),6)=0,1,0),IF(Suppliers!E83="Annual",IF(MOD((YEAR(EDATE(DATE(YEAR(TODAY()),MONTH(TODAY()),1),12))-YEAR(IF(ISNUMBER(Suppliers!F83),Suppliers!F83,DATE(YEAR(TODAY()),MONTH(TODAY()),1))))*12+MONTH(EDATE(DATE(YEAR(TODAY()),MONTH(TODAY()),1),12))-MONTH(IF(ISNUMBER(Suppliers!F83),Suppliers!F83,DATE(YEAR(TODAY()),MONTH(TODAY()),1))),12)=0,1,0),IF(Suppliers!E83="One-time",IF(12=0,1,0),1)))))),"")</f>
        <v/>
      </c>
      <c r="S85" s="10" t="str">
        <f ca="1">IFERROR(IF(OR(13&gt;=$B$1,Suppliers!A83="",NOT(ISNUMBER(Suppliers!D83)),Suppliers!L83="Expired",Suppliers!L83="Terminate"),"",Suppliers!D83*-1*IF(Suppliers!E83="Monthly",IF(AND(ISNUMBER(Suppliers!G83),(YEAR(EDATE(DATE(YEAR(TODAY()),MONTH(TODAY()),1),13))*12+MONTH(EDATE(DATE(YEAR(TODAY()),MONTH(TODAY()),1),13)))&gt;(YEAR(Suppliers!G83)*12+MONTH(Suppliers!G83))),"",1),IF(Suppliers!E83="Quarterly",IF(MOD((YEAR(EDATE(DATE(YEAR(TODAY()),MONTH(TODAY()),1),13))-YEAR(IF(ISNUMBER(Suppliers!F83),Suppliers!F83,DATE(YEAR(TODAY()),MONTH(TODAY()),1))))*12+MONTH(EDATE(DATE(YEAR(TODAY()),MONTH(TODAY()),1),13))-MONTH(IF(ISNUMBER(Suppliers!F83),Suppliers!F83,DATE(YEAR(TODAY()),MONTH(TODAY()),1))),3)=0,1,0),IF(Suppliers!E83="Semi-annual",IF(MOD((YEAR(EDATE(DATE(YEAR(TODAY()),MONTH(TODAY()),1),13))-YEAR(IF(ISNUMBER(Suppliers!F83),Suppliers!F83,DATE(YEAR(TODAY()),MONTH(TODAY()),1))))*12+MONTH(EDATE(DATE(YEAR(TODAY()),MONTH(TODAY()),1),13))-MONTH(IF(ISNUMBER(Suppliers!F83),Suppliers!F83,DATE(YEAR(TODAY()),MONTH(TODAY()),1))),6)=0,1,0),IF(Suppliers!E83="Annual",IF(MOD((YEAR(EDATE(DATE(YEAR(TODAY()),MONTH(TODAY()),1),13))-YEAR(IF(ISNUMBER(Suppliers!F83),Suppliers!F83,DATE(YEAR(TODAY()),MONTH(TODAY()),1))))*12+MONTH(EDATE(DATE(YEAR(TODAY()),MONTH(TODAY()),1),13))-MONTH(IF(ISNUMBER(Suppliers!F83),Suppliers!F83,DATE(YEAR(TODAY()),MONTH(TODAY()),1))),12)=0,1,0),IF(Suppliers!E83="One-time",IF(13=0,1,0),1)))))),"")</f>
        <v/>
      </c>
      <c r="T85" s="10" t="str">
        <f ca="1">IFERROR(IF(OR(14&gt;=$B$1,Suppliers!A83="",NOT(ISNUMBER(Suppliers!D83)),Suppliers!L83="Expired",Suppliers!L83="Terminate"),"",Suppliers!D83*-1*IF(Suppliers!E83="Monthly",IF(AND(ISNUMBER(Suppliers!G83),(YEAR(EDATE(DATE(YEAR(TODAY()),MONTH(TODAY()),1),14))*12+MONTH(EDATE(DATE(YEAR(TODAY()),MONTH(TODAY()),1),14)))&gt;(YEAR(Suppliers!G83)*12+MONTH(Suppliers!G83))),"",1),IF(Suppliers!E83="Quarterly",IF(MOD((YEAR(EDATE(DATE(YEAR(TODAY()),MONTH(TODAY()),1),14))-YEAR(IF(ISNUMBER(Suppliers!F83),Suppliers!F83,DATE(YEAR(TODAY()),MONTH(TODAY()),1))))*12+MONTH(EDATE(DATE(YEAR(TODAY()),MONTH(TODAY()),1),14))-MONTH(IF(ISNUMBER(Suppliers!F83),Suppliers!F83,DATE(YEAR(TODAY()),MONTH(TODAY()),1))),3)=0,1,0),IF(Suppliers!E83="Semi-annual",IF(MOD((YEAR(EDATE(DATE(YEAR(TODAY()),MONTH(TODAY()),1),14))-YEAR(IF(ISNUMBER(Suppliers!F83),Suppliers!F83,DATE(YEAR(TODAY()),MONTH(TODAY()),1))))*12+MONTH(EDATE(DATE(YEAR(TODAY()),MONTH(TODAY()),1),14))-MONTH(IF(ISNUMBER(Suppliers!F83),Suppliers!F83,DATE(YEAR(TODAY()),MONTH(TODAY()),1))),6)=0,1,0),IF(Suppliers!E83="Annual",IF(MOD((YEAR(EDATE(DATE(YEAR(TODAY()),MONTH(TODAY()),1),14))-YEAR(IF(ISNUMBER(Suppliers!F83),Suppliers!F83,DATE(YEAR(TODAY()),MONTH(TODAY()),1))))*12+MONTH(EDATE(DATE(YEAR(TODAY()),MONTH(TODAY()),1),14))-MONTH(IF(ISNUMBER(Suppliers!F83),Suppliers!F83,DATE(YEAR(TODAY()),MONTH(TODAY()),1))),12)=0,1,0),IF(Suppliers!E83="One-time",IF(14=0,1,0),1)))))),"")</f>
        <v/>
      </c>
      <c r="U85" s="10" t="str">
        <f ca="1">IFERROR(IF(OR(15&gt;=$B$1,Suppliers!A83="",NOT(ISNUMBER(Suppliers!D83)),Suppliers!L83="Expired",Suppliers!L83="Terminate"),"",Suppliers!D83*-1*IF(Suppliers!E83="Monthly",IF(AND(ISNUMBER(Suppliers!G83),(YEAR(EDATE(DATE(YEAR(TODAY()),MONTH(TODAY()),1),15))*12+MONTH(EDATE(DATE(YEAR(TODAY()),MONTH(TODAY()),1),15)))&gt;(YEAR(Suppliers!G83)*12+MONTH(Suppliers!G83))),"",1),IF(Suppliers!E83="Quarterly",IF(MOD((YEAR(EDATE(DATE(YEAR(TODAY()),MONTH(TODAY()),1),15))-YEAR(IF(ISNUMBER(Suppliers!F83),Suppliers!F83,DATE(YEAR(TODAY()),MONTH(TODAY()),1))))*12+MONTH(EDATE(DATE(YEAR(TODAY()),MONTH(TODAY()),1),15))-MONTH(IF(ISNUMBER(Suppliers!F83),Suppliers!F83,DATE(YEAR(TODAY()),MONTH(TODAY()),1))),3)=0,1,0),IF(Suppliers!E83="Semi-annual",IF(MOD((YEAR(EDATE(DATE(YEAR(TODAY()),MONTH(TODAY()),1),15))-YEAR(IF(ISNUMBER(Suppliers!F83),Suppliers!F83,DATE(YEAR(TODAY()),MONTH(TODAY()),1))))*12+MONTH(EDATE(DATE(YEAR(TODAY()),MONTH(TODAY()),1),15))-MONTH(IF(ISNUMBER(Suppliers!F83),Suppliers!F83,DATE(YEAR(TODAY()),MONTH(TODAY()),1))),6)=0,1,0),IF(Suppliers!E83="Annual",IF(MOD((YEAR(EDATE(DATE(YEAR(TODAY()),MONTH(TODAY()),1),15))-YEAR(IF(ISNUMBER(Suppliers!F83),Suppliers!F83,DATE(YEAR(TODAY()),MONTH(TODAY()),1))))*12+MONTH(EDATE(DATE(YEAR(TODAY()),MONTH(TODAY()),1),15))-MONTH(IF(ISNUMBER(Suppliers!F83),Suppliers!F83,DATE(YEAR(TODAY()),MONTH(TODAY()),1))),12)=0,1,0),IF(Suppliers!E83="One-time",IF(15=0,1,0),1)))))),"")</f>
        <v/>
      </c>
      <c r="V85" s="10" t="str">
        <f ca="1">IFERROR(IF(OR(16&gt;=$B$1,Suppliers!A83="",NOT(ISNUMBER(Suppliers!D83)),Suppliers!L83="Expired",Suppliers!L83="Terminate"),"",Suppliers!D83*-1*IF(Suppliers!E83="Monthly",IF(AND(ISNUMBER(Suppliers!G83),(YEAR(EDATE(DATE(YEAR(TODAY()),MONTH(TODAY()),1),16))*12+MONTH(EDATE(DATE(YEAR(TODAY()),MONTH(TODAY()),1),16)))&gt;(YEAR(Suppliers!G83)*12+MONTH(Suppliers!G83))),"",1),IF(Suppliers!E83="Quarterly",IF(MOD((YEAR(EDATE(DATE(YEAR(TODAY()),MONTH(TODAY()),1),16))-YEAR(IF(ISNUMBER(Suppliers!F83),Suppliers!F83,DATE(YEAR(TODAY()),MONTH(TODAY()),1))))*12+MONTH(EDATE(DATE(YEAR(TODAY()),MONTH(TODAY()),1),16))-MONTH(IF(ISNUMBER(Suppliers!F83),Suppliers!F83,DATE(YEAR(TODAY()),MONTH(TODAY()),1))),3)=0,1,0),IF(Suppliers!E83="Semi-annual",IF(MOD((YEAR(EDATE(DATE(YEAR(TODAY()),MONTH(TODAY()),1),16))-YEAR(IF(ISNUMBER(Suppliers!F83),Suppliers!F83,DATE(YEAR(TODAY()),MONTH(TODAY()),1))))*12+MONTH(EDATE(DATE(YEAR(TODAY()),MONTH(TODAY()),1),16))-MONTH(IF(ISNUMBER(Suppliers!F83),Suppliers!F83,DATE(YEAR(TODAY()),MONTH(TODAY()),1))),6)=0,1,0),IF(Suppliers!E83="Annual",IF(MOD((YEAR(EDATE(DATE(YEAR(TODAY()),MONTH(TODAY()),1),16))-YEAR(IF(ISNUMBER(Suppliers!F83),Suppliers!F83,DATE(YEAR(TODAY()),MONTH(TODAY()),1))))*12+MONTH(EDATE(DATE(YEAR(TODAY()),MONTH(TODAY()),1),16))-MONTH(IF(ISNUMBER(Suppliers!F83),Suppliers!F83,DATE(YEAR(TODAY()),MONTH(TODAY()),1))),12)=0,1,0),IF(Suppliers!E83="One-time",IF(16=0,1,0),1)))))),"")</f>
        <v/>
      </c>
      <c r="W85" s="10" t="str">
        <f ca="1">IFERROR(IF(OR(17&gt;=$B$1,Suppliers!A83="",NOT(ISNUMBER(Suppliers!D83)),Suppliers!L83="Expired",Suppliers!L83="Terminate"),"",Suppliers!D83*-1*IF(Suppliers!E83="Monthly",IF(AND(ISNUMBER(Suppliers!G83),(YEAR(EDATE(DATE(YEAR(TODAY()),MONTH(TODAY()),1),17))*12+MONTH(EDATE(DATE(YEAR(TODAY()),MONTH(TODAY()),1),17)))&gt;(YEAR(Suppliers!G83)*12+MONTH(Suppliers!G83))),"",1),IF(Suppliers!E83="Quarterly",IF(MOD((YEAR(EDATE(DATE(YEAR(TODAY()),MONTH(TODAY()),1),17))-YEAR(IF(ISNUMBER(Suppliers!F83),Suppliers!F83,DATE(YEAR(TODAY()),MONTH(TODAY()),1))))*12+MONTH(EDATE(DATE(YEAR(TODAY()),MONTH(TODAY()),1),17))-MONTH(IF(ISNUMBER(Suppliers!F83),Suppliers!F83,DATE(YEAR(TODAY()),MONTH(TODAY()),1))),3)=0,1,0),IF(Suppliers!E83="Semi-annual",IF(MOD((YEAR(EDATE(DATE(YEAR(TODAY()),MONTH(TODAY()),1),17))-YEAR(IF(ISNUMBER(Suppliers!F83),Suppliers!F83,DATE(YEAR(TODAY()),MONTH(TODAY()),1))))*12+MONTH(EDATE(DATE(YEAR(TODAY()),MONTH(TODAY()),1),17))-MONTH(IF(ISNUMBER(Suppliers!F83),Suppliers!F83,DATE(YEAR(TODAY()),MONTH(TODAY()),1))),6)=0,1,0),IF(Suppliers!E83="Annual",IF(MOD((YEAR(EDATE(DATE(YEAR(TODAY()),MONTH(TODAY()),1),17))-YEAR(IF(ISNUMBER(Suppliers!F83),Suppliers!F83,DATE(YEAR(TODAY()),MONTH(TODAY()),1))))*12+MONTH(EDATE(DATE(YEAR(TODAY()),MONTH(TODAY()),1),17))-MONTH(IF(ISNUMBER(Suppliers!F83),Suppliers!F83,DATE(YEAR(TODAY()),MONTH(TODAY()),1))),12)=0,1,0),IF(Suppliers!E83="One-time",IF(17=0,1,0),1)))))),"")</f>
        <v/>
      </c>
      <c r="X85" s="10" t="str">
        <f ca="1">IFERROR(IF(OR(18&gt;=$B$1,Suppliers!A83="",NOT(ISNUMBER(Suppliers!D83)),Suppliers!L83="Expired",Suppliers!L83="Terminate"),"",Suppliers!D83*-1*IF(Suppliers!E83="Monthly",IF(AND(ISNUMBER(Suppliers!G83),(YEAR(EDATE(DATE(YEAR(TODAY()),MONTH(TODAY()),1),18))*12+MONTH(EDATE(DATE(YEAR(TODAY()),MONTH(TODAY()),1),18)))&gt;(YEAR(Suppliers!G83)*12+MONTH(Suppliers!G83))),"",1),IF(Suppliers!E83="Quarterly",IF(MOD((YEAR(EDATE(DATE(YEAR(TODAY()),MONTH(TODAY()),1),18))-YEAR(IF(ISNUMBER(Suppliers!F83),Suppliers!F83,DATE(YEAR(TODAY()),MONTH(TODAY()),1))))*12+MONTH(EDATE(DATE(YEAR(TODAY()),MONTH(TODAY()),1),18))-MONTH(IF(ISNUMBER(Suppliers!F83),Suppliers!F83,DATE(YEAR(TODAY()),MONTH(TODAY()),1))),3)=0,1,0),IF(Suppliers!E83="Semi-annual",IF(MOD((YEAR(EDATE(DATE(YEAR(TODAY()),MONTH(TODAY()),1),18))-YEAR(IF(ISNUMBER(Suppliers!F83),Suppliers!F83,DATE(YEAR(TODAY()),MONTH(TODAY()),1))))*12+MONTH(EDATE(DATE(YEAR(TODAY()),MONTH(TODAY()),1),18))-MONTH(IF(ISNUMBER(Suppliers!F83),Suppliers!F83,DATE(YEAR(TODAY()),MONTH(TODAY()),1))),6)=0,1,0),IF(Suppliers!E83="Annual",IF(MOD((YEAR(EDATE(DATE(YEAR(TODAY()),MONTH(TODAY()),1),18))-YEAR(IF(ISNUMBER(Suppliers!F83),Suppliers!F83,DATE(YEAR(TODAY()),MONTH(TODAY()),1))))*12+MONTH(EDATE(DATE(YEAR(TODAY()),MONTH(TODAY()),1),18))-MONTH(IF(ISNUMBER(Suppliers!F83),Suppliers!F83,DATE(YEAR(TODAY()),MONTH(TODAY()),1))),12)=0,1,0),IF(Suppliers!E83="One-time",IF(18=0,1,0),1)))))),"")</f>
        <v/>
      </c>
      <c r="Y85" s="10" t="str">
        <f ca="1">IFERROR(IF(OR(19&gt;=$B$1,Suppliers!A83="",NOT(ISNUMBER(Suppliers!D83)),Suppliers!L83="Expired",Suppliers!L83="Terminate"),"",Suppliers!D83*-1*IF(Suppliers!E83="Monthly",IF(AND(ISNUMBER(Suppliers!G83),(YEAR(EDATE(DATE(YEAR(TODAY()),MONTH(TODAY()),1),19))*12+MONTH(EDATE(DATE(YEAR(TODAY()),MONTH(TODAY()),1),19)))&gt;(YEAR(Suppliers!G83)*12+MONTH(Suppliers!G83))),"",1),IF(Suppliers!E83="Quarterly",IF(MOD((YEAR(EDATE(DATE(YEAR(TODAY()),MONTH(TODAY()),1),19))-YEAR(IF(ISNUMBER(Suppliers!F83),Suppliers!F83,DATE(YEAR(TODAY()),MONTH(TODAY()),1))))*12+MONTH(EDATE(DATE(YEAR(TODAY()),MONTH(TODAY()),1),19))-MONTH(IF(ISNUMBER(Suppliers!F83),Suppliers!F83,DATE(YEAR(TODAY()),MONTH(TODAY()),1))),3)=0,1,0),IF(Suppliers!E83="Semi-annual",IF(MOD((YEAR(EDATE(DATE(YEAR(TODAY()),MONTH(TODAY()),1),19))-YEAR(IF(ISNUMBER(Suppliers!F83),Suppliers!F83,DATE(YEAR(TODAY()),MONTH(TODAY()),1))))*12+MONTH(EDATE(DATE(YEAR(TODAY()),MONTH(TODAY()),1),19))-MONTH(IF(ISNUMBER(Suppliers!F83),Suppliers!F83,DATE(YEAR(TODAY()),MONTH(TODAY()),1))),6)=0,1,0),IF(Suppliers!E83="Annual",IF(MOD((YEAR(EDATE(DATE(YEAR(TODAY()),MONTH(TODAY()),1),19))-YEAR(IF(ISNUMBER(Suppliers!F83),Suppliers!F83,DATE(YEAR(TODAY()),MONTH(TODAY()),1))))*12+MONTH(EDATE(DATE(YEAR(TODAY()),MONTH(TODAY()),1),19))-MONTH(IF(ISNUMBER(Suppliers!F83),Suppliers!F83,DATE(YEAR(TODAY()),MONTH(TODAY()),1))),12)=0,1,0),IF(Suppliers!E83="One-time",IF(19=0,1,0),1)))))),"")</f>
        <v/>
      </c>
      <c r="Z85" s="10" t="str">
        <f ca="1">IFERROR(IF(OR(20&gt;=$B$1,Suppliers!A83="",NOT(ISNUMBER(Suppliers!D83)),Suppliers!L83="Expired",Suppliers!L83="Terminate"),"",Suppliers!D83*-1*IF(Suppliers!E83="Monthly",IF(AND(ISNUMBER(Suppliers!G83),(YEAR(EDATE(DATE(YEAR(TODAY()),MONTH(TODAY()),1),20))*12+MONTH(EDATE(DATE(YEAR(TODAY()),MONTH(TODAY()),1),20)))&gt;(YEAR(Suppliers!G83)*12+MONTH(Suppliers!G83))),"",1),IF(Suppliers!E83="Quarterly",IF(MOD((YEAR(EDATE(DATE(YEAR(TODAY()),MONTH(TODAY()),1),20))-YEAR(IF(ISNUMBER(Suppliers!F83),Suppliers!F83,DATE(YEAR(TODAY()),MONTH(TODAY()),1))))*12+MONTH(EDATE(DATE(YEAR(TODAY()),MONTH(TODAY()),1),20))-MONTH(IF(ISNUMBER(Suppliers!F83),Suppliers!F83,DATE(YEAR(TODAY()),MONTH(TODAY()),1))),3)=0,1,0),IF(Suppliers!E83="Semi-annual",IF(MOD((YEAR(EDATE(DATE(YEAR(TODAY()),MONTH(TODAY()),1),20))-YEAR(IF(ISNUMBER(Suppliers!F83),Suppliers!F83,DATE(YEAR(TODAY()),MONTH(TODAY()),1))))*12+MONTH(EDATE(DATE(YEAR(TODAY()),MONTH(TODAY()),1),20))-MONTH(IF(ISNUMBER(Suppliers!F83),Suppliers!F83,DATE(YEAR(TODAY()),MONTH(TODAY()),1))),6)=0,1,0),IF(Suppliers!E83="Annual",IF(MOD((YEAR(EDATE(DATE(YEAR(TODAY()),MONTH(TODAY()),1),20))-YEAR(IF(ISNUMBER(Suppliers!F83),Suppliers!F83,DATE(YEAR(TODAY()),MONTH(TODAY()),1))))*12+MONTH(EDATE(DATE(YEAR(TODAY()),MONTH(TODAY()),1),20))-MONTH(IF(ISNUMBER(Suppliers!F83),Suppliers!F83,DATE(YEAR(TODAY()),MONTH(TODAY()),1))),12)=0,1,0),IF(Suppliers!E83="One-time",IF(20=0,1,0),1)))))),"")</f>
        <v/>
      </c>
      <c r="AA85" s="10" t="str">
        <f ca="1">IFERROR(IF(OR(21&gt;=$B$1,Suppliers!A83="",NOT(ISNUMBER(Suppliers!D83)),Suppliers!L83="Expired",Suppliers!L83="Terminate"),"",Suppliers!D83*-1*IF(Suppliers!E83="Monthly",IF(AND(ISNUMBER(Suppliers!G83),(YEAR(EDATE(DATE(YEAR(TODAY()),MONTH(TODAY()),1),21))*12+MONTH(EDATE(DATE(YEAR(TODAY()),MONTH(TODAY()),1),21)))&gt;(YEAR(Suppliers!G83)*12+MONTH(Suppliers!G83))),"",1),IF(Suppliers!E83="Quarterly",IF(MOD((YEAR(EDATE(DATE(YEAR(TODAY()),MONTH(TODAY()),1),21))-YEAR(IF(ISNUMBER(Suppliers!F83),Suppliers!F83,DATE(YEAR(TODAY()),MONTH(TODAY()),1))))*12+MONTH(EDATE(DATE(YEAR(TODAY()),MONTH(TODAY()),1),21))-MONTH(IF(ISNUMBER(Suppliers!F83),Suppliers!F83,DATE(YEAR(TODAY()),MONTH(TODAY()),1))),3)=0,1,0),IF(Suppliers!E83="Semi-annual",IF(MOD((YEAR(EDATE(DATE(YEAR(TODAY()),MONTH(TODAY()),1),21))-YEAR(IF(ISNUMBER(Suppliers!F83),Suppliers!F83,DATE(YEAR(TODAY()),MONTH(TODAY()),1))))*12+MONTH(EDATE(DATE(YEAR(TODAY()),MONTH(TODAY()),1),21))-MONTH(IF(ISNUMBER(Suppliers!F83),Suppliers!F83,DATE(YEAR(TODAY()),MONTH(TODAY()),1))),6)=0,1,0),IF(Suppliers!E83="Annual",IF(MOD((YEAR(EDATE(DATE(YEAR(TODAY()),MONTH(TODAY()),1),21))-YEAR(IF(ISNUMBER(Suppliers!F83),Suppliers!F83,DATE(YEAR(TODAY()),MONTH(TODAY()),1))))*12+MONTH(EDATE(DATE(YEAR(TODAY()),MONTH(TODAY()),1),21))-MONTH(IF(ISNUMBER(Suppliers!F83),Suppliers!F83,DATE(YEAR(TODAY()),MONTH(TODAY()),1))),12)=0,1,0),IF(Suppliers!E83="One-time",IF(21=0,1,0),1)))))),"")</f>
        <v/>
      </c>
      <c r="AB85" s="10" t="str">
        <f ca="1">IFERROR(IF(OR(22&gt;=$B$1,Suppliers!A83="",NOT(ISNUMBER(Suppliers!D83)),Suppliers!L83="Expired",Suppliers!L83="Terminate"),"",Suppliers!D83*-1*IF(Suppliers!E83="Monthly",IF(AND(ISNUMBER(Suppliers!G83),(YEAR(EDATE(DATE(YEAR(TODAY()),MONTH(TODAY()),1),22))*12+MONTH(EDATE(DATE(YEAR(TODAY()),MONTH(TODAY()),1),22)))&gt;(YEAR(Suppliers!G83)*12+MONTH(Suppliers!G83))),"",1),IF(Suppliers!E83="Quarterly",IF(MOD((YEAR(EDATE(DATE(YEAR(TODAY()),MONTH(TODAY()),1),22))-YEAR(IF(ISNUMBER(Suppliers!F83),Suppliers!F83,DATE(YEAR(TODAY()),MONTH(TODAY()),1))))*12+MONTH(EDATE(DATE(YEAR(TODAY()),MONTH(TODAY()),1),22))-MONTH(IF(ISNUMBER(Suppliers!F83),Suppliers!F83,DATE(YEAR(TODAY()),MONTH(TODAY()),1))),3)=0,1,0),IF(Suppliers!E83="Semi-annual",IF(MOD((YEAR(EDATE(DATE(YEAR(TODAY()),MONTH(TODAY()),1),22))-YEAR(IF(ISNUMBER(Suppliers!F83),Suppliers!F83,DATE(YEAR(TODAY()),MONTH(TODAY()),1))))*12+MONTH(EDATE(DATE(YEAR(TODAY()),MONTH(TODAY()),1),22))-MONTH(IF(ISNUMBER(Suppliers!F83),Suppliers!F83,DATE(YEAR(TODAY()),MONTH(TODAY()),1))),6)=0,1,0),IF(Suppliers!E83="Annual",IF(MOD((YEAR(EDATE(DATE(YEAR(TODAY()),MONTH(TODAY()),1),22))-YEAR(IF(ISNUMBER(Suppliers!F83),Suppliers!F83,DATE(YEAR(TODAY()),MONTH(TODAY()),1))))*12+MONTH(EDATE(DATE(YEAR(TODAY()),MONTH(TODAY()),1),22))-MONTH(IF(ISNUMBER(Suppliers!F83),Suppliers!F83,DATE(YEAR(TODAY()),MONTH(TODAY()),1))),12)=0,1,0),IF(Suppliers!E83="One-time",IF(22=0,1,0),1)))))),"")</f>
        <v/>
      </c>
      <c r="AC85" s="10" t="str">
        <f ca="1">IFERROR(IF(OR(23&gt;=$B$1,Suppliers!A83="",NOT(ISNUMBER(Suppliers!D83)),Suppliers!L83="Expired",Suppliers!L83="Terminate"),"",Suppliers!D83*-1*IF(Suppliers!E83="Monthly",IF(AND(ISNUMBER(Suppliers!G83),(YEAR(EDATE(DATE(YEAR(TODAY()),MONTH(TODAY()),1),23))*12+MONTH(EDATE(DATE(YEAR(TODAY()),MONTH(TODAY()),1),23)))&gt;(YEAR(Suppliers!G83)*12+MONTH(Suppliers!G83))),"",1),IF(Suppliers!E83="Quarterly",IF(MOD((YEAR(EDATE(DATE(YEAR(TODAY()),MONTH(TODAY()),1),23))-YEAR(IF(ISNUMBER(Suppliers!F83),Suppliers!F83,DATE(YEAR(TODAY()),MONTH(TODAY()),1))))*12+MONTH(EDATE(DATE(YEAR(TODAY()),MONTH(TODAY()),1),23))-MONTH(IF(ISNUMBER(Suppliers!F83),Suppliers!F83,DATE(YEAR(TODAY()),MONTH(TODAY()),1))),3)=0,1,0),IF(Suppliers!E83="Semi-annual",IF(MOD((YEAR(EDATE(DATE(YEAR(TODAY()),MONTH(TODAY()),1),23))-YEAR(IF(ISNUMBER(Suppliers!F83),Suppliers!F83,DATE(YEAR(TODAY()),MONTH(TODAY()),1))))*12+MONTH(EDATE(DATE(YEAR(TODAY()),MONTH(TODAY()),1),23))-MONTH(IF(ISNUMBER(Suppliers!F83),Suppliers!F83,DATE(YEAR(TODAY()),MONTH(TODAY()),1))),6)=0,1,0),IF(Suppliers!E83="Annual",IF(MOD((YEAR(EDATE(DATE(YEAR(TODAY()),MONTH(TODAY()),1),23))-YEAR(IF(ISNUMBER(Suppliers!F83),Suppliers!F83,DATE(YEAR(TODAY()),MONTH(TODAY()),1))))*12+MONTH(EDATE(DATE(YEAR(TODAY()),MONTH(TODAY()),1),23))-MONTH(IF(ISNUMBER(Suppliers!F83),Suppliers!F83,DATE(YEAR(TODAY()),MONTH(TODAY()),1))),12)=0,1,0),IF(Suppliers!E83="One-time",IF(23=0,1,0),1)))))),"")</f>
        <v/>
      </c>
    </row>
    <row r="86" spans="1:29" ht="15" customHeight="1" x14ac:dyDescent="0.35">
      <c r="A86" s="4" t="s">
        <v>81</v>
      </c>
      <c r="B86" s="4" t="str">
        <f>IF(Clients!A16="","",Clients!A16)</f>
        <v/>
      </c>
      <c r="C86" s="10" t="str">
        <f>IF(Clients!C16="","",Clients!C16)</f>
        <v/>
      </c>
      <c r="D86" s="10" t="str">
        <f>IF(Clients!D16="","",Clients!D16)</f>
        <v/>
      </c>
      <c r="E86" s="4" t="str">
        <f>IF(Clients!E16="","",Clients!E16)</f>
        <v/>
      </c>
      <c r="F86" s="10" t="str">
        <f ca="1">IFERROR(IF(OR(0&gt;=$B$1,Clients!A16="",NOT(ISNUMBER(Clients!D16)),Clients!L16="Expired",Clients!L16="Terminate"),"",Clients!D16*1*IF(Clients!E16="Monthly",IF(AND(ISNUMBER(Clients!G16),(YEAR(EDATE(DATE(YEAR(TODAY()),MONTH(TODAY()),1),0))*12+MONTH(EDATE(DATE(YEAR(TODAY()),MONTH(TODAY()),1),0)))&gt;(YEAR(Clients!G16)*12+MONTH(Clients!G16))),"",1),IF(Clients!E16="Quarterly",IF(MOD((YEAR(EDATE(DATE(YEAR(TODAY()),MONTH(TODAY()),1),0))-YEAR(IF(ISNUMBER(Clients!F16),Clients!F16,DATE(YEAR(TODAY()),MONTH(TODAY()),1))))*12+MONTH(EDATE(DATE(YEAR(TODAY()),MONTH(TODAY()),1),0))-MONTH(IF(ISNUMBER(Clients!F16),Clients!F16,DATE(YEAR(TODAY()),MONTH(TODAY()),1))),3)=0,1,0),IF(Clients!E16="Semi-annual",IF(MOD((YEAR(EDATE(DATE(YEAR(TODAY()),MONTH(TODAY()),1),0))-YEAR(IF(ISNUMBER(Clients!F16),Clients!F16,DATE(YEAR(TODAY()),MONTH(TODAY()),1))))*12+MONTH(EDATE(DATE(YEAR(TODAY()),MONTH(TODAY()),1),0))-MONTH(IF(ISNUMBER(Clients!F16),Clients!F16,DATE(YEAR(TODAY()),MONTH(TODAY()),1))),6)=0,1,0),IF(Clients!E16="Annual",IF(MOD((YEAR(EDATE(DATE(YEAR(TODAY()),MONTH(TODAY()),1),0))-YEAR(IF(ISNUMBER(Clients!F16),Clients!F16,DATE(YEAR(TODAY()),MONTH(TODAY()),1))))*12+MONTH(EDATE(DATE(YEAR(TODAY()),MONTH(TODAY()),1),0))-MONTH(IF(ISNUMBER(Clients!F16),Clients!F16,DATE(YEAR(TODAY()),MONTH(TODAY()),1))),12)=0,1,0),IF(Clients!E16="One-time",IF(0=0,1,0),1)))))),"")</f>
        <v/>
      </c>
      <c r="G86" s="10" t="str">
        <f ca="1">IFERROR(IF(OR(1&gt;=$B$1,Clients!A16="",NOT(ISNUMBER(Clients!D16)),Clients!L16="Expired",Clients!L16="Terminate"),"",Clients!D16*1*IF(Clients!E16="Monthly",IF(AND(ISNUMBER(Clients!G16),(YEAR(EDATE(DATE(YEAR(TODAY()),MONTH(TODAY()),1),1))*12+MONTH(EDATE(DATE(YEAR(TODAY()),MONTH(TODAY()),1),1)))&gt;(YEAR(Clients!G16)*12+MONTH(Clients!G16))),"",1),IF(Clients!E16="Quarterly",IF(MOD((YEAR(EDATE(DATE(YEAR(TODAY()),MONTH(TODAY()),1),1))-YEAR(IF(ISNUMBER(Clients!F16),Clients!F16,DATE(YEAR(TODAY()),MONTH(TODAY()),1))))*12+MONTH(EDATE(DATE(YEAR(TODAY()),MONTH(TODAY()),1),1))-MONTH(IF(ISNUMBER(Clients!F16),Clients!F16,DATE(YEAR(TODAY()),MONTH(TODAY()),1))),3)=0,1,0),IF(Clients!E16="Semi-annual",IF(MOD((YEAR(EDATE(DATE(YEAR(TODAY()),MONTH(TODAY()),1),1))-YEAR(IF(ISNUMBER(Clients!F16),Clients!F16,DATE(YEAR(TODAY()),MONTH(TODAY()),1))))*12+MONTH(EDATE(DATE(YEAR(TODAY()),MONTH(TODAY()),1),1))-MONTH(IF(ISNUMBER(Clients!F16),Clients!F16,DATE(YEAR(TODAY()),MONTH(TODAY()),1))),6)=0,1,0),IF(Clients!E16="Annual",IF(MOD((YEAR(EDATE(DATE(YEAR(TODAY()),MONTH(TODAY()),1),1))-YEAR(IF(ISNUMBER(Clients!F16),Clients!F16,DATE(YEAR(TODAY()),MONTH(TODAY()),1))))*12+MONTH(EDATE(DATE(YEAR(TODAY()),MONTH(TODAY()),1),1))-MONTH(IF(ISNUMBER(Clients!F16),Clients!F16,DATE(YEAR(TODAY()),MONTH(TODAY()),1))),12)=0,1,0),IF(Clients!E16="One-time",IF(1=0,1,0),1)))))),"")</f>
        <v/>
      </c>
      <c r="H86" s="10" t="str">
        <f ca="1">IFERROR(IF(OR(2&gt;=$B$1,Clients!A16="",NOT(ISNUMBER(Clients!D16)),Clients!L16="Expired",Clients!L16="Terminate"),"",Clients!D16*1*IF(Clients!E16="Monthly",IF(AND(ISNUMBER(Clients!G16),(YEAR(EDATE(DATE(YEAR(TODAY()),MONTH(TODAY()),1),2))*12+MONTH(EDATE(DATE(YEAR(TODAY()),MONTH(TODAY()),1),2)))&gt;(YEAR(Clients!G16)*12+MONTH(Clients!G16))),"",1),IF(Clients!E16="Quarterly",IF(MOD((YEAR(EDATE(DATE(YEAR(TODAY()),MONTH(TODAY()),1),2))-YEAR(IF(ISNUMBER(Clients!F16),Clients!F16,DATE(YEAR(TODAY()),MONTH(TODAY()),1))))*12+MONTH(EDATE(DATE(YEAR(TODAY()),MONTH(TODAY()),1),2))-MONTH(IF(ISNUMBER(Clients!F16),Clients!F16,DATE(YEAR(TODAY()),MONTH(TODAY()),1))),3)=0,1,0),IF(Clients!E16="Semi-annual",IF(MOD((YEAR(EDATE(DATE(YEAR(TODAY()),MONTH(TODAY()),1),2))-YEAR(IF(ISNUMBER(Clients!F16),Clients!F16,DATE(YEAR(TODAY()),MONTH(TODAY()),1))))*12+MONTH(EDATE(DATE(YEAR(TODAY()),MONTH(TODAY()),1),2))-MONTH(IF(ISNUMBER(Clients!F16),Clients!F16,DATE(YEAR(TODAY()),MONTH(TODAY()),1))),6)=0,1,0),IF(Clients!E16="Annual",IF(MOD((YEAR(EDATE(DATE(YEAR(TODAY()),MONTH(TODAY()),1),2))-YEAR(IF(ISNUMBER(Clients!F16),Clients!F16,DATE(YEAR(TODAY()),MONTH(TODAY()),1))))*12+MONTH(EDATE(DATE(YEAR(TODAY()),MONTH(TODAY()),1),2))-MONTH(IF(ISNUMBER(Clients!F16),Clients!F16,DATE(YEAR(TODAY()),MONTH(TODAY()),1))),12)=0,1,0),IF(Clients!E16="One-time",IF(2=0,1,0),1)))))),"")</f>
        <v/>
      </c>
      <c r="I86" s="10" t="str">
        <f ca="1">IFERROR(IF(OR(3&gt;=$B$1,Clients!A16="",NOT(ISNUMBER(Clients!D16)),Clients!L16="Expired",Clients!L16="Terminate"),"",Clients!D16*1*IF(Clients!E16="Monthly",IF(AND(ISNUMBER(Clients!G16),(YEAR(EDATE(DATE(YEAR(TODAY()),MONTH(TODAY()),1),3))*12+MONTH(EDATE(DATE(YEAR(TODAY()),MONTH(TODAY()),1),3)))&gt;(YEAR(Clients!G16)*12+MONTH(Clients!G16))),"",1),IF(Clients!E16="Quarterly",IF(MOD((YEAR(EDATE(DATE(YEAR(TODAY()),MONTH(TODAY()),1),3))-YEAR(IF(ISNUMBER(Clients!F16),Clients!F16,DATE(YEAR(TODAY()),MONTH(TODAY()),1))))*12+MONTH(EDATE(DATE(YEAR(TODAY()),MONTH(TODAY()),1),3))-MONTH(IF(ISNUMBER(Clients!F16),Clients!F16,DATE(YEAR(TODAY()),MONTH(TODAY()),1))),3)=0,1,0),IF(Clients!E16="Semi-annual",IF(MOD((YEAR(EDATE(DATE(YEAR(TODAY()),MONTH(TODAY()),1),3))-YEAR(IF(ISNUMBER(Clients!F16),Clients!F16,DATE(YEAR(TODAY()),MONTH(TODAY()),1))))*12+MONTH(EDATE(DATE(YEAR(TODAY()),MONTH(TODAY()),1),3))-MONTH(IF(ISNUMBER(Clients!F16),Clients!F16,DATE(YEAR(TODAY()),MONTH(TODAY()),1))),6)=0,1,0),IF(Clients!E16="Annual",IF(MOD((YEAR(EDATE(DATE(YEAR(TODAY()),MONTH(TODAY()),1),3))-YEAR(IF(ISNUMBER(Clients!F16),Clients!F16,DATE(YEAR(TODAY()),MONTH(TODAY()),1))))*12+MONTH(EDATE(DATE(YEAR(TODAY()),MONTH(TODAY()),1),3))-MONTH(IF(ISNUMBER(Clients!F16),Clients!F16,DATE(YEAR(TODAY()),MONTH(TODAY()),1))),12)=0,1,0),IF(Clients!E16="One-time",IF(3=0,1,0),1)))))),"")</f>
        <v/>
      </c>
      <c r="J86" s="10" t="str">
        <f ca="1">IFERROR(IF(OR(4&gt;=$B$1,Clients!A16="",NOT(ISNUMBER(Clients!D16)),Clients!L16="Expired",Clients!L16="Terminate"),"",Clients!D16*1*IF(Clients!E16="Monthly",IF(AND(ISNUMBER(Clients!G16),(YEAR(EDATE(DATE(YEAR(TODAY()),MONTH(TODAY()),1),4))*12+MONTH(EDATE(DATE(YEAR(TODAY()),MONTH(TODAY()),1),4)))&gt;(YEAR(Clients!G16)*12+MONTH(Clients!G16))),"",1),IF(Clients!E16="Quarterly",IF(MOD((YEAR(EDATE(DATE(YEAR(TODAY()),MONTH(TODAY()),1),4))-YEAR(IF(ISNUMBER(Clients!F16),Clients!F16,DATE(YEAR(TODAY()),MONTH(TODAY()),1))))*12+MONTH(EDATE(DATE(YEAR(TODAY()),MONTH(TODAY()),1),4))-MONTH(IF(ISNUMBER(Clients!F16),Clients!F16,DATE(YEAR(TODAY()),MONTH(TODAY()),1))),3)=0,1,0),IF(Clients!E16="Semi-annual",IF(MOD((YEAR(EDATE(DATE(YEAR(TODAY()),MONTH(TODAY()),1),4))-YEAR(IF(ISNUMBER(Clients!F16),Clients!F16,DATE(YEAR(TODAY()),MONTH(TODAY()),1))))*12+MONTH(EDATE(DATE(YEAR(TODAY()),MONTH(TODAY()),1),4))-MONTH(IF(ISNUMBER(Clients!F16),Clients!F16,DATE(YEAR(TODAY()),MONTH(TODAY()),1))),6)=0,1,0),IF(Clients!E16="Annual",IF(MOD((YEAR(EDATE(DATE(YEAR(TODAY()),MONTH(TODAY()),1),4))-YEAR(IF(ISNUMBER(Clients!F16),Clients!F16,DATE(YEAR(TODAY()),MONTH(TODAY()),1))))*12+MONTH(EDATE(DATE(YEAR(TODAY()),MONTH(TODAY()),1),4))-MONTH(IF(ISNUMBER(Clients!F16),Clients!F16,DATE(YEAR(TODAY()),MONTH(TODAY()),1))),12)=0,1,0),IF(Clients!E16="One-time",IF(4=0,1,0),1)))))),"")</f>
        <v/>
      </c>
      <c r="K86" s="10" t="str">
        <f ca="1">IFERROR(IF(OR(5&gt;=$B$1,Clients!A16="",NOT(ISNUMBER(Clients!D16)),Clients!L16="Expired",Clients!L16="Terminate"),"",Clients!D16*1*IF(Clients!E16="Monthly",IF(AND(ISNUMBER(Clients!G16),(YEAR(EDATE(DATE(YEAR(TODAY()),MONTH(TODAY()),1),5))*12+MONTH(EDATE(DATE(YEAR(TODAY()),MONTH(TODAY()),1),5)))&gt;(YEAR(Clients!G16)*12+MONTH(Clients!G16))),"",1),IF(Clients!E16="Quarterly",IF(MOD((YEAR(EDATE(DATE(YEAR(TODAY()),MONTH(TODAY()),1),5))-YEAR(IF(ISNUMBER(Clients!F16),Clients!F16,DATE(YEAR(TODAY()),MONTH(TODAY()),1))))*12+MONTH(EDATE(DATE(YEAR(TODAY()),MONTH(TODAY()),1),5))-MONTH(IF(ISNUMBER(Clients!F16),Clients!F16,DATE(YEAR(TODAY()),MONTH(TODAY()),1))),3)=0,1,0),IF(Clients!E16="Semi-annual",IF(MOD((YEAR(EDATE(DATE(YEAR(TODAY()),MONTH(TODAY()),1),5))-YEAR(IF(ISNUMBER(Clients!F16),Clients!F16,DATE(YEAR(TODAY()),MONTH(TODAY()),1))))*12+MONTH(EDATE(DATE(YEAR(TODAY()),MONTH(TODAY()),1),5))-MONTH(IF(ISNUMBER(Clients!F16),Clients!F16,DATE(YEAR(TODAY()),MONTH(TODAY()),1))),6)=0,1,0),IF(Clients!E16="Annual",IF(MOD((YEAR(EDATE(DATE(YEAR(TODAY()),MONTH(TODAY()),1),5))-YEAR(IF(ISNUMBER(Clients!F16),Clients!F16,DATE(YEAR(TODAY()),MONTH(TODAY()),1))))*12+MONTH(EDATE(DATE(YEAR(TODAY()),MONTH(TODAY()),1),5))-MONTH(IF(ISNUMBER(Clients!F16),Clients!F16,DATE(YEAR(TODAY()),MONTH(TODAY()),1))),12)=0,1,0),IF(Clients!E16="One-time",IF(5=0,1,0),1)))))),"")</f>
        <v/>
      </c>
      <c r="L86" s="10" t="str">
        <f ca="1">IFERROR(IF(OR(6&gt;=$B$1,Clients!A16="",NOT(ISNUMBER(Clients!D16)),Clients!L16="Expired",Clients!L16="Terminate"),"",Clients!D16*1*IF(Clients!E16="Monthly",IF(AND(ISNUMBER(Clients!G16),(YEAR(EDATE(DATE(YEAR(TODAY()),MONTH(TODAY()),1),6))*12+MONTH(EDATE(DATE(YEAR(TODAY()),MONTH(TODAY()),1),6)))&gt;(YEAR(Clients!G16)*12+MONTH(Clients!G16))),"",1),IF(Clients!E16="Quarterly",IF(MOD((YEAR(EDATE(DATE(YEAR(TODAY()),MONTH(TODAY()),1),6))-YEAR(IF(ISNUMBER(Clients!F16),Clients!F16,DATE(YEAR(TODAY()),MONTH(TODAY()),1))))*12+MONTH(EDATE(DATE(YEAR(TODAY()),MONTH(TODAY()),1),6))-MONTH(IF(ISNUMBER(Clients!F16),Clients!F16,DATE(YEAR(TODAY()),MONTH(TODAY()),1))),3)=0,1,0),IF(Clients!E16="Semi-annual",IF(MOD((YEAR(EDATE(DATE(YEAR(TODAY()),MONTH(TODAY()),1),6))-YEAR(IF(ISNUMBER(Clients!F16),Clients!F16,DATE(YEAR(TODAY()),MONTH(TODAY()),1))))*12+MONTH(EDATE(DATE(YEAR(TODAY()),MONTH(TODAY()),1),6))-MONTH(IF(ISNUMBER(Clients!F16),Clients!F16,DATE(YEAR(TODAY()),MONTH(TODAY()),1))),6)=0,1,0),IF(Clients!E16="Annual",IF(MOD((YEAR(EDATE(DATE(YEAR(TODAY()),MONTH(TODAY()),1),6))-YEAR(IF(ISNUMBER(Clients!F16),Clients!F16,DATE(YEAR(TODAY()),MONTH(TODAY()),1))))*12+MONTH(EDATE(DATE(YEAR(TODAY()),MONTH(TODAY()),1),6))-MONTH(IF(ISNUMBER(Clients!F16),Clients!F16,DATE(YEAR(TODAY()),MONTH(TODAY()),1))),12)=0,1,0),IF(Clients!E16="One-time",IF(6=0,1,0),1)))))),"")</f>
        <v/>
      </c>
      <c r="M86" s="10" t="str">
        <f ca="1">IFERROR(IF(OR(7&gt;=$B$1,Clients!A16="",NOT(ISNUMBER(Clients!D16)),Clients!L16="Expired",Clients!L16="Terminate"),"",Clients!D16*1*IF(Clients!E16="Monthly",IF(AND(ISNUMBER(Clients!G16),(YEAR(EDATE(DATE(YEAR(TODAY()),MONTH(TODAY()),1),7))*12+MONTH(EDATE(DATE(YEAR(TODAY()),MONTH(TODAY()),1),7)))&gt;(YEAR(Clients!G16)*12+MONTH(Clients!G16))),"",1),IF(Clients!E16="Quarterly",IF(MOD((YEAR(EDATE(DATE(YEAR(TODAY()),MONTH(TODAY()),1),7))-YEAR(IF(ISNUMBER(Clients!F16),Clients!F16,DATE(YEAR(TODAY()),MONTH(TODAY()),1))))*12+MONTH(EDATE(DATE(YEAR(TODAY()),MONTH(TODAY()),1),7))-MONTH(IF(ISNUMBER(Clients!F16),Clients!F16,DATE(YEAR(TODAY()),MONTH(TODAY()),1))),3)=0,1,0),IF(Clients!E16="Semi-annual",IF(MOD((YEAR(EDATE(DATE(YEAR(TODAY()),MONTH(TODAY()),1),7))-YEAR(IF(ISNUMBER(Clients!F16),Clients!F16,DATE(YEAR(TODAY()),MONTH(TODAY()),1))))*12+MONTH(EDATE(DATE(YEAR(TODAY()),MONTH(TODAY()),1),7))-MONTH(IF(ISNUMBER(Clients!F16),Clients!F16,DATE(YEAR(TODAY()),MONTH(TODAY()),1))),6)=0,1,0),IF(Clients!E16="Annual",IF(MOD((YEAR(EDATE(DATE(YEAR(TODAY()),MONTH(TODAY()),1),7))-YEAR(IF(ISNUMBER(Clients!F16),Clients!F16,DATE(YEAR(TODAY()),MONTH(TODAY()),1))))*12+MONTH(EDATE(DATE(YEAR(TODAY()),MONTH(TODAY()),1),7))-MONTH(IF(ISNUMBER(Clients!F16),Clients!F16,DATE(YEAR(TODAY()),MONTH(TODAY()),1))),12)=0,1,0),IF(Clients!E16="One-time",IF(7=0,1,0),1)))))),"")</f>
        <v/>
      </c>
      <c r="N86" s="10" t="str">
        <f ca="1">IFERROR(IF(OR(8&gt;=$B$1,Clients!A16="",NOT(ISNUMBER(Clients!D16)),Clients!L16="Expired",Clients!L16="Terminate"),"",Clients!D16*1*IF(Clients!E16="Monthly",IF(AND(ISNUMBER(Clients!G16),(YEAR(EDATE(DATE(YEAR(TODAY()),MONTH(TODAY()),1),8))*12+MONTH(EDATE(DATE(YEAR(TODAY()),MONTH(TODAY()),1),8)))&gt;(YEAR(Clients!G16)*12+MONTH(Clients!G16))),"",1),IF(Clients!E16="Quarterly",IF(MOD((YEAR(EDATE(DATE(YEAR(TODAY()),MONTH(TODAY()),1),8))-YEAR(IF(ISNUMBER(Clients!F16),Clients!F16,DATE(YEAR(TODAY()),MONTH(TODAY()),1))))*12+MONTH(EDATE(DATE(YEAR(TODAY()),MONTH(TODAY()),1),8))-MONTH(IF(ISNUMBER(Clients!F16),Clients!F16,DATE(YEAR(TODAY()),MONTH(TODAY()),1))),3)=0,1,0),IF(Clients!E16="Semi-annual",IF(MOD((YEAR(EDATE(DATE(YEAR(TODAY()),MONTH(TODAY()),1),8))-YEAR(IF(ISNUMBER(Clients!F16),Clients!F16,DATE(YEAR(TODAY()),MONTH(TODAY()),1))))*12+MONTH(EDATE(DATE(YEAR(TODAY()),MONTH(TODAY()),1),8))-MONTH(IF(ISNUMBER(Clients!F16),Clients!F16,DATE(YEAR(TODAY()),MONTH(TODAY()),1))),6)=0,1,0),IF(Clients!E16="Annual",IF(MOD((YEAR(EDATE(DATE(YEAR(TODAY()),MONTH(TODAY()),1),8))-YEAR(IF(ISNUMBER(Clients!F16),Clients!F16,DATE(YEAR(TODAY()),MONTH(TODAY()),1))))*12+MONTH(EDATE(DATE(YEAR(TODAY()),MONTH(TODAY()),1),8))-MONTH(IF(ISNUMBER(Clients!F16),Clients!F16,DATE(YEAR(TODAY()),MONTH(TODAY()),1))),12)=0,1,0),IF(Clients!E16="One-time",IF(8=0,1,0),1)))))),"")</f>
        <v/>
      </c>
      <c r="O86" s="10" t="str">
        <f ca="1">IFERROR(IF(OR(9&gt;=$B$1,Clients!A16="",NOT(ISNUMBER(Clients!D16)),Clients!L16="Expired",Clients!L16="Terminate"),"",Clients!D16*1*IF(Clients!E16="Monthly",IF(AND(ISNUMBER(Clients!G16),(YEAR(EDATE(DATE(YEAR(TODAY()),MONTH(TODAY()),1),9))*12+MONTH(EDATE(DATE(YEAR(TODAY()),MONTH(TODAY()),1),9)))&gt;(YEAR(Clients!G16)*12+MONTH(Clients!G16))),"",1),IF(Clients!E16="Quarterly",IF(MOD((YEAR(EDATE(DATE(YEAR(TODAY()),MONTH(TODAY()),1),9))-YEAR(IF(ISNUMBER(Clients!F16),Clients!F16,DATE(YEAR(TODAY()),MONTH(TODAY()),1))))*12+MONTH(EDATE(DATE(YEAR(TODAY()),MONTH(TODAY()),1),9))-MONTH(IF(ISNUMBER(Clients!F16),Clients!F16,DATE(YEAR(TODAY()),MONTH(TODAY()),1))),3)=0,1,0),IF(Clients!E16="Semi-annual",IF(MOD((YEAR(EDATE(DATE(YEAR(TODAY()),MONTH(TODAY()),1),9))-YEAR(IF(ISNUMBER(Clients!F16),Clients!F16,DATE(YEAR(TODAY()),MONTH(TODAY()),1))))*12+MONTH(EDATE(DATE(YEAR(TODAY()),MONTH(TODAY()),1),9))-MONTH(IF(ISNUMBER(Clients!F16),Clients!F16,DATE(YEAR(TODAY()),MONTH(TODAY()),1))),6)=0,1,0),IF(Clients!E16="Annual",IF(MOD((YEAR(EDATE(DATE(YEAR(TODAY()),MONTH(TODAY()),1),9))-YEAR(IF(ISNUMBER(Clients!F16),Clients!F16,DATE(YEAR(TODAY()),MONTH(TODAY()),1))))*12+MONTH(EDATE(DATE(YEAR(TODAY()),MONTH(TODAY()),1),9))-MONTH(IF(ISNUMBER(Clients!F16),Clients!F16,DATE(YEAR(TODAY()),MONTH(TODAY()),1))),12)=0,1,0),IF(Clients!E16="One-time",IF(9=0,1,0),1)))))),"")</f>
        <v/>
      </c>
      <c r="P86" s="10" t="str">
        <f ca="1">IFERROR(IF(OR(10&gt;=$B$1,Clients!A16="",NOT(ISNUMBER(Clients!D16)),Clients!L16="Expired",Clients!L16="Terminate"),"",Clients!D16*1*IF(Clients!E16="Monthly",IF(AND(ISNUMBER(Clients!G16),(YEAR(EDATE(DATE(YEAR(TODAY()),MONTH(TODAY()),1),10))*12+MONTH(EDATE(DATE(YEAR(TODAY()),MONTH(TODAY()),1),10)))&gt;(YEAR(Clients!G16)*12+MONTH(Clients!G16))),"",1),IF(Clients!E16="Quarterly",IF(MOD((YEAR(EDATE(DATE(YEAR(TODAY()),MONTH(TODAY()),1),10))-YEAR(IF(ISNUMBER(Clients!F16),Clients!F16,DATE(YEAR(TODAY()),MONTH(TODAY()),1))))*12+MONTH(EDATE(DATE(YEAR(TODAY()),MONTH(TODAY()),1),10))-MONTH(IF(ISNUMBER(Clients!F16),Clients!F16,DATE(YEAR(TODAY()),MONTH(TODAY()),1))),3)=0,1,0),IF(Clients!E16="Semi-annual",IF(MOD((YEAR(EDATE(DATE(YEAR(TODAY()),MONTH(TODAY()),1),10))-YEAR(IF(ISNUMBER(Clients!F16),Clients!F16,DATE(YEAR(TODAY()),MONTH(TODAY()),1))))*12+MONTH(EDATE(DATE(YEAR(TODAY()),MONTH(TODAY()),1),10))-MONTH(IF(ISNUMBER(Clients!F16),Clients!F16,DATE(YEAR(TODAY()),MONTH(TODAY()),1))),6)=0,1,0),IF(Clients!E16="Annual",IF(MOD((YEAR(EDATE(DATE(YEAR(TODAY()),MONTH(TODAY()),1),10))-YEAR(IF(ISNUMBER(Clients!F16),Clients!F16,DATE(YEAR(TODAY()),MONTH(TODAY()),1))))*12+MONTH(EDATE(DATE(YEAR(TODAY()),MONTH(TODAY()),1),10))-MONTH(IF(ISNUMBER(Clients!F16),Clients!F16,DATE(YEAR(TODAY()),MONTH(TODAY()),1))),12)=0,1,0),IF(Clients!E16="One-time",IF(10=0,1,0),1)))))),"")</f>
        <v/>
      </c>
      <c r="Q86" s="10" t="str">
        <f ca="1">IFERROR(IF(OR(11&gt;=$B$1,Clients!A16="",NOT(ISNUMBER(Clients!D16)),Clients!L16="Expired",Clients!L16="Terminate"),"",Clients!D16*1*IF(Clients!E16="Monthly",IF(AND(ISNUMBER(Clients!G16),(YEAR(EDATE(DATE(YEAR(TODAY()),MONTH(TODAY()),1),11))*12+MONTH(EDATE(DATE(YEAR(TODAY()),MONTH(TODAY()),1),11)))&gt;(YEAR(Clients!G16)*12+MONTH(Clients!G16))),"",1),IF(Clients!E16="Quarterly",IF(MOD((YEAR(EDATE(DATE(YEAR(TODAY()),MONTH(TODAY()),1),11))-YEAR(IF(ISNUMBER(Clients!F16),Clients!F16,DATE(YEAR(TODAY()),MONTH(TODAY()),1))))*12+MONTH(EDATE(DATE(YEAR(TODAY()),MONTH(TODAY()),1),11))-MONTH(IF(ISNUMBER(Clients!F16),Clients!F16,DATE(YEAR(TODAY()),MONTH(TODAY()),1))),3)=0,1,0),IF(Clients!E16="Semi-annual",IF(MOD((YEAR(EDATE(DATE(YEAR(TODAY()),MONTH(TODAY()),1),11))-YEAR(IF(ISNUMBER(Clients!F16),Clients!F16,DATE(YEAR(TODAY()),MONTH(TODAY()),1))))*12+MONTH(EDATE(DATE(YEAR(TODAY()),MONTH(TODAY()),1),11))-MONTH(IF(ISNUMBER(Clients!F16),Clients!F16,DATE(YEAR(TODAY()),MONTH(TODAY()),1))),6)=0,1,0),IF(Clients!E16="Annual",IF(MOD((YEAR(EDATE(DATE(YEAR(TODAY()),MONTH(TODAY()),1),11))-YEAR(IF(ISNUMBER(Clients!F16),Clients!F16,DATE(YEAR(TODAY()),MONTH(TODAY()),1))))*12+MONTH(EDATE(DATE(YEAR(TODAY()),MONTH(TODAY()),1),11))-MONTH(IF(ISNUMBER(Clients!F16),Clients!F16,DATE(YEAR(TODAY()),MONTH(TODAY()),1))),12)=0,1,0),IF(Clients!E16="One-time",IF(11=0,1,0),1)))))),"")</f>
        <v/>
      </c>
      <c r="R86" s="10" t="str">
        <f ca="1">IFERROR(IF(OR(12&gt;=$B$1,Suppliers!A84="",NOT(ISNUMBER(Suppliers!D84)),Suppliers!L84="Expired",Suppliers!L84="Terminate"),"",Suppliers!D84*-1*IF(Suppliers!E84="Monthly",IF(AND(ISNUMBER(Suppliers!G84),(YEAR(EDATE(DATE(YEAR(TODAY()),MONTH(TODAY()),1),12))*12+MONTH(EDATE(DATE(YEAR(TODAY()),MONTH(TODAY()),1),12)))&gt;(YEAR(Suppliers!G84)*12+MONTH(Suppliers!G84))),"",1),IF(Suppliers!E84="Quarterly",IF(MOD((YEAR(EDATE(DATE(YEAR(TODAY()),MONTH(TODAY()),1),12))-YEAR(IF(ISNUMBER(Suppliers!F84),Suppliers!F84,DATE(YEAR(TODAY()),MONTH(TODAY()),1))))*12+MONTH(EDATE(DATE(YEAR(TODAY()),MONTH(TODAY()),1),12))-MONTH(IF(ISNUMBER(Suppliers!F84),Suppliers!F84,DATE(YEAR(TODAY()),MONTH(TODAY()),1))),3)=0,1,0),IF(Suppliers!E84="Semi-annual",IF(MOD((YEAR(EDATE(DATE(YEAR(TODAY()),MONTH(TODAY()),1),12))-YEAR(IF(ISNUMBER(Suppliers!F84),Suppliers!F84,DATE(YEAR(TODAY()),MONTH(TODAY()),1))))*12+MONTH(EDATE(DATE(YEAR(TODAY()),MONTH(TODAY()),1),12))-MONTH(IF(ISNUMBER(Suppliers!F84),Suppliers!F84,DATE(YEAR(TODAY()),MONTH(TODAY()),1))),6)=0,1,0),IF(Suppliers!E84="Annual",IF(MOD((YEAR(EDATE(DATE(YEAR(TODAY()),MONTH(TODAY()),1),12))-YEAR(IF(ISNUMBER(Suppliers!F84),Suppliers!F84,DATE(YEAR(TODAY()),MONTH(TODAY()),1))))*12+MONTH(EDATE(DATE(YEAR(TODAY()),MONTH(TODAY()),1),12))-MONTH(IF(ISNUMBER(Suppliers!F84),Suppliers!F84,DATE(YEAR(TODAY()),MONTH(TODAY()),1))),12)=0,1,0),IF(Suppliers!E84="One-time",IF(12=0,1,0),1)))))),"")</f>
        <v/>
      </c>
      <c r="S86" s="10" t="str">
        <f ca="1">IFERROR(IF(OR(13&gt;=$B$1,Suppliers!A84="",NOT(ISNUMBER(Suppliers!D84)),Suppliers!L84="Expired",Suppliers!L84="Terminate"),"",Suppliers!D84*-1*IF(Suppliers!E84="Monthly",IF(AND(ISNUMBER(Suppliers!G84),(YEAR(EDATE(DATE(YEAR(TODAY()),MONTH(TODAY()),1),13))*12+MONTH(EDATE(DATE(YEAR(TODAY()),MONTH(TODAY()),1),13)))&gt;(YEAR(Suppliers!G84)*12+MONTH(Suppliers!G84))),"",1),IF(Suppliers!E84="Quarterly",IF(MOD((YEAR(EDATE(DATE(YEAR(TODAY()),MONTH(TODAY()),1),13))-YEAR(IF(ISNUMBER(Suppliers!F84),Suppliers!F84,DATE(YEAR(TODAY()),MONTH(TODAY()),1))))*12+MONTH(EDATE(DATE(YEAR(TODAY()),MONTH(TODAY()),1),13))-MONTH(IF(ISNUMBER(Suppliers!F84),Suppliers!F84,DATE(YEAR(TODAY()),MONTH(TODAY()),1))),3)=0,1,0),IF(Suppliers!E84="Semi-annual",IF(MOD((YEAR(EDATE(DATE(YEAR(TODAY()),MONTH(TODAY()),1),13))-YEAR(IF(ISNUMBER(Suppliers!F84),Suppliers!F84,DATE(YEAR(TODAY()),MONTH(TODAY()),1))))*12+MONTH(EDATE(DATE(YEAR(TODAY()),MONTH(TODAY()),1),13))-MONTH(IF(ISNUMBER(Suppliers!F84),Suppliers!F84,DATE(YEAR(TODAY()),MONTH(TODAY()),1))),6)=0,1,0),IF(Suppliers!E84="Annual",IF(MOD((YEAR(EDATE(DATE(YEAR(TODAY()),MONTH(TODAY()),1),13))-YEAR(IF(ISNUMBER(Suppliers!F84),Suppliers!F84,DATE(YEAR(TODAY()),MONTH(TODAY()),1))))*12+MONTH(EDATE(DATE(YEAR(TODAY()),MONTH(TODAY()),1),13))-MONTH(IF(ISNUMBER(Suppliers!F84),Suppliers!F84,DATE(YEAR(TODAY()),MONTH(TODAY()),1))),12)=0,1,0),IF(Suppliers!E84="One-time",IF(13=0,1,0),1)))))),"")</f>
        <v/>
      </c>
      <c r="T86" s="10" t="str">
        <f ca="1">IFERROR(IF(OR(14&gt;=$B$1,Suppliers!A84="",NOT(ISNUMBER(Suppliers!D84)),Suppliers!L84="Expired",Suppliers!L84="Terminate"),"",Suppliers!D84*-1*IF(Suppliers!E84="Monthly",IF(AND(ISNUMBER(Suppliers!G84),(YEAR(EDATE(DATE(YEAR(TODAY()),MONTH(TODAY()),1),14))*12+MONTH(EDATE(DATE(YEAR(TODAY()),MONTH(TODAY()),1),14)))&gt;(YEAR(Suppliers!G84)*12+MONTH(Suppliers!G84))),"",1),IF(Suppliers!E84="Quarterly",IF(MOD((YEAR(EDATE(DATE(YEAR(TODAY()),MONTH(TODAY()),1),14))-YEAR(IF(ISNUMBER(Suppliers!F84),Suppliers!F84,DATE(YEAR(TODAY()),MONTH(TODAY()),1))))*12+MONTH(EDATE(DATE(YEAR(TODAY()),MONTH(TODAY()),1),14))-MONTH(IF(ISNUMBER(Suppliers!F84),Suppliers!F84,DATE(YEAR(TODAY()),MONTH(TODAY()),1))),3)=0,1,0),IF(Suppliers!E84="Semi-annual",IF(MOD((YEAR(EDATE(DATE(YEAR(TODAY()),MONTH(TODAY()),1),14))-YEAR(IF(ISNUMBER(Suppliers!F84),Suppliers!F84,DATE(YEAR(TODAY()),MONTH(TODAY()),1))))*12+MONTH(EDATE(DATE(YEAR(TODAY()),MONTH(TODAY()),1),14))-MONTH(IF(ISNUMBER(Suppliers!F84),Suppliers!F84,DATE(YEAR(TODAY()),MONTH(TODAY()),1))),6)=0,1,0),IF(Suppliers!E84="Annual",IF(MOD((YEAR(EDATE(DATE(YEAR(TODAY()),MONTH(TODAY()),1),14))-YEAR(IF(ISNUMBER(Suppliers!F84),Suppliers!F84,DATE(YEAR(TODAY()),MONTH(TODAY()),1))))*12+MONTH(EDATE(DATE(YEAR(TODAY()),MONTH(TODAY()),1),14))-MONTH(IF(ISNUMBER(Suppliers!F84),Suppliers!F84,DATE(YEAR(TODAY()),MONTH(TODAY()),1))),12)=0,1,0),IF(Suppliers!E84="One-time",IF(14=0,1,0),1)))))),"")</f>
        <v/>
      </c>
      <c r="U86" s="10" t="str">
        <f ca="1">IFERROR(IF(OR(15&gt;=$B$1,Suppliers!A84="",NOT(ISNUMBER(Suppliers!D84)),Suppliers!L84="Expired",Suppliers!L84="Terminate"),"",Suppliers!D84*-1*IF(Suppliers!E84="Monthly",IF(AND(ISNUMBER(Suppliers!G84),(YEAR(EDATE(DATE(YEAR(TODAY()),MONTH(TODAY()),1),15))*12+MONTH(EDATE(DATE(YEAR(TODAY()),MONTH(TODAY()),1),15)))&gt;(YEAR(Suppliers!G84)*12+MONTH(Suppliers!G84))),"",1),IF(Suppliers!E84="Quarterly",IF(MOD((YEAR(EDATE(DATE(YEAR(TODAY()),MONTH(TODAY()),1),15))-YEAR(IF(ISNUMBER(Suppliers!F84),Suppliers!F84,DATE(YEAR(TODAY()),MONTH(TODAY()),1))))*12+MONTH(EDATE(DATE(YEAR(TODAY()),MONTH(TODAY()),1),15))-MONTH(IF(ISNUMBER(Suppliers!F84),Suppliers!F84,DATE(YEAR(TODAY()),MONTH(TODAY()),1))),3)=0,1,0),IF(Suppliers!E84="Semi-annual",IF(MOD((YEAR(EDATE(DATE(YEAR(TODAY()),MONTH(TODAY()),1),15))-YEAR(IF(ISNUMBER(Suppliers!F84),Suppliers!F84,DATE(YEAR(TODAY()),MONTH(TODAY()),1))))*12+MONTH(EDATE(DATE(YEAR(TODAY()),MONTH(TODAY()),1),15))-MONTH(IF(ISNUMBER(Suppliers!F84),Suppliers!F84,DATE(YEAR(TODAY()),MONTH(TODAY()),1))),6)=0,1,0),IF(Suppliers!E84="Annual",IF(MOD((YEAR(EDATE(DATE(YEAR(TODAY()),MONTH(TODAY()),1),15))-YEAR(IF(ISNUMBER(Suppliers!F84),Suppliers!F84,DATE(YEAR(TODAY()),MONTH(TODAY()),1))))*12+MONTH(EDATE(DATE(YEAR(TODAY()),MONTH(TODAY()),1),15))-MONTH(IF(ISNUMBER(Suppliers!F84),Suppliers!F84,DATE(YEAR(TODAY()),MONTH(TODAY()),1))),12)=0,1,0),IF(Suppliers!E84="One-time",IF(15=0,1,0),1)))))),"")</f>
        <v/>
      </c>
      <c r="V86" s="10" t="str">
        <f ca="1">IFERROR(IF(OR(16&gt;=$B$1,Suppliers!A84="",NOT(ISNUMBER(Suppliers!D84)),Suppliers!L84="Expired",Suppliers!L84="Terminate"),"",Suppliers!D84*-1*IF(Suppliers!E84="Monthly",IF(AND(ISNUMBER(Suppliers!G84),(YEAR(EDATE(DATE(YEAR(TODAY()),MONTH(TODAY()),1),16))*12+MONTH(EDATE(DATE(YEAR(TODAY()),MONTH(TODAY()),1),16)))&gt;(YEAR(Suppliers!G84)*12+MONTH(Suppliers!G84))),"",1),IF(Suppliers!E84="Quarterly",IF(MOD((YEAR(EDATE(DATE(YEAR(TODAY()),MONTH(TODAY()),1),16))-YEAR(IF(ISNUMBER(Suppliers!F84),Suppliers!F84,DATE(YEAR(TODAY()),MONTH(TODAY()),1))))*12+MONTH(EDATE(DATE(YEAR(TODAY()),MONTH(TODAY()),1),16))-MONTH(IF(ISNUMBER(Suppliers!F84),Suppliers!F84,DATE(YEAR(TODAY()),MONTH(TODAY()),1))),3)=0,1,0),IF(Suppliers!E84="Semi-annual",IF(MOD((YEAR(EDATE(DATE(YEAR(TODAY()),MONTH(TODAY()),1),16))-YEAR(IF(ISNUMBER(Suppliers!F84),Suppliers!F84,DATE(YEAR(TODAY()),MONTH(TODAY()),1))))*12+MONTH(EDATE(DATE(YEAR(TODAY()),MONTH(TODAY()),1),16))-MONTH(IF(ISNUMBER(Suppliers!F84),Suppliers!F84,DATE(YEAR(TODAY()),MONTH(TODAY()),1))),6)=0,1,0),IF(Suppliers!E84="Annual",IF(MOD((YEAR(EDATE(DATE(YEAR(TODAY()),MONTH(TODAY()),1),16))-YEAR(IF(ISNUMBER(Suppliers!F84),Suppliers!F84,DATE(YEAR(TODAY()),MONTH(TODAY()),1))))*12+MONTH(EDATE(DATE(YEAR(TODAY()),MONTH(TODAY()),1),16))-MONTH(IF(ISNUMBER(Suppliers!F84),Suppliers!F84,DATE(YEAR(TODAY()),MONTH(TODAY()),1))),12)=0,1,0),IF(Suppliers!E84="One-time",IF(16=0,1,0),1)))))),"")</f>
        <v/>
      </c>
      <c r="W86" s="10" t="str">
        <f ca="1">IFERROR(IF(OR(17&gt;=$B$1,Suppliers!A84="",NOT(ISNUMBER(Suppliers!D84)),Suppliers!L84="Expired",Suppliers!L84="Terminate"),"",Suppliers!D84*-1*IF(Suppliers!E84="Monthly",IF(AND(ISNUMBER(Suppliers!G84),(YEAR(EDATE(DATE(YEAR(TODAY()),MONTH(TODAY()),1),17))*12+MONTH(EDATE(DATE(YEAR(TODAY()),MONTH(TODAY()),1),17)))&gt;(YEAR(Suppliers!G84)*12+MONTH(Suppliers!G84))),"",1),IF(Suppliers!E84="Quarterly",IF(MOD((YEAR(EDATE(DATE(YEAR(TODAY()),MONTH(TODAY()),1),17))-YEAR(IF(ISNUMBER(Suppliers!F84),Suppliers!F84,DATE(YEAR(TODAY()),MONTH(TODAY()),1))))*12+MONTH(EDATE(DATE(YEAR(TODAY()),MONTH(TODAY()),1),17))-MONTH(IF(ISNUMBER(Suppliers!F84),Suppliers!F84,DATE(YEAR(TODAY()),MONTH(TODAY()),1))),3)=0,1,0),IF(Suppliers!E84="Semi-annual",IF(MOD((YEAR(EDATE(DATE(YEAR(TODAY()),MONTH(TODAY()),1),17))-YEAR(IF(ISNUMBER(Suppliers!F84),Suppliers!F84,DATE(YEAR(TODAY()),MONTH(TODAY()),1))))*12+MONTH(EDATE(DATE(YEAR(TODAY()),MONTH(TODAY()),1),17))-MONTH(IF(ISNUMBER(Suppliers!F84),Suppliers!F84,DATE(YEAR(TODAY()),MONTH(TODAY()),1))),6)=0,1,0),IF(Suppliers!E84="Annual",IF(MOD((YEAR(EDATE(DATE(YEAR(TODAY()),MONTH(TODAY()),1),17))-YEAR(IF(ISNUMBER(Suppliers!F84),Suppliers!F84,DATE(YEAR(TODAY()),MONTH(TODAY()),1))))*12+MONTH(EDATE(DATE(YEAR(TODAY()),MONTH(TODAY()),1),17))-MONTH(IF(ISNUMBER(Suppliers!F84),Suppliers!F84,DATE(YEAR(TODAY()),MONTH(TODAY()),1))),12)=0,1,0),IF(Suppliers!E84="One-time",IF(17=0,1,0),1)))))),"")</f>
        <v/>
      </c>
      <c r="X86" s="10" t="str">
        <f ca="1">IFERROR(IF(OR(18&gt;=$B$1,Suppliers!A84="",NOT(ISNUMBER(Suppliers!D84)),Suppliers!L84="Expired",Suppliers!L84="Terminate"),"",Suppliers!D84*-1*IF(Suppliers!E84="Monthly",IF(AND(ISNUMBER(Suppliers!G84),(YEAR(EDATE(DATE(YEAR(TODAY()),MONTH(TODAY()),1),18))*12+MONTH(EDATE(DATE(YEAR(TODAY()),MONTH(TODAY()),1),18)))&gt;(YEAR(Suppliers!G84)*12+MONTH(Suppliers!G84))),"",1),IF(Suppliers!E84="Quarterly",IF(MOD((YEAR(EDATE(DATE(YEAR(TODAY()),MONTH(TODAY()),1),18))-YEAR(IF(ISNUMBER(Suppliers!F84),Suppliers!F84,DATE(YEAR(TODAY()),MONTH(TODAY()),1))))*12+MONTH(EDATE(DATE(YEAR(TODAY()),MONTH(TODAY()),1),18))-MONTH(IF(ISNUMBER(Suppliers!F84),Suppliers!F84,DATE(YEAR(TODAY()),MONTH(TODAY()),1))),3)=0,1,0),IF(Suppliers!E84="Semi-annual",IF(MOD((YEAR(EDATE(DATE(YEAR(TODAY()),MONTH(TODAY()),1),18))-YEAR(IF(ISNUMBER(Suppliers!F84),Suppliers!F84,DATE(YEAR(TODAY()),MONTH(TODAY()),1))))*12+MONTH(EDATE(DATE(YEAR(TODAY()),MONTH(TODAY()),1),18))-MONTH(IF(ISNUMBER(Suppliers!F84),Suppliers!F84,DATE(YEAR(TODAY()),MONTH(TODAY()),1))),6)=0,1,0),IF(Suppliers!E84="Annual",IF(MOD((YEAR(EDATE(DATE(YEAR(TODAY()),MONTH(TODAY()),1),18))-YEAR(IF(ISNUMBER(Suppliers!F84),Suppliers!F84,DATE(YEAR(TODAY()),MONTH(TODAY()),1))))*12+MONTH(EDATE(DATE(YEAR(TODAY()),MONTH(TODAY()),1),18))-MONTH(IF(ISNUMBER(Suppliers!F84),Suppliers!F84,DATE(YEAR(TODAY()),MONTH(TODAY()),1))),12)=0,1,0),IF(Suppliers!E84="One-time",IF(18=0,1,0),1)))))),"")</f>
        <v/>
      </c>
      <c r="Y86" s="10" t="str">
        <f ca="1">IFERROR(IF(OR(19&gt;=$B$1,Suppliers!A84="",NOT(ISNUMBER(Suppliers!D84)),Suppliers!L84="Expired",Suppliers!L84="Terminate"),"",Suppliers!D84*-1*IF(Suppliers!E84="Monthly",IF(AND(ISNUMBER(Suppliers!G84),(YEAR(EDATE(DATE(YEAR(TODAY()),MONTH(TODAY()),1),19))*12+MONTH(EDATE(DATE(YEAR(TODAY()),MONTH(TODAY()),1),19)))&gt;(YEAR(Suppliers!G84)*12+MONTH(Suppliers!G84))),"",1),IF(Suppliers!E84="Quarterly",IF(MOD((YEAR(EDATE(DATE(YEAR(TODAY()),MONTH(TODAY()),1),19))-YEAR(IF(ISNUMBER(Suppliers!F84),Suppliers!F84,DATE(YEAR(TODAY()),MONTH(TODAY()),1))))*12+MONTH(EDATE(DATE(YEAR(TODAY()),MONTH(TODAY()),1),19))-MONTH(IF(ISNUMBER(Suppliers!F84),Suppliers!F84,DATE(YEAR(TODAY()),MONTH(TODAY()),1))),3)=0,1,0),IF(Suppliers!E84="Semi-annual",IF(MOD((YEAR(EDATE(DATE(YEAR(TODAY()),MONTH(TODAY()),1),19))-YEAR(IF(ISNUMBER(Suppliers!F84),Suppliers!F84,DATE(YEAR(TODAY()),MONTH(TODAY()),1))))*12+MONTH(EDATE(DATE(YEAR(TODAY()),MONTH(TODAY()),1),19))-MONTH(IF(ISNUMBER(Suppliers!F84),Suppliers!F84,DATE(YEAR(TODAY()),MONTH(TODAY()),1))),6)=0,1,0),IF(Suppliers!E84="Annual",IF(MOD((YEAR(EDATE(DATE(YEAR(TODAY()),MONTH(TODAY()),1),19))-YEAR(IF(ISNUMBER(Suppliers!F84),Suppliers!F84,DATE(YEAR(TODAY()),MONTH(TODAY()),1))))*12+MONTH(EDATE(DATE(YEAR(TODAY()),MONTH(TODAY()),1),19))-MONTH(IF(ISNUMBER(Suppliers!F84),Suppliers!F84,DATE(YEAR(TODAY()),MONTH(TODAY()),1))),12)=0,1,0),IF(Suppliers!E84="One-time",IF(19=0,1,0),1)))))),"")</f>
        <v/>
      </c>
      <c r="Z86" s="10" t="str">
        <f ca="1">IFERROR(IF(OR(20&gt;=$B$1,Suppliers!A84="",NOT(ISNUMBER(Suppliers!D84)),Suppliers!L84="Expired",Suppliers!L84="Terminate"),"",Suppliers!D84*-1*IF(Suppliers!E84="Monthly",IF(AND(ISNUMBER(Suppliers!G84),(YEAR(EDATE(DATE(YEAR(TODAY()),MONTH(TODAY()),1),20))*12+MONTH(EDATE(DATE(YEAR(TODAY()),MONTH(TODAY()),1),20)))&gt;(YEAR(Suppliers!G84)*12+MONTH(Suppliers!G84))),"",1),IF(Suppliers!E84="Quarterly",IF(MOD((YEAR(EDATE(DATE(YEAR(TODAY()),MONTH(TODAY()),1),20))-YEAR(IF(ISNUMBER(Suppliers!F84),Suppliers!F84,DATE(YEAR(TODAY()),MONTH(TODAY()),1))))*12+MONTH(EDATE(DATE(YEAR(TODAY()),MONTH(TODAY()),1),20))-MONTH(IF(ISNUMBER(Suppliers!F84),Suppliers!F84,DATE(YEAR(TODAY()),MONTH(TODAY()),1))),3)=0,1,0),IF(Suppliers!E84="Semi-annual",IF(MOD((YEAR(EDATE(DATE(YEAR(TODAY()),MONTH(TODAY()),1),20))-YEAR(IF(ISNUMBER(Suppliers!F84),Suppliers!F84,DATE(YEAR(TODAY()),MONTH(TODAY()),1))))*12+MONTH(EDATE(DATE(YEAR(TODAY()),MONTH(TODAY()),1),20))-MONTH(IF(ISNUMBER(Suppliers!F84),Suppliers!F84,DATE(YEAR(TODAY()),MONTH(TODAY()),1))),6)=0,1,0),IF(Suppliers!E84="Annual",IF(MOD((YEAR(EDATE(DATE(YEAR(TODAY()),MONTH(TODAY()),1),20))-YEAR(IF(ISNUMBER(Suppliers!F84),Suppliers!F84,DATE(YEAR(TODAY()),MONTH(TODAY()),1))))*12+MONTH(EDATE(DATE(YEAR(TODAY()),MONTH(TODAY()),1),20))-MONTH(IF(ISNUMBER(Suppliers!F84),Suppliers!F84,DATE(YEAR(TODAY()),MONTH(TODAY()),1))),12)=0,1,0),IF(Suppliers!E84="One-time",IF(20=0,1,0),1)))))),"")</f>
        <v/>
      </c>
      <c r="AA86" s="10" t="str">
        <f ca="1">IFERROR(IF(OR(21&gt;=$B$1,Suppliers!A84="",NOT(ISNUMBER(Suppliers!D84)),Suppliers!L84="Expired",Suppliers!L84="Terminate"),"",Suppliers!D84*-1*IF(Suppliers!E84="Monthly",IF(AND(ISNUMBER(Suppliers!G84),(YEAR(EDATE(DATE(YEAR(TODAY()),MONTH(TODAY()),1),21))*12+MONTH(EDATE(DATE(YEAR(TODAY()),MONTH(TODAY()),1),21)))&gt;(YEAR(Suppliers!G84)*12+MONTH(Suppliers!G84))),"",1),IF(Suppliers!E84="Quarterly",IF(MOD((YEAR(EDATE(DATE(YEAR(TODAY()),MONTH(TODAY()),1),21))-YEAR(IF(ISNUMBER(Suppliers!F84),Suppliers!F84,DATE(YEAR(TODAY()),MONTH(TODAY()),1))))*12+MONTH(EDATE(DATE(YEAR(TODAY()),MONTH(TODAY()),1),21))-MONTH(IF(ISNUMBER(Suppliers!F84),Suppliers!F84,DATE(YEAR(TODAY()),MONTH(TODAY()),1))),3)=0,1,0),IF(Suppliers!E84="Semi-annual",IF(MOD((YEAR(EDATE(DATE(YEAR(TODAY()),MONTH(TODAY()),1),21))-YEAR(IF(ISNUMBER(Suppliers!F84),Suppliers!F84,DATE(YEAR(TODAY()),MONTH(TODAY()),1))))*12+MONTH(EDATE(DATE(YEAR(TODAY()),MONTH(TODAY()),1),21))-MONTH(IF(ISNUMBER(Suppliers!F84),Suppliers!F84,DATE(YEAR(TODAY()),MONTH(TODAY()),1))),6)=0,1,0),IF(Suppliers!E84="Annual",IF(MOD((YEAR(EDATE(DATE(YEAR(TODAY()),MONTH(TODAY()),1),21))-YEAR(IF(ISNUMBER(Suppliers!F84),Suppliers!F84,DATE(YEAR(TODAY()),MONTH(TODAY()),1))))*12+MONTH(EDATE(DATE(YEAR(TODAY()),MONTH(TODAY()),1),21))-MONTH(IF(ISNUMBER(Suppliers!F84),Suppliers!F84,DATE(YEAR(TODAY()),MONTH(TODAY()),1))),12)=0,1,0),IF(Suppliers!E84="One-time",IF(21=0,1,0),1)))))),"")</f>
        <v/>
      </c>
      <c r="AB86" s="10" t="str">
        <f ca="1">IFERROR(IF(OR(22&gt;=$B$1,Suppliers!A84="",NOT(ISNUMBER(Suppliers!D84)),Suppliers!L84="Expired",Suppliers!L84="Terminate"),"",Suppliers!D84*-1*IF(Suppliers!E84="Monthly",IF(AND(ISNUMBER(Suppliers!G84),(YEAR(EDATE(DATE(YEAR(TODAY()),MONTH(TODAY()),1),22))*12+MONTH(EDATE(DATE(YEAR(TODAY()),MONTH(TODAY()),1),22)))&gt;(YEAR(Suppliers!G84)*12+MONTH(Suppliers!G84))),"",1),IF(Suppliers!E84="Quarterly",IF(MOD((YEAR(EDATE(DATE(YEAR(TODAY()),MONTH(TODAY()),1),22))-YEAR(IF(ISNUMBER(Suppliers!F84),Suppliers!F84,DATE(YEAR(TODAY()),MONTH(TODAY()),1))))*12+MONTH(EDATE(DATE(YEAR(TODAY()),MONTH(TODAY()),1),22))-MONTH(IF(ISNUMBER(Suppliers!F84),Suppliers!F84,DATE(YEAR(TODAY()),MONTH(TODAY()),1))),3)=0,1,0),IF(Suppliers!E84="Semi-annual",IF(MOD((YEAR(EDATE(DATE(YEAR(TODAY()),MONTH(TODAY()),1),22))-YEAR(IF(ISNUMBER(Suppliers!F84),Suppliers!F84,DATE(YEAR(TODAY()),MONTH(TODAY()),1))))*12+MONTH(EDATE(DATE(YEAR(TODAY()),MONTH(TODAY()),1),22))-MONTH(IF(ISNUMBER(Suppliers!F84),Suppliers!F84,DATE(YEAR(TODAY()),MONTH(TODAY()),1))),6)=0,1,0),IF(Suppliers!E84="Annual",IF(MOD((YEAR(EDATE(DATE(YEAR(TODAY()),MONTH(TODAY()),1),22))-YEAR(IF(ISNUMBER(Suppliers!F84),Suppliers!F84,DATE(YEAR(TODAY()),MONTH(TODAY()),1))))*12+MONTH(EDATE(DATE(YEAR(TODAY()),MONTH(TODAY()),1),22))-MONTH(IF(ISNUMBER(Suppliers!F84),Suppliers!F84,DATE(YEAR(TODAY()),MONTH(TODAY()),1))),12)=0,1,0),IF(Suppliers!E84="One-time",IF(22=0,1,0),1)))))),"")</f>
        <v/>
      </c>
      <c r="AC86" s="10" t="str">
        <f ca="1">IFERROR(IF(OR(23&gt;=$B$1,Suppliers!A84="",NOT(ISNUMBER(Suppliers!D84)),Suppliers!L84="Expired",Suppliers!L84="Terminate"),"",Suppliers!D84*-1*IF(Suppliers!E84="Monthly",IF(AND(ISNUMBER(Suppliers!G84),(YEAR(EDATE(DATE(YEAR(TODAY()),MONTH(TODAY()),1),23))*12+MONTH(EDATE(DATE(YEAR(TODAY()),MONTH(TODAY()),1),23)))&gt;(YEAR(Suppliers!G84)*12+MONTH(Suppliers!G84))),"",1),IF(Suppliers!E84="Quarterly",IF(MOD((YEAR(EDATE(DATE(YEAR(TODAY()),MONTH(TODAY()),1),23))-YEAR(IF(ISNUMBER(Suppliers!F84),Suppliers!F84,DATE(YEAR(TODAY()),MONTH(TODAY()),1))))*12+MONTH(EDATE(DATE(YEAR(TODAY()),MONTH(TODAY()),1),23))-MONTH(IF(ISNUMBER(Suppliers!F84),Suppliers!F84,DATE(YEAR(TODAY()),MONTH(TODAY()),1))),3)=0,1,0),IF(Suppliers!E84="Semi-annual",IF(MOD((YEAR(EDATE(DATE(YEAR(TODAY()),MONTH(TODAY()),1),23))-YEAR(IF(ISNUMBER(Suppliers!F84),Suppliers!F84,DATE(YEAR(TODAY()),MONTH(TODAY()),1))))*12+MONTH(EDATE(DATE(YEAR(TODAY()),MONTH(TODAY()),1),23))-MONTH(IF(ISNUMBER(Suppliers!F84),Suppliers!F84,DATE(YEAR(TODAY()),MONTH(TODAY()),1))),6)=0,1,0),IF(Suppliers!E84="Annual",IF(MOD((YEAR(EDATE(DATE(YEAR(TODAY()),MONTH(TODAY()),1),23))-YEAR(IF(ISNUMBER(Suppliers!F84),Suppliers!F84,DATE(YEAR(TODAY()),MONTH(TODAY()),1))))*12+MONTH(EDATE(DATE(YEAR(TODAY()),MONTH(TODAY()),1),23))-MONTH(IF(ISNUMBER(Suppliers!F84),Suppliers!F84,DATE(YEAR(TODAY()),MONTH(TODAY()),1))),12)=0,1,0),IF(Suppliers!E84="One-time",IF(23=0,1,0),1)))))),"")</f>
        <v/>
      </c>
    </row>
    <row r="87" spans="1:29" ht="15" customHeight="1" x14ac:dyDescent="0.35">
      <c r="A87" s="4" t="s">
        <v>81</v>
      </c>
      <c r="B87" s="4" t="str">
        <f>IF(Clients!A17="","",Clients!A17)</f>
        <v/>
      </c>
      <c r="C87" s="10" t="str">
        <f>IF(Clients!C17="","",Clients!C17)</f>
        <v/>
      </c>
      <c r="D87" s="10" t="str">
        <f>IF(Clients!D17="","",Clients!D17)</f>
        <v/>
      </c>
      <c r="E87" s="4" t="str">
        <f>IF(Clients!E17="","",Clients!E17)</f>
        <v/>
      </c>
      <c r="F87" s="10" t="str">
        <f ca="1">IFERROR(IF(OR(0&gt;=$B$1,Clients!A17="",NOT(ISNUMBER(Clients!D17)),Clients!L17="Expired",Clients!L17="Terminate"),"",Clients!D17*1*IF(Clients!E17="Monthly",IF(AND(ISNUMBER(Clients!G17),(YEAR(EDATE(DATE(YEAR(TODAY()),MONTH(TODAY()),1),0))*12+MONTH(EDATE(DATE(YEAR(TODAY()),MONTH(TODAY()),1),0)))&gt;(YEAR(Clients!G17)*12+MONTH(Clients!G17))),"",1),IF(Clients!E17="Quarterly",IF(MOD((YEAR(EDATE(DATE(YEAR(TODAY()),MONTH(TODAY()),1),0))-YEAR(IF(ISNUMBER(Clients!F17),Clients!F17,DATE(YEAR(TODAY()),MONTH(TODAY()),1))))*12+MONTH(EDATE(DATE(YEAR(TODAY()),MONTH(TODAY()),1),0))-MONTH(IF(ISNUMBER(Clients!F17),Clients!F17,DATE(YEAR(TODAY()),MONTH(TODAY()),1))),3)=0,1,0),IF(Clients!E17="Semi-annual",IF(MOD((YEAR(EDATE(DATE(YEAR(TODAY()),MONTH(TODAY()),1),0))-YEAR(IF(ISNUMBER(Clients!F17),Clients!F17,DATE(YEAR(TODAY()),MONTH(TODAY()),1))))*12+MONTH(EDATE(DATE(YEAR(TODAY()),MONTH(TODAY()),1),0))-MONTH(IF(ISNUMBER(Clients!F17),Clients!F17,DATE(YEAR(TODAY()),MONTH(TODAY()),1))),6)=0,1,0),IF(Clients!E17="Annual",IF(MOD((YEAR(EDATE(DATE(YEAR(TODAY()),MONTH(TODAY()),1),0))-YEAR(IF(ISNUMBER(Clients!F17),Clients!F17,DATE(YEAR(TODAY()),MONTH(TODAY()),1))))*12+MONTH(EDATE(DATE(YEAR(TODAY()),MONTH(TODAY()),1),0))-MONTH(IF(ISNUMBER(Clients!F17),Clients!F17,DATE(YEAR(TODAY()),MONTH(TODAY()),1))),12)=0,1,0),IF(Clients!E17="One-time",IF(0=0,1,0),1)))))),"")</f>
        <v/>
      </c>
      <c r="G87" s="10" t="str">
        <f ca="1">IFERROR(IF(OR(1&gt;=$B$1,Clients!A17="",NOT(ISNUMBER(Clients!D17)),Clients!L17="Expired",Clients!L17="Terminate"),"",Clients!D17*1*IF(Clients!E17="Monthly",IF(AND(ISNUMBER(Clients!G17),(YEAR(EDATE(DATE(YEAR(TODAY()),MONTH(TODAY()),1),1))*12+MONTH(EDATE(DATE(YEAR(TODAY()),MONTH(TODAY()),1),1)))&gt;(YEAR(Clients!G17)*12+MONTH(Clients!G17))),"",1),IF(Clients!E17="Quarterly",IF(MOD((YEAR(EDATE(DATE(YEAR(TODAY()),MONTH(TODAY()),1),1))-YEAR(IF(ISNUMBER(Clients!F17),Clients!F17,DATE(YEAR(TODAY()),MONTH(TODAY()),1))))*12+MONTH(EDATE(DATE(YEAR(TODAY()),MONTH(TODAY()),1),1))-MONTH(IF(ISNUMBER(Clients!F17),Clients!F17,DATE(YEAR(TODAY()),MONTH(TODAY()),1))),3)=0,1,0),IF(Clients!E17="Semi-annual",IF(MOD((YEAR(EDATE(DATE(YEAR(TODAY()),MONTH(TODAY()),1),1))-YEAR(IF(ISNUMBER(Clients!F17),Clients!F17,DATE(YEAR(TODAY()),MONTH(TODAY()),1))))*12+MONTH(EDATE(DATE(YEAR(TODAY()),MONTH(TODAY()),1),1))-MONTH(IF(ISNUMBER(Clients!F17),Clients!F17,DATE(YEAR(TODAY()),MONTH(TODAY()),1))),6)=0,1,0),IF(Clients!E17="Annual",IF(MOD((YEAR(EDATE(DATE(YEAR(TODAY()),MONTH(TODAY()),1),1))-YEAR(IF(ISNUMBER(Clients!F17),Clients!F17,DATE(YEAR(TODAY()),MONTH(TODAY()),1))))*12+MONTH(EDATE(DATE(YEAR(TODAY()),MONTH(TODAY()),1),1))-MONTH(IF(ISNUMBER(Clients!F17),Clients!F17,DATE(YEAR(TODAY()),MONTH(TODAY()),1))),12)=0,1,0),IF(Clients!E17="One-time",IF(1=0,1,0),1)))))),"")</f>
        <v/>
      </c>
      <c r="H87" s="10" t="str">
        <f ca="1">IFERROR(IF(OR(2&gt;=$B$1,Clients!A17="",NOT(ISNUMBER(Clients!D17)),Clients!L17="Expired",Clients!L17="Terminate"),"",Clients!D17*1*IF(Clients!E17="Monthly",IF(AND(ISNUMBER(Clients!G17),(YEAR(EDATE(DATE(YEAR(TODAY()),MONTH(TODAY()),1),2))*12+MONTH(EDATE(DATE(YEAR(TODAY()),MONTH(TODAY()),1),2)))&gt;(YEAR(Clients!G17)*12+MONTH(Clients!G17))),"",1),IF(Clients!E17="Quarterly",IF(MOD((YEAR(EDATE(DATE(YEAR(TODAY()),MONTH(TODAY()),1),2))-YEAR(IF(ISNUMBER(Clients!F17),Clients!F17,DATE(YEAR(TODAY()),MONTH(TODAY()),1))))*12+MONTH(EDATE(DATE(YEAR(TODAY()),MONTH(TODAY()),1),2))-MONTH(IF(ISNUMBER(Clients!F17),Clients!F17,DATE(YEAR(TODAY()),MONTH(TODAY()),1))),3)=0,1,0),IF(Clients!E17="Semi-annual",IF(MOD((YEAR(EDATE(DATE(YEAR(TODAY()),MONTH(TODAY()),1),2))-YEAR(IF(ISNUMBER(Clients!F17),Clients!F17,DATE(YEAR(TODAY()),MONTH(TODAY()),1))))*12+MONTH(EDATE(DATE(YEAR(TODAY()),MONTH(TODAY()),1),2))-MONTH(IF(ISNUMBER(Clients!F17),Clients!F17,DATE(YEAR(TODAY()),MONTH(TODAY()),1))),6)=0,1,0),IF(Clients!E17="Annual",IF(MOD((YEAR(EDATE(DATE(YEAR(TODAY()),MONTH(TODAY()),1),2))-YEAR(IF(ISNUMBER(Clients!F17),Clients!F17,DATE(YEAR(TODAY()),MONTH(TODAY()),1))))*12+MONTH(EDATE(DATE(YEAR(TODAY()),MONTH(TODAY()),1),2))-MONTH(IF(ISNUMBER(Clients!F17),Clients!F17,DATE(YEAR(TODAY()),MONTH(TODAY()),1))),12)=0,1,0),IF(Clients!E17="One-time",IF(2=0,1,0),1)))))),"")</f>
        <v/>
      </c>
      <c r="I87" s="10" t="str">
        <f ca="1">IFERROR(IF(OR(3&gt;=$B$1,Clients!A17="",NOT(ISNUMBER(Clients!D17)),Clients!L17="Expired",Clients!L17="Terminate"),"",Clients!D17*1*IF(Clients!E17="Monthly",IF(AND(ISNUMBER(Clients!G17),(YEAR(EDATE(DATE(YEAR(TODAY()),MONTH(TODAY()),1),3))*12+MONTH(EDATE(DATE(YEAR(TODAY()),MONTH(TODAY()),1),3)))&gt;(YEAR(Clients!G17)*12+MONTH(Clients!G17))),"",1),IF(Clients!E17="Quarterly",IF(MOD((YEAR(EDATE(DATE(YEAR(TODAY()),MONTH(TODAY()),1),3))-YEAR(IF(ISNUMBER(Clients!F17),Clients!F17,DATE(YEAR(TODAY()),MONTH(TODAY()),1))))*12+MONTH(EDATE(DATE(YEAR(TODAY()),MONTH(TODAY()),1),3))-MONTH(IF(ISNUMBER(Clients!F17),Clients!F17,DATE(YEAR(TODAY()),MONTH(TODAY()),1))),3)=0,1,0),IF(Clients!E17="Semi-annual",IF(MOD((YEAR(EDATE(DATE(YEAR(TODAY()),MONTH(TODAY()),1),3))-YEAR(IF(ISNUMBER(Clients!F17),Clients!F17,DATE(YEAR(TODAY()),MONTH(TODAY()),1))))*12+MONTH(EDATE(DATE(YEAR(TODAY()),MONTH(TODAY()),1),3))-MONTH(IF(ISNUMBER(Clients!F17),Clients!F17,DATE(YEAR(TODAY()),MONTH(TODAY()),1))),6)=0,1,0),IF(Clients!E17="Annual",IF(MOD((YEAR(EDATE(DATE(YEAR(TODAY()),MONTH(TODAY()),1),3))-YEAR(IF(ISNUMBER(Clients!F17),Clients!F17,DATE(YEAR(TODAY()),MONTH(TODAY()),1))))*12+MONTH(EDATE(DATE(YEAR(TODAY()),MONTH(TODAY()),1),3))-MONTH(IF(ISNUMBER(Clients!F17),Clients!F17,DATE(YEAR(TODAY()),MONTH(TODAY()),1))),12)=0,1,0),IF(Clients!E17="One-time",IF(3=0,1,0),1)))))),"")</f>
        <v/>
      </c>
      <c r="J87" s="10" t="str">
        <f ca="1">IFERROR(IF(OR(4&gt;=$B$1,Clients!A17="",NOT(ISNUMBER(Clients!D17)),Clients!L17="Expired",Clients!L17="Terminate"),"",Clients!D17*1*IF(Clients!E17="Monthly",IF(AND(ISNUMBER(Clients!G17),(YEAR(EDATE(DATE(YEAR(TODAY()),MONTH(TODAY()),1),4))*12+MONTH(EDATE(DATE(YEAR(TODAY()),MONTH(TODAY()),1),4)))&gt;(YEAR(Clients!G17)*12+MONTH(Clients!G17))),"",1),IF(Clients!E17="Quarterly",IF(MOD((YEAR(EDATE(DATE(YEAR(TODAY()),MONTH(TODAY()),1),4))-YEAR(IF(ISNUMBER(Clients!F17),Clients!F17,DATE(YEAR(TODAY()),MONTH(TODAY()),1))))*12+MONTH(EDATE(DATE(YEAR(TODAY()),MONTH(TODAY()),1),4))-MONTH(IF(ISNUMBER(Clients!F17),Clients!F17,DATE(YEAR(TODAY()),MONTH(TODAY()),1))),3)=0,1,0),IF(Clients!E17="Semi-annual",IF(MOD((YEAR(EDATE(DATE(YEAR(TODAY()),MONTH(TODAY()),1),4))-YEAR(IF(ISNUMBER(Clients!F17),Clients!F17,DATE(YEAR(TODAY()),MONTH(TODAY()),1))))*12+MONTH(EDATE(DATE(YEAR(TODAY()),MONTH(TODAY()),1),4))-MONTH(IF(ISNUMBER(Clients!F17),Clients!F17,DATE(YEAR(TODAY()),MONTH(TODAY()),1))),6)=0,1,0),IF(Clients!E17="Annual",IF(MOD((YEAR(EDATE(DATE(YEAR(TODAY()),MONTH(TODAY()),1),4))-YEAR(IF(ISNUMBER(Clients!F17),Clients!F17,DATE(YEAR(TODAY()),MONTH(TODAY()),1))))*12+MONTH(EDATE(DATE(YEAR(TODAY()),MONTH(TODAY()),1),4))-MONTH(IF(ISNUMBER(Clients!F17),Clients!F17,DATE(YEAR(TODAY()),MONTH(TODAY()),1))),12)=0,1,0),IF(Clients!E17="One-time",IF(4=0,1,0),1)))))),"")</f>
        <v/>
      </c>
      <c r="K87" s="10" t="str">
        <f ca="1">IFERROR(IF(OR(5&gt;=$B$1,Clients!A17="",NOT(ISNUMBER(Clients!D17)),Clients!L17="Expired",Clients!L17="Terminate"),"",Clients!D17*1*IF(Clients!E17="Monthly",IF(AND(ISNUMBER(Clients!G17),(YEAR(EDATE(DATE(YEAR(TODAY()),MONTH(TODAY()),1),5))*12+MONTH(EDATE(DATE(YEAR(TODAY()),MONTH(TODAY()),1),5)))&gt;(YEAR(Clients!G17)*12+MONTH(Clients!G17))),"",1),IF(Clients!E17="Quarterly",IF(MOD((YEAR(EDATE(DATE(YEAR(TODAY()),MONTH(TODAY()),1),5))-YEAR(IF(ISNUMBER(Clients!F17),Clients!F17,DATE(YEAR(TODAY()),MONTH(TODAY()),1))))*12+MONTH(EDATE(DATE(YEAR(TODAY()),MONTH(TODAY()),1),5))-MONTH(IF(ISNUMBER(Clients!F17),Clients!F17,DATE(YEAR(TODAY()),MONTH(TODAY()),1))),3)=0,1,0),IF(Clients!E17="Semi-annual",IF(MOD((YEAR(EDATE(DATE(YEAR(TODAY()),MONTH(TODAY()),1),5))-YEAR(IF(ISNUMBER(Clients!F17),Clients!F17,DATE(YEAR(TODAY()),MONTH(TODAY()),1))))*12+MONTH(EDATE(DATE(YEAR(TODAY()),MONTH(TODAY()),1),5))-MONTH(IF(ISNUMBER(Clients!F17),Clients!F17,DATE(YEAR(TODAY()),MONTH(TODAY()),1))),6)=0,1,0),IF(Clients!E17="Annual",IF(MOD((YEAR(EDATE(DATE(YEAR(TODAY()),MONTH(TODAY()),1),5))-YEAR(IF(ISNUMBER(Clients!F17),Clients!F17,DATE(YEAR(TODAY()),MONTH(TODAY()),1))))*12+MONTH(EDATE(DATE(YEAR(TODAY()),MONTH(TODAY()),1),5))-MONTH(IF(ISNUMBER(Clients!F17),Clients!F17,DATE(YEAR(TODAY()),MONTH(TODAY()),1))),12)=0,1,0),IF(Clients!E17="One-time",IF(5=0,1,0),1)))))),"")</f>
        <v/>
      </c>
      <c r="L87" s="10" t="str">
        <f ca="1">IFERROR(IF(OR(6&gt;=$B$1,Clients!A17="",NOT(ISNUMBER(Clients!D17)),Clients!L17="Expired",Clients!L17="Terminate"),"",Clients!D17*1*IF(Clients!E17="Monthly",IF(AND(ISNUMBER(Clients!G17),(YEAR(EDATE(DATE(YEAR(TODAY()),MONTH(TODAY()),1),6))*12+MONTH(EDATE(DATE(YEAR(TODAY()),MONTH(TODAY()),1),6)))&gt;(YEAR(Clients!G17)*12+MONTH(Clients!G17))),"",1),IF(Clients!E17="Quarterly",IF(MOD((YEAR(EDATE(DATE(YEAR(TODAY()),MONTH(TODAY()),1),6))-YEAR(IF(ISNUMBER(Clients!F17),Clients!F17,DATE(YEAR(TODAY()),MONTH(TODAY()),1))))*12+MONTH(EDATE(DATE(YEAR(TODAY()),MONTH(TODAY()),1),6))-MONTH(IF(ISNUMBER(Clients!F17),Clients!F17,DATE(YEAR(TODAY()),MONTH(TODAY()),1))),3)=0,1,0),IF(Clients!E17="Semi-annual",IF(MOD((YEAR(EDATE(DATE(YEAR(TODAY()),MONTH(TODAY()),1),6))-YEAR(IF(ISNUMBER(Clients!F17),Clients!F17,DATE(YEAR(TODAY()),MONTH(TODAY()),1))))*12+MONTH(EDATE(DATE(YEAR(TODAY()),MONTH(TODAY()),1),6))-MONTH(IF(ISNUMBER(Clients!F17),Clients!F17,DATE(YEAR(TODAY()),MONTH(TODAY()),1))),6)=0,1,0),IF(Clients!E17="Annual",IF(MOD((YEAR(EDATE(DATE(YEAR(TODAY()),MONTH(TODAY()),1),6))-YEAR(IF(ISNUMBER(Clients!F17),Clients!F17,DATE(YEAR(TODAY()),MONTH(TODAY()),1))))*12+MONTH(EDATE(DATE(YEAR(TODAY()),MONTH(TODAY()),1),6))-MONTH(IF(ISNUMBER(Clients!F17),Clients!F17,DATE(YEAR(TODAY()),MONTH(TODAY()),1))),12)=0,1,0),IF(Clients!E17="One-time",IF(6=0,1,0),1)))))),"")</f>
        <v/>
      </c>
      <c r="M87" s="10" t="str">
        <f ca="1">IFERROR(IF(OR(7&gt;=$B$1,Clients!A17="",NOT(ISNUMBER(Clients!D17)),Clients!L17="Expired",Clients!L17="Terminate"),"",Clients!D17*1*IF(Clients!E17="Monthly",IF(AND(ISNUMBER(Clients!G17),(YEAR(EDATE(DATE(YEAR(TODAY()),MONTH(TODAY()),1),7))*12+MONTH(EDATE(DATE(YEAR(TODAY()),MONTH(TODAY()),1),7)))&gt;(YEAR(Clients!G17)*12+MONTH(Clients!G17))),"",1),IF(Clients!E17="Quarterly",IF(MOD((YEAR(EDATE(DATE(YEAR(TODAY()),MONTH(TODAY()),1),7))-YEAR(IF(ISNUMBER(Clients!F17),Clients!F17,DATE(YEAR(TODAY()),MONTH(TODAY()),1))))*12+MONTH(EDATE(DATE(YEAR(TODAY()),MONTH(TODAY()),1),7))-MONTH(IF(ISNUMBER(Clients!F17),Clients!F17,DATE(YEAR(TODAY()),MONTH(TODAY()),1))),3)=0,1,0),IF(Clients!E17="Semi-annual",IF(MOD((YEAR(EDATE(DATE(YEAR(TODAY()),MONTH(TODAY()),1),7))-YEAR(IF(ISNUMBER(Clients!F17),Clients!F17,DATE(YEAR(TODAY()),MONTH(TODAY()),1))))*12+MONTH(EDATE(DATE(YEAR(TODAY()),MONTH(TODAY()),1),7))-MONTH(IF(ISNUMBER(Clients!F17),Clients!F17,DATE(YEAR(TODAY()),MONTH(TODAY()),1))),6)=0,1,0),IF(Clients!E17="Annual",IF(MOD((YEAR(EDATE(DATE(YEAR(TODAY()),MONTH(TODAY()),1),7))-YEAR(IF(ISNUMBER(Clients!F17),Clients!F17,DATE(YEAR(TODAY()),MONTH(TODAY()),1))))*12+MONTH(EDATE(DATE(YEAR(TODAY()),MONTH(TODAY()),1),7))-MONTH(IF(ISNUMBER(Clients!F17),Clients!F17,DATE(YEAR(TODAY()),MONTH(TODAY()),1))),12)=0,1,0),IF(Clients!E17="One-time",IF(7=0,1,0),1)))))),"")</f>
        <v/>
      </c>
      <c r="N87" s="10" t="str">
        <f ca="1">IFERROR(IF(OR(8&gt;=$B$1,Clients!A17="",NOT(ISNUMBER(Clients!D17)),Clients!L17="Expired",Clients!L17="Terminate"),"",Clients!D17*1*IF(Clients!E17="Monthly",IF(AND(ISNUMBER(Clients!G17),(YEAR(EDATE(DATE(YEAR(TODAY()),MONTH(TODAY()),1),8))*12+MONTH(EDATE(DATE(YEAR(TODAY()),MONTH(TODAY()),1),8)))&gt;(YEAR(Clients!G17)*12+MONTH(Clients!G17))),"",1),IF(Clients!E17="Quarterly",IF(MOD((YEAR(EDATE(DATE(YEAR(TODAY()),MONTH(TODAY()),1),8))-YEAR(IF(ISNUMBER(Clients!F17),Clients!F17,DATE(YEAR(TODAY()),MONTH(TODAY()),1))))*12+MONTH(EDATE(DATE(YEAR(TODAY()),MONTH(TODAY()),1),8))-MONTH(IF(ISNUMBER(Clients!F17),Clients!F17,DATE(YEAR(TODAY()),MONTH(TODAY()),1))),3)=0,1,0),IF(Clients!E17="Semi-annual",IF(MOD((YEAR(EDATE(DATE(YEAR(TODAY()),MONTH(TODAY()),1),8))-YEAR(IF(ISNUMBER(Clients!F17),Clients!F17,DATE(YEAR(TODAY()),MONTH(TODAY()),1))))*12+MONTH(EDATE(DATE(YEAR(TODAY()),MONTH(TODAY()),1),8))-MONTH(IF(ISNUMBER(Clients!F17),Clients!F17,DATE(YEAR(TODAY()),MONTH(TODAY()),1))),6)=0,1,0),IF(Clients!E17="Annual",IF(MOD((YEAR(EDATE(DATE(YEAR(TODAY()),MONTH(TODAY()),1),8))-YEAR(IF(ISNUMBER(Clients!F17),Clients!F17,DATE(YEAR(TODAY()),MONTH(TODAY()),1))))*12+MONTH(EDATE(DATE(YEAR(TODAY()),MONTH(TODAY()),1),8))-MONTH(IF(ISNUMBER(Clients!F17),Clients!F17,DATE(YEAR(TODAY()),MONTH(TODAY()),1))),12)=0,1,0),IF(Clients!E17="One-time",IF(8=0,1,0),1)))))),"")</f>
        <v/>
      </c>
      <c r="O87" s="10" t="str">
        <f ca="1">IFERROR(IF(OR(9&gt;=$B$1,Clients!A17="",NOT(ISNUMBER(Clients!D17)),Clients!L17="Expired",Clients!L17="Terminate"),"",Clients!D17*1*IF(Clients!E17="Monthly",IF(AND(ISNUMBER(Clients!G17),(YEAR(EDATE(DATE(YEAR(TODAY()),MONTH(TODAY()),1),9))*12+MONTH(EDATE(DATE(YEAR(TODAY()),MONTH(TODAY()),1),9)))&gt;(YEAR(Clients!G17)*12+MONTH(Clients!G17))),"",1),IF(Clients!E17="Quarterly",IF(MOD((YEAR(EDATE(DATE(YEAR(TODAY()),MONTH(TODAY()),1),9))-YEAR(IF(ISNUMBER(Clients!F17),Clients!F17,DATE(YEAR(TODAY()),MONTH(TODAY()),1))))*12+MONTH(EDATE(DATE(YEAR(TODAY()),MONTH(TODAY()),1),9))-MONTH(IF(ISNUMBER(Clients!F17),Clients!F17,DATE(YEAR(TODAY()),MONTH(TODAY()),1))),3)=0,1,0),IF(Clients!E17="Semi-annual",IF(MOD((YEAR(EDATE(DATE(YEAR(TODAY()),MONTH(TODAY()),1),9))-YEAR(IF(ISNUMBER(Clients!F17),Clients!F17,DATE(YEAR(TODAY()),MONTH(TODAY()),1))))*12+MONTH(EDATE(DATE(YEAR(TODAY()),MONTH(TODAY()),1),9))-MONTH(IF(ISNUMBER(Clients!F17),Clients!F17,DATE(YEAR(TODAY()),MONTH(TODAY()),1))),6)=0,1,0),IF(Clients!E17="Annual",IF(MOD((YEAR(EDATE(DATE(YEAR(TODAY()),MONTH(TODAY()),1),9))-YEAR(IF(ISNUMBER(Clients!F17),Clients!F17,DATE(YEAR(TODAY()),MONTH(TODAY()),1))))*12+MONTH(EDATE(DATE(YEAR(TODAY()),MONTH(TODAY()),1),9))-MONTH(IF(ISNUMBER(Clients!F17),Clients!F17,DATE(YEAR(TODAY()),MONTH(TODAY()),1))),12)=0,1,0),IF(Clients!E17="One-time",IF(9=0,1,0),1)))))),"")</f>
        <v/>
      </c>
      <c r="P87" s="10" t="str">
        <f ca="1">IFERROR(IF(OR(10&gt;=$B$1,Clients!A17="",NOT(ISNUMBER(Clients!D17)),Clients!L17="Expired",Clients!L17="Terminate"),"",Clients!D17*1*IF(Clients!E17="Monthly",IF(AND(ISNUMBER(Clients!G17),(YEAR(EDATE(DATE(YEAR(TODAY()),MONTH(TODAY()),1),10))*12+MONTH(EDATE(DATE(YEAR(TODAY()),MONTH(TODAY()),1),10)))&gt;(YEAR(Clients!G17)*12+MONTH(Clients!G17))),"",1),IF(Clients!E17="Quarterly",IF(MOD((YEAR(EDATE(DATE(YEAR(TODAY()),MONTH(TODAY()),1),10))-YEAR(IF(ISNUMBER(Clients!F17),Clients!F17,DATE(YEAR(TODAY()),MONTH(TODAY()),1))))*12+MONTH(EDATE(DATE(YEAR(TODAY()),MONTH(TODAY()),1),10))-MONTH(IF(ISNUMBER(Clients!F17),Clients!F17,DATE(YEAR(TODAY()),MONTH(TODAY()),1))),3)=0,1,0),IF(Clients!E17="Semi-annual",IF(MOD((YEAR(EDATE(DATE(YEAR(TODAY()),MONTH(TODAY()),1),10))-YEAR(IF(ISNUMBER(Clients!F17),Clients!F17,DATE(YEAR(TODAY()),MONTH(TODAY()),1))))*12+MONTH(EDATE(DATE(YEAR(TODAY()),MONTH(TODAY()),1),10))-MONTH(IF(ISNUMBER(Clients!F17),Clients!F17,DATE(YEAR(TODAY()),MONTH(TODAY()),1))),6)=0,1,0),IF(Clients!E17="Annual",IF(MOD((YEAR(EDATE(DATE(YEAR(TODAY()),MONTH(TODAY()),1),10))-YEAR(IF(ISNUMBER(Clients!F17),Clients!F17,DATE(YEAR(TODAY()),MONTH(TODAY()),1))))*12+MONTH(EDATE(DATE(YEAR(TODAY()),MONTH(TODAY()),1),10))-MONTH(IF(ISNUMBER(Clients!F17),Clients!F17,DATE(YEAR(TODAY()),MONTH(TODAY()),1))),12)=0,1,0),IF(Clients!E17="One-time",IF(10=0,1,0),1)))))),"")</f>
        <v/>
      </c>
      <c r="Q87" s="10" t="str">
        <f ca="1">IFERROR(IF(OR(11&gt;=$B$1,Clients!A17="",NOT(ISNUMBER(Clients!D17)),Clients!L17="Expired",Clients!L17="Terminate"),"",Clients!D17*1*IF(Clients!E17="Monthly",IF(AND(ISNUMBER(Clients!G17),(YEAR(EDATE(DATE(YEAR(TODAY()),MONTH(TODAY()),1),11))*12+MONTH(EDATE(DATE(YEAR(TODAY()),MONTH(TODAY()),1),11)))&gt;(YEAR(Clients!G17)*12+MONTH(Clients!G17))),"",1),IF(Clients!E17="Quarterly",IF(MOD((YEAR(EDATE(DATE(YEAR(TODAY()),MONTH(TODAY()),1),11))-YEAR(IF(ISNUMBER(Clients!F17),Clients!F17,DATE(YEAR(TODAY()),MONTH(TODAY()),1))))*12+MONTH(EDATE(DATE(YEAR(TODAY()),MONTH(TODAY()),1),11))-MONTH(IF(ISNUMBER(Clients!F17),Clients!F17,DATE(YEAR(TODAY()),MONTH(TODAY()),1))),3)=0,1,0),IF(Clients!E17="Semi-annual",IF(MOD((YEAR(EDATE(DATE(YEAR(TODAY()),MONTH(TODAY()),1),11))-YEAR(IF(ISNUMBER(Clients!F17),Clients!F17,DATE(YEAR(TODAY()),MONTH(TODAY()),1))))*12+MONTH(EDATE(DATE(YEAR(TODAY()),MONTH(TODAY()),1),11))-MONTH(IF(ISNUMBER(Clients!F17),Clients!F17,DATE(YEAR(TODAY()),MONTH(TODAY()),1))),6)=0,1,0),IF(Clients!E17="Annual",IF(MOD((YEAR(EDATE(DATE(YEAR(TODAY()),MONTH(TODAY()),1),11))-YEAR(IF(ISNUMBER(Clients!F17),Clients!F17,DATE(YEAR(TODAY()),MONTH(TODAY()),1))))*12+MONTH(EDATE(DATE(YEAR(TODAY()),MONTH(TODAY()),1),11))-MONTH(IF(ISNUMBER(Clients!F17),Clients!F17,DATE(YEAR(TODAY()),MONTH(TODAY()),1))),12)=0,1,0),IF(Clients!E17="One-time",IF(11=0,1,0),1)))))),"")</f>
        <v/>
      </c>
      <c r="R87" s="10" t="str">
        <f ca="1">IFERROR(IF(OR(12&gt;=$B$1,Suppliers!A85="",NOT(ISNUMBER(Suppliers!D85)),Suppliers!L85="Expired",Suppliers!L85="Terminate"),"",Suppliers!D85*-1*IF(Suppliers!E85="Monthly",IF(AND(ISNUMBER(Suppliers!G85),(YEAR(EDATE(DATE(YEAR(TODAY()),MONTH(TODAY()),1),12))*12+MONTH(EDATE(DATE(YEAR(TODAY()),MONTH(TODAY()),1),12)))&gt;(YEAR(Suppliers!G85)*12+MONTH(Suppliers!G85))),"",1),IF(Suppliers!E85="Quarterly",IF(MOD((YEAR(EDATE(DATE(YEAR(TODAY()),MONTH(TODAY()),1),12))-YEAR(IF(ISNUMBER(Suppliers!F85),Suppliers!F85,DATE(YEAR(TODAY()),MONTH(TODAY()),1))))*12+MONTH(EDATE(DATE(YEAR(TODAY()),MONTH(TODAY()),1),12))-MONTH(IF(ISNUMBER(Suppliers!F85),Suppliers!F85,DATE(YEAR(TODAY()),MONTH(TODAY()),1))),3)=0,1,0),IF(Suppliers!E85="Semi-annual",IF(MOD((YEAR(EDATE(DATE(YEAR(TODAY()),MONTH(TODAY()),1),12))-YEAR(IF(ISNUMBER(Suppliers!F85),Suppliers!F85,DATE(YEAR(TODAY()),MONTH(TODAY()),1))))*12+MONTH(EDATE(DATE(YEAR(TODAY()),MONTH(TODAY()),1),12))-MONTH(IF(ISNUMBER(Suppliers!F85),Suppliers!F85,DATE(YEAR(TODAY()),MONTH(TODAY()),1))),6)=0,1,0),IF(Suppliers!E85="Annual",IF(MOD((YEAR(EDATE(DATE(YEAR(TODAY()),MONTH(TODAY()),1),12))-YEAR(IF(ISNUMBER(Suppliers!F85),Suppliers!F85,DATE(YEAR(TODAY()),MONTH(TODAY()),1))))*12+MONTH(EDATE(DATE(YEAR(TODAY()),MONTH(TODAY()),1),12))-MONTH(IF(ISNUMBER(Suppliers!F85),Suppliers!F85,DATE(YEAR(TODAY()),MONTH(TODAY()),1))),12)=0,1,0),IF(Suppliers!E85="One-time",IF(12=0,1,0),1)))))),"")</f>
        <v/>
      </c>
      <c r="S87" s="10" t="str">
        <f ca="1">IFERROR(IF(OR(13&gt;=$B$1,Suppliers!A85="",NOT(ISNUMBER(Suppliers!D85)),Suppliers!L85="Expired",Suppliers!L85="Terminate"),"",Suppliers!D85*-1*IF(Suppliers!E85="Monthly",IF(AND(ISNUMBER(Suppliers!G85),(YEAR(EDATE(DATE(YEAR(TODAY()),MONTH(TODAY()),1),13))*12+MONTH(EDATE(DATE(YEAR(TODAY()),MONTH(TODAY()),1),13)))&gt;(YEAR(Suppliers!G85)*12+MONTH(Suppliers!G85))),"",1),IF(Suppliers!E85="Quarterly",IF(MOD((YEAR(EDATE(DATE(YEAR(TODAY()),MONTH(TODAY()),1),13))-YEAR(IF(ISNUMBER(Suppliers!F85),Suppliers!F85,DATE(YEAR(TODAY()),MONTH(TODAY()),1))))*12+MONTH(EDATE(DATE(YEAR(TODAY()),MONTH(TODAY()),1),13))-MONTH(IF(ISNUMBER(Suppliers!F85),Suppliers!F85,DATE(YEAR(TODAY()),MONTH(TODAY()),1))),3)=0,1,0),IF(Suppliers!E85="Semi-annual",IF(MOD((YEAR(EDATE(DATE(YEAR(TODAY()),MONTH(TODAY()),1),13))-YEAR(IF(ISNUMBER(Suppliers!F85),Suppliers!F85,DATE(YEAR(TODAY()),MONTH(TODAY()),1))))*12+MONTH(EDATE(DATE(YEAR(TODAY()),MONTH(TODAY()),1),13))-MONTH(IF(ISNUMBER(Suppliers!F85),Suppliers!F85,DATE(YEAR(TODAY()),MONTH(TODAY()),1))),6)=0,1,0),IF(Suppliers!E85="Annual",IF(MOD((YEAR(EDATE(DATE(YEAR(TODAY()),MONTH(TODAY()),1),13))-YEAR(IF(ISNUMBER(Suppliers!F85),Suppliers!F85,DATE(YEAR(TODAY()),MONTH(TODAY()),1))))*12+MONTH(EDATE(DATE(YEAR(TODAY()),MONTH(TODAY()),1),13))-MONTH(IF(ISNUMBER(Suppliers!F85),Suppliers!F85,DATE(YEAR(TODAY()),MONTH(TODAY()),1))),12)=0,1,0),IF(Suppliers!E85="One-time",IF(13=0,1,0),1)))))),"")</f>
        <v/>
      </c>
      <c r="T87" s="10" t="str">
        <f ca="1">IFERROR(IF(OR(14&gt;=$B$1,Suppliers!A85="",NOT(ISNUMBER(Suppliers!D85)),Suppliers!L85="Expired",Suppliers!L85="Terminate"),"",Suppliers!D85*-1*IF(Suppliers!E85="Monthly",IF(AND(ISNUMBER(Suppliers!G85),(YEAR(EDATE(DATE(YEAR(TODAY()),MONTH(TODAY()),1),14))*12+MONTH(EDATE(DATE(YEAR(TODAY()),MONTH(TODAY()),1),14)))&gt;(YEAR(Suppliers!G85)*12+MONTH(Suppliers!G85))),"",1),IF(Suppliers!E85="Quarterly",IF(MOD((YEAR(EDATE(DATE(YEAR(TODAY()),MONTH(TODAY()),1),14))-YEAR(IF(ISNUMBER(Suppliers!F85),Suppliers!F85,DATE(YEAR(TODAY()),MONTH(TODAY()),1))))*12+MONTH(EDATE(DATE(YEAR(TODAY()),MONTH(TODAY()),1),14))-MONTH(IF(ISNUMBER(Suppliers!F85),Suppliers!F85,DATE(YEAR(TODAY()),MONTH(TODAY()),1))),3)=0,1,0),IF(Suppliers!E85="Semi-annual",IF(MOD((YEAR(EDATE(DATE(YEAR(TODAY()),MONTH(TODAY()),1),14))-YEAR(IF(ISNUMBER(Suppliers!F85),Suppliers!F85,DATE(YEAR(TODAY()),MONTH(TODAY()),1))))*12+MONTH(EDATE(DATE(YEAR(TODAY()),MONTH(TODAY()),1),14))-MONTH(IF(ISNUMBER(Suppliers!F85),Suppliers!F85,DATE(YEAR(TODAY()),MONTH(TODAY()),1))),6)=0,1,0),IF(Suppliers!E85="Annual",IF(MOD((YEAR(EDATE(DATE(YEAR(TODAY()),MONTH(TODAY()),1),14))-YEAR(IF(ISNUMBER(Suppliers!F85),Suppliers!F85,DATE(YEAR(TODAY()),MONTH(TODAY()),1))))*12+MONTH(EDATE(DATE(YEAR(TODAY()),MONTH(TODAY()),1),14))-MONTH(IF(ISNUMBER(Suppliers!F85),Suppliers!F85,DATE(YEAR(TODAY()),MONTH(TODAY()),1))),12)=0,1,0),IF(Suppliers!E85="One-time",IF(14=0,1,0),1)))))),"")</f>
        <v/>
      </c>
      <c r="U87" s="10" t="str">
        <f ca="1">IFERROR(IF(OR(15&gt;=$B$1,Suppliers!A85="",NOT(ISNUMBER(Suppliers!D85)),Suppliers!L85="Expired",Suppliers!L85="Terminate"),"",Suppliers!D85*-1*IF(Suppliers!E85="Monthly",IF(AND(ISNUMBER(Suppliers!G85),(YEAR(EDATE(DATE(YEAR(TODAY()),MONTH(TODAY()),1),15))*12+MONTH(EDATE(DATE(YEAR(TODAY()),MONTH(TODAY()),1),15)))&gt;(YEAR(Suppliers!G85)*12+MONTH(Suppliers!G85))),"",1),IF(Suppliers!E85="Quarterly",IF(MOD((YEAR(EDATE(DATE(YEAR(TODAY()),MONTH(TODAY()),1),15))-YEAR(IF(ISNUMBER(Suppliers!F85),Suppliers!F85,DATE(YEAR(TODAY()),MONTH(TODAY()),1))))*12+MONTH(EDATE(DATE(YEAR(TODAY()),MONTH(TODAY()),1),15))-MONTH(IF(ISNUMBER(Suppliers!F85),Suppliers!F85,DATE(YEAR(TODAY()),MONTH(TODAY()),1))),3)=0,1,0),IF(Suppliers!E85="Semi-annual",IF(MOD((YEAR(EDATE(DATE(YEAR(TODAY()),MONTH(TODAY()),1),15))-YEAR(IF(ISNUMBER(Suppliers!F85),Suppliers!F85,DATE(YEAR(TODAY()),MONTH(TODAY()),1))))*12+MONTH(EDATE(DATE(YEAR(TODAY()),MONTH(TODAY()),1),15))-MONTH(IF(ISNUMBER(Suppliers!F85),Suppliers!F85,DATE(YEAR(TODAY()),MONTH(TODAY()),1))),6)=0,1,0),IF(Suppliers!E85="Annual",IF(MOD((YEAR(EDATE(DATE(YEAR(TODAY()),MONTH(TODAY()),1),15))-YEAR(IF(ISNUMBER(Suppliers!F85),Suppliers!F85,DATE(YEAR(TODAY()),MONTH(TODAY()),1))))*12+MONTH(EDATE(DATE(YEAR(TODAY()),MONTH(TODAY()),1),15))-MONTH(IF(ISNUMBER(Suppliers!F85),Suppliers!F85,DATE(YEAR(TODAY()),MONTH(TODAY()),1))),12)=0,1,0),IF(Suppliers!E85="One-time",IF(15=0,1,0),1)))))),"")</f>
        <v/>
      </c>
      <c r="V87" s="10" t="str">
        <f ca="1">IFERROR(IF(OR(16&gt;=$B$1,Suppliers!A85="",NOT(ISNUMBER(Suppliers!D85)),Suppliers!L85="Expired",Suppliers!L85="Terminate"),"",Suppliers!D85*-1*IF(Suppliers!E85="Monthly",IF(AND(ISNUMBER(Suppliers!G85),(YEAR(EDATE(DATE(YEAR(TODAY()),MONTH(TODAY()),1),16))*12+MONTH(EDATE(DATE(YEAR(TODAY()),MONTH(TODAY()),1),16)))&gt;(YEAR(Suppliers!G85)*12+MONTH(Suppliers!G85))),"",1),IF(Suppliers!E85="Quarterly",IF(MOD((YEAR(EDATE(DATE(YEAR(TODAY()),MONTH(TODAY()),1),16))-YEAR(IF(ISNUMBER(Suppliers!F85),Suppliers!F85,DATE(YEAR(TODAY()),MONTH(TODAY()),1))))*12+MONTH(EDATE(DATE(YEAR(TODAY()),MONTH(TODAY()),1),16))-MONTH(IF(ISNUMBER(Suppliers!F85),Suppliers!F85,DATE(YEAR(TODAY()),MONTH(TODAY()),1))),3)=0,1,0),IF(Suppliers!E85="Semi-annual",IF(MOD((YEAR(EDATE(DATE(YEAR(TODAY()),MONTH(TODAY()),1),16))-YEAR(IF(ISNUMBER(Suppliers!F85),Suppliers!F85,DATE(YEAR(TODAY()),MONTH(TODAY()),1))))*12+MONTH(EDATE(DATE(YEAR(TODAY()),MONTH(TODAY()),1),16))-MONTH(IF(ISNUMBER(Suppliers!F85),Suppliers!F85,DATE(YEAR(TODAY()),MONTH(TODAY()),1))),6)=0,1,0),IF(Suppliers!E85="Annual",IF(MOD((YEAR(EDATE(DATE(YEAR(TODAY()),MONTH(TODAY()),1),16))-YEAR(IF(ISNUMBER(Suppliers!F85),Suppliers!F85,DATE(YEAR(TODAY()),MONTH(TODAY()),1))))*12+MONTH(EDATE(DATE(YEAR(TODAY()),MONTH(TODAY()),1),16))-MONTH(IF(ISNUMBER(Suppliers!F85),Suppliers!F85,DATE(YEAR(TODAY()),MONTH(TODAY()),1))),12)=0,1,0),IF(Suppliers!E85="One-time",IF(16=0,1,0),1)))))),"")</f>
        <v/>
      </c>
      <c r="W87" s="10" t="str">
        <f ca="1">IFERROR(IF(OR(17&gt;=$B$1,Suppliers!A85="",NOT(ISNUMBER(Suppliers!D85)),Suppliers!L85="Expired",Suppliers!L85="Terminate"),"",Suppliers!D85*-1*IF(Suppliers!E85="Monthly",IF(AND(ISNUMBER(Suppliers!G85),(YEAR(EDATE(DATE(YEAR(TODAY()),MONTH(TODAY()),1),17))*12+MONTH(EDATE(DATE(YEAR(TODAY()),MONTH(TODAY()),1),17)))&gt;(YEAR(Suppliers!G85)*12+MONTH(Suppliers!G85))),"",1),IF(Suppliers!E85="Quarterly",IF(MOD((YEAR(EDATE(DATE(YEAR(TODAY()),MONTH(TODAY()),1),17))-YEAR(IF(ISNUMBER(Suppliers!F85),Suppliers!F85,DATE(YEAR(TODAY()),MONTH(TODAY()),1))))*12+MONTH(EDATE(DATE(YEAR(TODAY()),MONTH(TODAY()),1),17))-MONTH(IF(ISNUMBER(Suppliers!F85),Suppliers!F85,DATE(YEAR(TODAY()),MONTH(TODAY()),1))),3)=0,1,0),IF(Suppliers!E85="Semi-annual",IF(MOD((YEAR(EDATE(DATE(YEAR(TODAY()),MONTH(TODAY()),1),17))-YEAR(IF(ISNUMBER(Suppliers!F85),Suppliers!F85,DATE(YEAR(TODAY()),MONTH(TODAY()),1))))*12+MONTH(EDATE(DATE(YEAR(TODAY()),MONTH(TODAY()),1),17))-MONTH(IF(ISNUMBER(Suppliers!F85),Suppliers!F85,DATE(YEAR(TODAY()),MONTH(TODAY()),1))),6)=0,1,0),IF(Suppliers!E85="Annual",IF(MOD((YEAR(EDATE(DATE(YEAR(TODAY()),MONTH(TODAY()),1),17))-YEAR(IF(ISNUMBER(Suppliers!F85),Suppliers!F85,DATE(YEAR(TODAY()),MONTH(TODAY()),1))))*12+MONTH(EDATE(DATE(YEAR(TODAY()),MONTH(TODAY()),1),17))-MONTH(IF(ISNUMBER(Suppliers!F85),Suppliers!F85,DATE(YEAR(TODAY()),MONTH(TODAY()),1))),12)=0,1,0),IF(Suppliers!E85="One-time",IF(17=0,1,0),1)))))),"")</f>
        <v/>
      </c>
      <c r="X87" s="10" t="str">
        <f ca="1">IFERROR(IF(OR(18&gt;=$B$1,Suppliers!A85="",NOT(ISNUMBER(Suppliers!D85)),Suppliers!L85="Expired",Suppliers!L85="Terminate"),"",Suppliers!D85*-1*IF(Suppliers!E85="Monthly",IF(AND(ISNUMBER(Suppliers!G85),(YEAR(EDATE(DATE(YEAR(TODAY()),MONTH(TODAY()),1),18))*12+MONTH(EDATE(DATE(YEAR(TODAY()),MONTH(TODAY()),1),18)))&gt;(YEAR(Suppliers!G85)*12+MONTH(Suppliers!G85))),"",1),IF(Suppliers!E85="Quarterly",IF(MOD((YEAR(EDATE(DATE(YEAR(TODAY()),MONTH(TODAY()),1),18))-YEAR(IF(ISNUMBER(Suppliers!F85),Suppliers!F85,DATE(YEAR(TODAY()),MONTH(TODAY()),1))))*12+MONTH(EDATE(DATE(YEAR(TODAY()),MONTH(TODAY()),1),18))-MONTH(IF(ISNUMBER(Suppliers!F85),Suppliers!F85,DATE(YEAR(TODAY()),MONTH(TODAY()),1))),3)=0,1,0),IF(Suppliers!E85="Semi-annual",IF(MOD((YEAR(EDATE(DATE(YEAR(TODAY()),MONTH(TODAY()),1),18))-YEAR(IF(ISNUMBER(Suppliers!F85),Suppliers!F85,DATE(YEAR(TODAY()),MONTH(TODAY()),1))))*12+MONTH(EDATE(DATE(YEAR(TODAY()),MONTH(TODAY()),1),18))-MONTH(IF(ISNUMBER(Suppliers!F85),Suppliers!F85,DATE(YEAR(TODAY()),MONTH(TODAY()),1))),6)=0,1,0),IF(Suppliers!E85="Annual",IF(MOD((YEAR(EDATE(DATE(YEAR(TODAY()),MONTH(TODAY()),1),18))-YEAR(IF(ISNUMBER(Suppliers!F85),Suppliers!F85,DATE(YEAR(TODAY()),MONTH(TODAY()),1))))*12+MONTH(EDATE(DATE(YEAR(TODAY()),MONTH(TODAY()),1),18))-MONTH(IF(ISNUMBER(Suppliers!F85),Suppliers!F85,DATE(YEAR(TODAY()),MONTH(TODAY()),1))),12)=0,1,0),IF(Suppliers!E85="One-time",IF(18=0,1,0),1)))))),"")</f>
        <v/>
      </c>
      <c r="Y87" s="10" t="str">
        <f ca="1">IFERROR(IF(OR(19&gt;=$B$1,Suppliers!A85="",NOT(ISNUMBER(Suppliers!D85)),Suppliers!L85="Expired",Suppliers!L85="Terminate"),"",Suppliers!D85*-1*IF(Suppliers!E85="Monthly",IF(AND(ISNUMBER(Suppliers!G85),(YEAR(EDATE(DATE(YEAR(TODAY()),MONTH(TODAY()),1),19))*12+MONTH(EDATE(DATE(YEAR(TODAY()),MONTH(TODAY()),1),19)))&gt;(YEAR(Suppliers!G85)*12+MONTH(Suppliers!G85))),"",1),IF(Suppliers!E85="Quarterly",IF(MOD((YEAR(EDATE(DATE(YEAR(TODAY()),MONTH(TODAY()),1),19))-YEAR(IF(ISNUMBER(Suppliers!F85),Suppliers!F85,DATE(YEAR(TODAY()),MONTH(TODAY()),1))))*12+MONTH(EDATE(DATE(YEAR(TODAY()),MONTH(TODAY()),1),19))-MONTH(IF(ISNUMBER(Suppliers!F85),Suppliers!F85,DATE(YEAR(TODAY()),MONTH(TODAY()),1))),3)=0,1,0),IF(Suppliers!E85="Semi-annual",IF(MOD((YEAR(EDATE(DATE(YEAR(TODAY()),MONTH(TODAY()),1),19))-YEAR(IF(ISNUMBER(Suppliers!F85),Suppliers!F85,DATE(YEAR(TODAY()),MONTH(TODAY()),1))))*12+MONTH(EDATE(DATE(YEAR(TODAY()),MONTH(TODAY()),1),19))-MONTH(IF(ISNUMBER(Suppliers!F85),Suppliers!F85,DATE(YEAR(TODAY()),MONTH(TODAY()),1))),6)=0,1,0),IF(Suppliers!E85="Annual",IF(MOD((YEAR(EDATE(DATE(YEAR(TODAY()),MONTH(TODAY()),1),19))-YEAR(IF(ISNUMBER(Suppliers!F85),Suppliers!F85,DATE(YEAR(TODAY()),MONTH(TODAY()),1))))*12+MONTH(EDATE(DATE(YEAR(TODAY()),MONTH(TODAY()),1),19))-MONTH(IF(ISNUMBER(Suppliers!F85),Suppliers!F85,DATE(YEAR(TODAY()),MONTH(TODAY()),1))),12)=0,1,0),IF(Suppliers!E85="One-time",IF(19=0,1,0),1)))))),"")</f>
        <v/>
      </c>
      <c r="Z87" s="10" t="str">
        <f ca="1">IFERROR(IF(OR(20&gt;=$B$1,Suppliers!A85="",NOT(ISNUMBER(Suppliers!D85)),Suppliers!L85="Expired",Suppliers!L85="Terminate"),"",Suppliers!D85*-1*IF(Suppliers!E85="Monthly",IF(AND(ISNUMBER(Suppliers!G85),(YEAR(EDATE(DATE(YEAR(TODAY()),MONTH(TODAY()),1),20))*12+MONTH(EDATE(DATE(YEAR(TODAY()),MONTH(TODAY()),1),20)))&gt;(YEAR(Suppliers!G85)*12+MONTH(Suppliers!G85))),"",1),IF(Suppliers!E85="Quarterly",IF(MOD((YEAR(EDATE(DATE(YEAR(TODAY()),MONTH(TODAY()),1),20))-YEAR(IF(ISNUMBER(Suppliers!F85),Suppliers!F85,DATE(YEAR(TODAY()),MONTH(TODAY()),1))))*12+MONTH(EDATE(DATE(YEAR(TODAY()),MONTH(TODAY()),1),20))-MONTH(IF(ISNUMBER(Suppliers!F85),Suppliers!F85,DATE(YEAR(TODAY()),MONTH(TODAY()),1))),3)=0,1,0),IF(Suppliers!E85="Semi-annual",IF(MOD((YEAR(EDATE(DATE(YEAR(TODAY()),MONTH(TODAY()),1),20))-YEAR(IF(ISNUMBER(Suppliers!F85),Suppliers!F85,DATE(YEAR(TODAY()),MONTH(TODAY()),1))))*12+MONTH(EDATE(DATE(YEAR(TODAY()),MONTH(TODAY()),1),20))-MONTH(IF(ISNUMBER(Suppliers!F85),Suppliers!F85,DATE(YEAR(TODAY()),MONTH(TODAY()),1))),6)=0,1,0),IF(Suppliers!E85="Annual",IF(MOD((YEAR(EDATE(DATE(YEAR(TODAY()),MONTH(TODAY()),1),20))-YEAR(IF(ISNUMBER(Suppliers!F85),Suppliers!F85,DATE(YEAR(TODAY()),MONTH(TODAY()),1))))*12+MONTH(EDATE(DATE(YEAR(TODAY()),MONTH(TODAY()),1),20))-MONTH(IF(ISNUMBER(Suppliers!F85),Suppliers!F85,DATE(YEAR(TODAY()),MONTH(TODAY()),1))),12)=0,1,0),IF(Suppliers!E85="One-time",IF(20=0,1,0),1)))))),"")</f>
        <v/>
      </c>
      <c r="AA87" s="10" t="str">
        <f ca="1">IFERROR(IF(OR(21&gt;=$B$1,Suppliers!A85="",NOT(ISNUMBER(Suppliers!D85)),Suppliers!L85="Expired",Suppliers!L85="Terminate"),"",Suppliers!D85*-1*IF(Suppliers!E85="Monthly",IF(AND(ISNUMBER(Suppliers!G85),(YEAR(EDATE(DATE(YEAR(TODAY()),MONTH(TODAY()),1),21))*12+MONTH(EDATE(DATE(YEAR(TODAY()),MONTH(TODAY()),1),21)))&gt;(YEAR(Suppliers!G85)*12+MONTH(Suppliers!G85))),"",1),IF(Suppliers!E85="Quarterly",IF(MOD((YEAR(EDATE(DATE(YEAR(TODAY()),MONTH(TODAY()),1),21))-YEAR(IF(ISNUMBER(Suppliers!F85),Suppliers!F85,DATE(YEAR(TODAY()),MONTH(TODAY()),1))))*12+MONTH(EDATE(DATE(YEAR(TODAY()),MONTH(TODAY()),1),21))-MONTH(IF(ISNUMBER(Suppliers!F85),Suppliers!F85,DATE(YEAR(TODAY()),MONTH(TODAY()),1))),3)=0,1,0),IF(Suppliers!E85="Semi-annual",IF(MOD((YEAR(EDATE(DATE(YEAR(TODAY()),MONTH(TODAY()),1),21))-YEAR(IF(ISNUMBER(Suppliers!F85),Suppliers!F85,DATE(YEAR(TODAY()),MONTH(TODAY()),1))))*12+MONTH(EDATE(DATE(YEAR(TODAY()),MONTH(TODAY()),1),21))-MONTH(IF(ISNUMBER(Suppliers!F85),Suppliers!F85,DATE(YEAR(TODAY()),MONTH(TODAY()),1))),6)=0,1,0),IF(Suppliers!E85="Annual",IF(MOD((YEAR(EDATE(DATE(YEAR(TODAY()),MONTH(TODAY()),1),21))-YEAR(IF(ISNUMBER(Suppliers!F85),Suppliers!F85,DATE(YEAR(TODAY()),MONTH(TODAY()),1))))*12+MONTH(EDATE(DATE(YEAR(TODAY()),MONTH(TODAY()),1),21))-MONTH(IF(ISNUMBER(Suppliers!F85),Suppliers!F85,DATE(YEAR(TODAY()),MONTH(TODAY()),1))),12)=0,1,0),IF(Suppliers!E85="One-time",IF(21=0,1,0),1)))))),"")</f>
        <v/>
      </c>
      <c r="AB87" s="10" t="str">
        <f ca="1">IFERROR(IF(OR(22&gt;=$B$1,Suppliers!A85="",NOT(ISNUMBER(Suppliers!D85)),Suppliers!L85="Expired",Suppliers!L85="Terminate"),"",Suppliers!D85*-1*IF(Suppliers!E85="Monthly",IF(AND(ISNUMBER(Suppliers!G85),(YEAR(EDATE(DATE(YEAR(TODAY()),MONTH(TODAY()),1),22))*12+MONTH(EDATE(DATE(YEAR(TODAY()),MONTH(TODAY()),1),22)))&gt;(YEAR(Suppliers!G85)*12+MONTH(Suppliers!G85))),"",1),IF(Suppliers!E85="Quarterly",IF(MOD((YEAR(EDATE(DATE(YEAR(TODAY()),MONTH(TODAY()),1),22))-YEAR(IF(ISNUMBER(Suppliers!F85),Suppliers!F85,DATE(YEAR(TODAY()),MONTH(TODAY()),1))))*12+MONTH(EDATE(DATE(YEAR(TODAY()),MONTH(TODAY()),1),22))-MONTH(IF(ISNUMBER(Suppliers!F85),Suppliers!F85,DATE(YEAR(TODAY()),MONTH(TODAY()),1))),3)=0,1,0),IF(Suppliers!E85="Semi-annual",IF(MOD((YEAR(EDATE(DATE(YEAR(TODAY()),MONTH(TODAY()),1),22))-YEAR(IF(ISNUMBER(Suppliers!F85),Suppliers!F85,DATE(YEAR(TODAY()),MONTH(TODAY()),1))))*12+MONTH(EDATE(DATE(YEAR(TODAY()),MONTH(TODAY()),1),22))-MONTH(IF(ISNUMBER(Suppliers!F85),Suppliers!F85,DATE(YEAR(TODAY()),MONTH(TODAY()),1))),6)=0,1,0),IF(Suppliers!E85="Annual",IF(MOD((YEAR(EDATE(DATE(YEAR(TODAY()),MONTH(TODAY()),1),22))-YEAR(IF(ISNUMBER(Suppliers!F85),Suppliers!F85,DATE(YEAR(TODAY()),MONTH(TODAY()),1))))*12+MONTH(EDATE(DATE(YEAR(TODAY()),MONTH(TODAY()),1),22))-MONTH(IF(ISNUMBER(Suppliers!F85),Suppliers!F85,DATE(YEAR(TODAY()),MONTH(TODAY()),1))),12)=0,1,0),IF(Suppliers!E85="One-time",IF(22=0,1,0),1)))))),"")</f>
        <v/>
      </c>
      <c r="AC87" s="10" t="str">
        <f ca="1">IFERROR(IF(OR(23&gt;=$B$1,Suppliers!A85="",NOT(ISNUMBER(Suppliers!D85)),Suppliers!L85="Expired",Suppliers!L85="Terminate"),"",Suppliers!D85*-1*IF(Suppliers!E85="Monthly",IF(AND(ISNUMBER(Suppliers!G85),(YEAR(EDATE(DATE(YEAR(TODAY()),MONTH(TODAY()),1),23))*12+MONTH(EDATE(DATE(YEAR(TODAY()),MONTH(TODAY()),1),23)))&gt;(YEAR(Suppliers!G85)*12+MONTH(Suppliers!G85))),"",1),IF(Suppliers!E85="Quarterly",IF(MOD((YEAR(EDATE(DATE(YEAR(TODAY()),MONTH(TODAY()),1),23))-YEAR(IF(ISNUMBER(Suppliers!F85),Suppliers!F85,DATE(YEAR(TODAY()),MONTH(TODAY()),1))))*12+MONTH(EDATE(DATE(YEAR(TODAY()),MONTH(TODAY()),1),23))-MONTH(IF(ISNUMBER(Suppliers!F85),Suppliers!F85,DATE(YEAR(TODAY()),MONTH(TODAY()),1))),3)=0,1,0),IF(Suppliers!E85="Semi-annual",IF(MOD((YEAR(EDATE(DATE(YEAR(TODAY()),MONTH(TODAY()),1),23))-YEAR(IF(ISNUMBER(Suppliers!F85),Suppliers!F85,DATE(YEAR(TODAY()),MONTH(TODAY()),1))))*12+MONTH(EDATE(DATE(YEAR(TODAY()),MONTH(TODAY()),1),23))-MONTH(IF(ISNUMBER(Suppliers!F85),Suppliers!F85,DATE(YEAR(TODAY()),MONTH(TODAY()),1))),6)=0,1,0),IF(Suppliers!E85="Annual",IF(MOD((YEAR(EDATE(DATE(YEAR(TODAY()),MONTH(TODAY()),1),23))-YEAR(IF(ISNUMBER(Suppliers!F85),Suppliers!F85,DATE(YEAR(TODAY()),MONTH(TODAY()),1))))*12+MONTH(EDATE(DATE(YEAR(TODAY()),MONTH(TODAY()),1),23))-MONTH(IF(ISNUMBER(Suppliers!F85),Suppliers!F85,DATE(YEAR(TODAY()),MONTH(TODAY()),1))),12)=0,1,0),IF(Suppliers!E85="One-time",IF(23=0,1,0),1)))))),"")</f>
        <v/>
      </c>
    </row>
    <row r="88" spans="1:29" ht="15" customHeight="1" x14ac:dyDescent="0.35">
      <c r="A88" s="4" t="s">
        <v>81</v>
      </c>
      <c r="B88" s="4" t="str">
        <f>IF(Clients!A18="","",Clients!A18)</f>
        <v/>
      </c>
      <c r="C88" s="10" t="str">
        <f>IF(Clients!C18="","",Clients!C18)</f>
        <v/>
      </c>
      <c r="D88" s="10" t="str">
        <f>IF(Clients!D18="","",Clients!D18)</f>
        <v/>
      </c>
      <c r="E88" s="4" t="str">
        <f>IF(Clients!E18="","",Clients!E18)</f>
        <v/>
      </c>
      <c r="F88" s="10" t="str">
        <f ca="1">IFERROR(IF(OR(0&gt;=$B$1,Clients!A18="",NOT(ISNUMBER(Clients!D18)),Clients!L18="Expired",Clients!L18="Terminate"),"",Clients!D18*1*IF(Clients!E18="Monthly",IF(AND(ISNUMBER(Clients!G18),(YEAR(EDATE(DATE(YEAR(TODAY()),MONTH(TODAY()),1),0))*12+MONTH(EDATE(DATE(YEAR(TODAY()),MONTH(TODAY()),1),0)))&gt;(YEAR(Clients!G18)*12+MONTH(Clients!G18))),"",1),IF(Clients!E18="Quarterly",IF(MOD((YEAR(EDATE(DATE(YEAR(TODAY()),MONTH(TODAY()),1),0))-YEAR(IF(ISNUMBER(Clients!F18),Clients!F18,DATE(YEAR(TODAY()),MONTH(TODAY()),1))))*12+MONTH(EDATE(DATE(YEAR(TODAY()),MONTH(TODAY()),1),0))-MONTH(IF(ISNUMBER(Clients!F18),Clients!F18,DATE(YEAR(TODAY()),MONTH(TODAY()),1))),3)=0,1,0),IF(Clients!E18="Semi-annual",IF(MOD((YEAR(EDATE(DATE(YEAR(TODAY()),MONTH(TODAY()),1),0))-YEAR(IF(ISNUMBER(Clients!F18),Clients!F18,DATE(YEAR(TODAY()),MONTH(TODAY()),1))))*12+MONTH(EDATE(DATE(YEAR(TODAY()),MONTH(TODAY()),1),0))-MONTH(IF(ISNUMBER(Clients!F18),Clients!F18,DATE(YEAR(TODAY()),MONTH(TODAY()),1))),6)=0,1,0),IF(Clients!E18="Annual",IF(MOD((YEAR(EDATE(DATE(YEAR(TODAY()),MONTH(TODAY()),1),0))-YEAR(IF(ISNUMBER(Clients!F18),Clients!F18,DATE(YEAR(TODAY()),MONTH(TODAY()),1))))*12+MONTH(EDATE(DATE(YEAR(TODAY()),MONTH(TODAY()),1),0))-MONTH(IF(ISNUMBER(Clients!F18),Clients!F18,DATE(YEAR(TODAY()),MONTH(TODAY()),1))),12)=0,1,0),IF(Clients!E18="One-time",IF(0=0,1,0),1)))))),"")</f>
        <v/>
      </c>
      <c r="G88" s="10" t="str">
        <f ca="1">IFERROR(IF(OR(1&gt;=$B$1,Clients!A18="",NOT(ISNUMBER(Clients!D18)),Clients!L18="Expired",Clients!L18="Terminate"),"",Clients!D18*1*IF(Clients!E18="Monthly",IF(AND(ISNUMBER(Clients!G18),(YEAR(EDATE(DATE(YEAR(TODAY()),MONTH(TODAY()),1),1))*12+MONTH(EDATE(DATE(YEAR(TODAY()),MONTH(TODAY()),1),1)))&gt;(YEAR(Clients!G18)*12+MONTH(Clients!G18))),"",1),IF(Clients!E18="Quarterly",IF(MOD((YEAR(EDATE(DATE(YEAR(TODAY()),MONTH(TODAY()),1),1))-YEAR(IF(ISNUMBER(Clients!F18),Clients!F18,DATE(YEAR(TODAY()),MONTH(TODAY()),1))))*12+MONTH(EDATE(DATE(YEAR(TODAY()),MONTH(TODAY()),1),1))-MONTH(IF(ISNUMBER(Clients!F18),Clients!F18,DATE(YEAR(TODAY()),MONTH(TODAY()),1))),3)=0,1,0),IF(Clients!E18="Semi-annual",IF(MOD((YEAR(EDATE(DATE(YEAR(TODAY()),MONTH(TODAY()),1),1))-YEAR(IF(ISNUMBER(Clients!F18),Clients!F18,DATE(YEAR(TODAY()),MONTH(TODAY()),1))))*12+MONTH(EDATE(DATE(YEAR(TODAY()),MONTH(TODAY()),1),1))-MONTH(IF(ISNUMBER(Clients!F18),Clients!F18,DATE(YEAR(TODAY()),MONTH(TODAY()),1))),6)=0,1,0),IF(Clients!E18="Annual",IF(MOD((YEAR(EDATE(DATE(YEAR(TODAY()),MONTH(TODAY()),1),1))-YEAR(IF(ISNUMBER(Clients!F18),Clients!F18,DATE(YEAR(TODAY()),MONTH(TODAY()),1))))*12+MONTH(EDATE(DATE(YEAR(TODAY()),MONTH(TODAY()),1),1))-MONTH(IF(ISNUMBER(Clients!F18),Clients!F18,DATE(YEAR(TODAY()),MONTH(TODAY()),1))),12)=0,1,0),IF(Clients!E18="One-time",IF(1=0,1,0),1)))))),"")</f>
        <v/>
      </c>
      <c r="H88" s="10" t="str">
        <f ca="1">IFERROR(IF(OR(2&gt;=$B$1,Clients!A18="",NOT(ISNUMBER(Clients!D18)),Clients!L18="Expired",Clients!L18="Terminate"),"",Clients!D18*1*IF(Clients!E18="Monthly",IF(AND(ISNUMBER(Clients!G18),(YEAR(EDATE(DATE(YEAR(TODAY()),MONTH(TODAY()),1),2))*12+MONTH(EDATE(DATE(YEAR(TODAY()),MONTH(TODAY()),1),2)))&gt;(YEAR(Clients!G18)*12+MONTH(Clients!G18))),"",1),IF(Clients!E18="Quarterly",IF(MOD((YEAR(EDATE(DATE(YEAR(TODAY()),MONTH(TODAY()),1),2))-YEAR(IF(ISNUMBER(Clients!F18),Clients!F18,DATE(YEAR(TODAY()),MONTH(TODAY()),1))))*12+MONTH(EDATE(DATE(YEAR(TODAY()),MONTH(TODAY()),1),2))-MONTH(IF(ISNUMBER(Clients!F18),Clients!F18,DATE(YEAR(TODAY()),MONTH(TODAY()),1))),3)=0,1,0),IF(Clients!E18="Semi-annual",IF(MOD((YEAR(EDATE(DATE(YEAR(TODAY()),MONTH(TODAY()),1),2))-YEAR(IF(ISNUMBER(Clients!F18),Clients!F18,DATE(YEAR(TODAY()),MONTH(TODAY()),1))))*12+MONTH(EDATE(DATE(YEAR(TODAY()),MONTH(TODAY()),1),2))-MONTH(IF(ISNUMBER(Clients!F18),Clients!F18,DATE(YEAR(TODAY()),MONTH(TODAY()),1))),6)=0,1,0),IF(Clients!E18="Annual",IF(MOD((YEAR(EDATE(DATE(YEAR(TODAY()),MONTH(TODAY()),1),2))-YEAR(IF(ISNUMBER(Clients!F18),Clients!F18,DATE(YEAR(TODAY()),MONTH(TODAY()),1))))*12+MONTH(EDATE(DATE(YEAR(TODAY()),MONTH(TODAY()),1),2))-MONTH(IF(ISNUMBER(Clients!F18),Clients!F18,DATE(YEAR(TODAY()),MONTH(TODAY()),1))),12)=0,1,0),IF(Clients!E18="One-time",IF(2=0,1,0),1)))))),"")</f>
        <v/>
      </c>
      <c r="I88" s="10" t="str">
        <f ca="1">IFERROR(IF(OR(3&gt;=$B$1,Clients!A18="",NOT(ISNUMBER(Clients!D18)),Clients!L18="Expired",Clients!L18="Terminate"),"",Clients!D18*1*IF(Clients!E18="Monthly",IF(AND(ISNUMBER(Clients!G18),(YEAR(EDATE(DATE(YEAR(TODAY()),MONTH(TODAY()),1),3))*12+MONTH(EDATE(DATE(YEAR(TODAY()),MONTH(TODAY()),1),3)))&gt;(YEAR(Clients!G18)*12+MONTH(Clients!G18))),"",1),IF(Clients!E18="Quarterly",IF(MOD((YEAR(EDATE(DATE(YEAR(TODAY()),MONTH(TODAY()),1),3))-YEAR(IF(ISNUMBER(Clients!F18),Clients!F18,DATE(YEAR(TODAY()),MONTH(TODAY()),1))))*12+MONTH(EDATE(DATE(YEAR(TODAY()),MONTH(TODAY()),1),3))-MONTH(IF(ISNUMBER(Clients!F18),Clients!F18,DATE(YEAR(TODAY()),MONTH(TODAY()),1))),3)=0,1,0),IF(Clients!E18="Semi-annual",IF(MOD((YEAR(EDATE(DATE(YEAR(TODAY()),MONTH(TODAY()),1),3))-YEAR(IF(ISNUMBER(Clients!F18),Clients!F18,DATE(YEAR(TODAY()),MONTH(TODAY()),1))))*12+MONTH(EDATE(DATE(YEAR(TODAY()),MONTH(TODAY()),1),3))-MONTH(IF(ISNUMBER(Clients!F18),Clients!F18,DATE(YEAR(TODAY()),MONTH(TODAY()),1))),6)=0,1,0),IF(Clients!E18="Annual",IF(MOD((YEAR(EDATE(DATE(YEAR(TODAY()),MONTH(TODAY()),1),3))-YEAR(IF(ISNUMBER(Clients!F18),Clients!F18,DATE(YEAR(TODAY()),MONTH(TODAY()),1))))*12+MONTH(EDATE(DATE(YEAR(TODAY()),MONTH(TODAY()),1),3))-MONTH(IF(ISNUMBER(Clients!F18),Clients!F18,DATE(YEAR(TODAY()),MONTH(TODAY()),1))),12)=0,1,0),IF(Clients!E18="One-time",IF(3=0,1,0),1)))))),"")</f>
        <v/>
      </c>
      <c r="J88" s="10" t="str">
        <f ca="1">IFERROR(IF(OR(4&gt;=$B$1,Clients!A18="",NOT(ISNUMBER(Clients!D18)),Clients!L18="Expired",Clients!L18="Terminate"),"",Clients!D18*1*IF(Clients!E18="Monthly",IF(AND(ISNUMBER(Clients!G18),(YEAR(EDATE(DATE(YEAR(TODAY()),MONTH(TODAY()),1),4))*12+MONTH(EDATE(DATE(YEAR(TODAY()),MONTH(TODAY()),1),4)))&gt;(YEAR(Clients!G18)*12+MONTH(Clients!G18))),"",1),IF(Clients!E18="Quarterly",IF(MOD((YEAR(EDATE(DATE(YEAR(TODAY()),MONTH(TODAY()),1),4))-YEAR(IF(ISNUMBER(Clients!F18),Clients!F18,DATE(YEAR(TODAY()),MONTH(TODAY()),1))))*12+MONTH(EDATE(DATE(YEAR(TODAY()),MONTH(TODAY()),1),4))-MONTH(IF(ISNUMBER(Clients!F18),Clients!F18,DATE(YEAR(TODAY()),MONTH(TODAY()),1))),3)=0,1,0),IF(Clients!E18="Semi-annual",IF(MOD((YEAR(EDATE(DATE(YEAR(TODAY()),MONTH(TODAY()),1),4))-YEAR(IF(ISNUMBER(Clients!F18),Clients!F18,DATE(YEAR(TODAY()),MONTH(TODAY()),1))))*12+MONTH(EDATE(DATE(YEAR(TODAY()),MONTH(TODAY()),1),4))-MONTH(IF(ISNUMBER(Clients!F18),Clients!F18,DATE(YEAR(TODAY()),MONTH(TODAY()),1))),6)=0,1,0),IF(Clients!E18="Annual",IF(MOD((YEAR(EDATE(DATE(YEAR(TODAY()),MONTH(TODAY()),1),4))-YEAR(IF(ISNUMBER(Clients!F18),Clients!F18,DATE(YEAR(TODAY()),MONTH(TODAY()),1))))*12+MONTH(EDATE(DATE(YEAR(TODAY()),MONTH(TODAY()),1),4))-MONTH(IF(ISNUMBER(Clients!F18),Clients!F18,DATE(YEAR(TODAY()),MONTH(TODAY()),1))),12)=0,1,0),IF(Clients!E18="One-time",IF(4=0,1,0),1)))))),"")</f>
        <v/>
      </c>
      <c r="K88" s="10" t="str">
        <f ca="1">IFERROR(IF(OR(5&gt;=$B$1,Clients!A18="",NOT(ISNUMBER(Clients!D18)),Clients!L18="Expired",Clients!L18="Terminate"),"",Clients!D18*1*IF(Clients!E18="Monthly",IF(AND(ISNUMBER(Clients!G18),(YEAR(EDATE(DATE(YEAR(TODAY()),MONTH(TODAY()),1),5))*12+MONTH(EDATE(DATE(YEAR(TODAY()),MONTH(TODAY()),1),5)))&gt;(YEAR(Clients!G18)*12+MONTH(Clients!G18))),"",1),IF(Clients!E18="Quarterly",IF(MOD((YEAR(EDATE(DATE(YEAR(TODAY()),MONTH(TODAY()),1),5))-YEAR(IF(ISNUMBER(Clients!F18),Clients!F18,DATE(YEAR(TODAY()),MONTH(TODAY()),1))))*12+MONTH(EDATE(DATE(YEAR(TODAY()),MONTH(TODAY()),1),5))-MONTH(IF(ISNUMBER(Clients!F18),Clients!F18,DATE(YEAR(TODAY()),MONTH(TODAY()),1))),3)=0,1,0),IF(Clients!E18="Semi-annual",IF(MOD((YEAR(EDATE(DATE(YEAR(TODAY()),MONTH(TODAY()),1),5))-YEAR(IF(ISNUMBER(Clients!F18),Clients!F18,DATE(YEAR(TODAY()),MONTH(TODAY()),1))))*12+MONTH(EDATE(DATE(YEAR(TODAY()),MONTH(TODAY()),1),5))-MONTH(IF(ISNUMBER(Clients!F18),Clients!F18,DATE(YEAR(TODAY()),MONTH(TODAY()),1))),6)=0,1,0),IF(Clients!E18="Annual",IF(MOD((YEAR(EDATE(DATE(YEAR(TODAY()),MONTH(TODAY()),1),5))-YEAR(IF(ISNUMBER(Clients!F18),Clients!F18,DATE(YEAR(TODAY()),MONTH(TODAY()),1))))*12+MONTH(EDATE(DATE(YEAR(TODAY()),MONTH(TODAY()),1),5))-MONTH(IF(ISNUMBER(Clients!F18),Clients!F18,DATE(YEAR(TODAY()),MONTH(TODAY()),1))),12)=0,1,0),IF(Clients!E18="One-time",IF(5=0,1,0),1)))))),"")</f>
        <v/>
      </c>
      <c r="L88" s="10" t="str">
        <f ca="1">IFERROR(IF(OR(6&gt;=$B$1,Clients!A18="",NOT(ISNUMBER(Clients!D18)),Clients!L18="Expired",Clients!L18="Terminate"),"",Clients!D18*1*IF(Clients!E18="Monthly",IF(AND(ISNUMBER(Clients!G18),(YEAR(EDATE(DATE(YEAR(TODAY()),MONTH(TODAY()),1),6))*12+MONTH(EDATE(DATE(YEAR(TODAY()),MONTH(TODAY()),1),6)))&gt;(YEAR(Clients!G18)*12+MONTH(Clients!G18))),"",1),IF(Clients!E18="Quarterly",IF(MOD((YEAR(EDATE(DATE(YEAR(TODAY()),MONTH(TODAY()),1),6))-YEAR(IF(ISNUMBER(Clients!F18),Clients!F18,DATE(YEAR(TODAY()),MONTH(TODAY()),1))))*12+MONTH(EDATE(DATE(YEAR(TODAY()),MONTH(TODAY()),1),6))-MONTH(IF(ISNUMBER(Clients!F18),Clients!F18,DATE(YEAR(TODAY()),MONTH(TODAY()),1))),3)=0,1,0),IF(Clients!E18="Semi-annual",IF(MOD((YEAR(EDATE(DATE(YEAR(TODAY()),MONTH(TODAY()),1),6))-YEAR(IF(ISNUMBER(Clients!F18),Clients!F18,DATE(YEAR(TODAY()),MONTH(TODAY()),1))))*12+MONTH(EDATE(DATE(YEAR(TODAY()),MONTH(TODAY()),1),6))-MONTH(IF(ISNUMBER(Clients!F18),Clients!F18,DATE(YEAR(TODAY()),MONTH(TODAY()),1))),6)=0,1,0),IF(Clients!E18="Annual",IF(MOD((YEAR(EDATE(DATE(YEAR(TODAY()),MONTH(TODAY()),1),6))-YEAR(IF(ISNUMBER(Clients!F18),Clients!F18,DATE(YEAR(TODAY()),MONTH(TODAY()),1))))*12+MONTH(EDATE(DATE(YEAR(TODAY()),MONTH(TODAY()),1),6))-MONTH(IF(ISNUMBER(Clients!F18),Clients!F18,DATE(YEAR(TODAY()),MONTH(TODAY()),1))),12)=0,1,0),IF(Clients!E18="One-time",IF(6=0,1,0),1)))))),"")</f>
        <v/>
      </c>
      <c r="M88" s="10" t="str">
        <f ca="1">IFERROR(IF(OR(7&gt;=$B$1,Clients!A18="",NOT(ISNUMBER(Clients!D18)),Clients!L18="Expired",Clients!L18="Terminate"),"",Clients!D18*1*IF(Clients!E18="Monthly",IF(AND(ISNUMBER(Clients!G18),(YEAR(EDATE(DATE(YEAR(TODAY()),MONTH(TODAY()),1),7))*12+MONTH(EDATE(DATE(YEAR(TODAY()),MONTH(TODAY()),1),7)))&gt;(YEAR(Clients!G18)*12+MONTH(Clients!G18))),"",1),IF(Clients!E18="Quarterly",IF(MOD((YEAR(EDATE(DATE(YEAR(TODAY()),MONTH(TODAY()),1),7))-YEAR(IF(ISNUMBER(Clients!F18),Clients!F18,DATE(YEAR(TODAY()),MONTH(TODAY()),1))))*12+MONTH(EDATE(DATE(YEAR(TODAY()),MONTH(TODAY()),1),7))-MONTH(IF(ISNUMBER(Clients!F18),Clients!F18,DATE(YEAR(TODAY()),MONTH(TODAY()),1))),3)=0,1,0),IF(Clients!E18="Semi-annual",IF(MOD((YEAR(EDATE(DATE(YEAR(TODAY()),MONTH(TODAY()),1),7))-YEAR(IF(ISNUMBER(Clients!F18),Clients!F18,DATE(YEAR(TODAY()),MONTH(TODAY()),1))))*12+MONTH(EDATE(DATE(YEAR(TODAY()),MONTH(TODAY()),1),7))-MONTH(IF(ISNUMBER(Clients!F18),Clients!F18,DATE(YEAR(TODAY()),MONTH(TODAY()),1))),6)=0,1,0),IF(Clients!E18="Annual",IF(MOD((YEAR(EDATE(DATE(YEAR(TODAY()),MONTH(TODAY()),1),7))-YEAR(IF(ISNUMBER(Clients!F18),Clients!F18,DATE(YEAR(TODAY()),MONTH(TODAY()),1))))*12+MONTH(EDATE(DATE(YEAR(TODAY()),MONTH(TODAY()),1),7))-MONTH(IF(ISNUMBER(Clients!F18),Clients!F18,DATE(YEAR(TODAY()),MONTH(TODAY()),1))),12)=0,1,0),IF(Clients!E18="One-time",IF(7=0,1,0),1)))))),"")</f>
        <v/>
      </c>
      <c r="N88" s="10" t="str">
        <f ca="1">IFERROR(IF(OR(8&gt;=$B$1,Clients!A18="",NOT(ISNUMBER(Clients!D18)),Clients!L18="Expired",Clients!L18="Terminate"),"",Clients!D18*1*IF(Clients!E18="Monthly",IF(AND(ISNUMBER(Clients!G18),(YEAR(EDATE(DATE(YEAR(TODAY()),MONTH(TODAY()),1),8))*12+MONTH(EDATE(DATE(YEAR(TODAY()),MONTH(TODAY()),1),8)))&gt;(YEAR(Clients!G18)*12+MONTH(Clients!G18))),"",1),IF(Clients!E18="Quarterly",IF(MOD((YEAR(EDATE(DATE(YEAR(TODAY()),MONTH(TODAY()),1),8))-YEAR(IF(ISNUMBER(Clients!F18),Clients!F18,DATE(YEAR(TODAY()),MONTH(TODAY()),1))))*12+MONTH(EDATE(DATE(YEAR(TODAY()),MONTH(TODAY()),1),8))-MONTH(IF(ISNUMBER(Clients!F18),Clients!F18,DATE(YEAR(TODAY()),MONTH(TODAY()),1))),3)=0,1,0),IF(Clients!E18="Semi-annual",IF(MOD((YEAR(EDATE(DATE(YEAR(TODAY()),MONTH(TODAY()),1),8))-YEAR(IF(ISNUMBER(Clients!F18),Clients!F18,DATE(YEAR(TODAY()),MONTH(TODAY()),1))))*12+MONTH(EDATE(DATE(YEAR(TODAY()),MONTH(TODAY()),1),8))-MONTH(IF(ISNUMBER(Clients!F18),Clients!F18,DATE(YEAR(TODAY()),MONTH(TODAY()),1))),6)=0,1,0),IF(Clients!E18="Annual",IF(MOD((YEAR(EDATE(DATE(YEAR(TODAY()),MONTH(TODAY()),1),8))-YEAR(IF(ISNUMBER(Clients!F18),Clients!F18,DATE(YEAR(TODAY()),MONTH(TODAY()),1))))*12+MONTH(EDATE(DATE(YEAR(TODAY()),MONTH(TODAY()),1),8))-MONTH(IF(ISNUMBER(Clients!F18),Clients!F18,DATE(YEAR(TODAY()),MONTH(TODAY()),1))),12)=0,1,0),IF(Clients!E18="One-time",IF(8=0,1,0),1)))))),"")</f>
        <v/>
      </c>
      <c r="O88" s="10" t="str">
        <f ca="1">IFERROR(IF(OR(9&gt;=$B$1,Clients!A18="",NOT(ISNUMBER(Clients!D18)),Clients!L18="Expired",Clients!L18="Terminate"),"",Clients!D18*1*IF(Clients!E18="Monthly",IF(AND(ISNUMBER(Clients!G18),(YEAR(EDATE(DATE(YEAR(TODAY()),MONTH(TODAY()),1),9))*12+MONTH(EDATE(DATE(YEAR(TODAY()),MONTH(TODAY()),1),9)))&gt;(YEAR(Clients!G18)*12+MONTH(Clients!G18))),"",1),IF(Clients!E18="Quarterly",IF(MOD((YEAR(EDATE(DATE(YEAR(TODAY()),MONTH(TODAY()),1),9))-YEAR(IF(ISNUMBER(Clients!F18),Clients!F18,DATE(YEAR(TODAY()),MONTH(TODAY()),1))))*12+MONTH(EDATE(DATE(YEAR(TODAY()),MONTH(TODAY()),1),9))-MONTH(IF(ISNUMBER(Clients!F18),Clients!F18,DATE(YEAR(TODAY()),MONTH(TODAY()),1))),3)=0,1,0),IF(Clients!E18="Semi-annual",IF(MOD((YEAR(EDATE(DATE(YEAR(TODAY()),MONTH(TODAY()),1),9))-YEAR(IF(ISNUMBER(Clients!F18),Clients!F18,DATE(YEAR(TODAY()),MONTH(TODAY()),1))))*12+MONTH(EDATE(DATE(YEAR(TODAY()),MONTH(TODAY()),1),9))-MONTH(IF(ISNUMBER(Clients!F18),Clients!F18,DATE(YEAR(TODAY()),MONTH(TODAY()),1))),6)=0,1,0),IF(Clients!E18="Annual",IF(MOD((YEAR(EDATE(DATE(YEAR(TODAY()),MONTH(TODAY()),1),9))-YEAR(IF(ISNUMBER(Clients!F18),Clients!F18,DATE(YEAR(TODAY()),MONTH(TODAY()),1))))*12+MONTH(EDATE(DATE(YEAR(TODAY()),MONTH(TODAY()),1),9))-MONTH(IF(ISNUMBER(Clients!F18),Clients!F18,DATE(YEAR(TODAY()),MONTH(TODAY()),1))),12)=0,1,0),IF(Clients!E18="One-time",IF(9=0,1,0),1)))))),"")</f>
        <v/>
      </c>
      <c r="P88" s="10" t="str">
        <f ca="1">IFERROR(IF(OR(10&gt;=$B$1,Clients!A18="",NOT(ISNUMBER(Clients!D18)),Clients!L18="Expired",Clients!L18="Terminate"),"",Clients!D18*1*IF(Clients!E18="Monthly",IF(AND(ISNUMBER(Clients!G18),(YEAR(EDATE(DATE(YEAR(TODAY()),MONTH(TODAY()),1),10))*12+MONTH(EDATE(DATE(YEAR(TODAY()),MONTH(TODAY()),1),10)))&gt;(YEAR(Clients!G18)*12+MONTH(Clients!G18))),"",1),IF(Clients!E18="Quarterly",IF(MOD((YEAR(EDATE(DATE(YEAR(TODAY()),MONTH(TODAY()),1),10))-YEAR(IF(ISNUMBER(Clients!F18),Clients!F18,DATE(YEAR(TODAY()),MONTH(TODAY()),1))))*12+MONTH(EDATE(DATE(YEAR(TODAY()),MONTH(TODAY()),1),10))-MONTH(IF(ISNUMBER(Clients!F18),Clients!F18,DATE(YEAR(TODAY()),MONTH(TODAY()),1))),3)=0,1,0),IF(Clients!E18="Semi-annual",IF(MOD((YEAR(EDATE(DATE(YEAR(TODAY()),MONTH(TODAY()),1),10))-YEAR(IF(ISNUMBER(Clients!F18),Clients!F18,DATE(YEAR(TODAY()),MONTH(TODAY()),1))))*12+MONTH(EDATE(DATE(YEAR(TODAY()),MONTH(TODAY()),1),10))-MONTH(IF(ISNUMBER(Clients!F18),Clients!F18,DATE(YEAR(TODAY()),MONTH(TODAY()),1))),6)=0,1,0),IF(Clients!E18="Annual",IF(MOD((YEAR(EDATE(DATE(YEAR(TODAY()),MONTH(TODAY()),1),10))-YEAR(IF(ISNUMBER(Clients!F18),Clients!F18,DATE(YEAR(TODAY()),MONTH(TODAY()),1))))*12+MONTH(EDATE(DATE(YEAR(TODAY()),MONTH(TODAY()),1),10))-MONTH(IF(ISNUMBER(Clients!F18),Clients!F18,DATE(YEAR(TODAY()),MONTH(TODAY()),1))),12)=0,1,0),IF(Clients!E18="One-time",IF(10=0,1,0),1)))))),"")</f>
        <v/>
      </c>
      <c r="Q88" s="10" t="str">
        <f ca="1">IFERROR(IF(OR(11&gt;=$B$1,Clients!A18="",NOT(ISNUMBER(Clients!D18)),Clients!L18="Expired",Clients!L18="Terminate"),"",Clients!D18*1*IF(Clients!E18="Monthly",IF(AND(ISNUMBER(Clients!G18),(YEAR(EDATE(DATE(YEAR(TODAY()),MONTH(TODAY()),1),11))*12+MONTH(EDATE(DATE(YEAR(TODAY()),MONTH(TODAY()),1),11)))&gt;(YEAR(Clients!G18)*12+MONTH(Clients!G18))),"",1),IF(Clients!E18="Quarterly",IF(MOD((YEAR(EDATE(DATE(YEAR(TODAY()),MONTH(TODAY()),1),11))-YEAR(IF(ISNUMBER(Clients!F18),Clients!F18,DATE(YEAR(TODAY()),MONTH(TODAY()),1))))*12+MONTH(EDATE(DATE(YEAR(TODAY()),MONTH(TODAY()),1),11))-MONTH(IF(ISNUMBER(Clients!F18),Clients!F18,DATE(YEAR(TODAY()),MONTH(TODAY()),1))),3)=0,1,0),IF(Clients!E18="Semi-annual",IF(MOD((YEAR(EDATE(DATE(YEAR(TODAY()),MONTH(TODAY()),1),11))-YEAR(IF(ISNUMBER(Clients!F18),Clients!F18,DATE(YEAR(TODAY()),MONTH(TODAY()),1))))*12+MONTH(EDATE(DATE(YEAR(TODAY()),MONTH(TODAY()),1),11))-MONTH(IF(ISNUMBER(Clients!F18),Clients!F18,DATE(YEAR(TODAY()),MONTH(TODAY()),1))),6)=0,1,0),IF(Clients!E18="Annual",IF(MOD((YEAR(EDATE(DATE(YEAR(TODAY()),MONTH(TODAY()),1),11))-YEAR(IF(ISNUMBER(Clients!F18),Clients!F18,DATE(YEAR(TODAY()),MONTH(TODAY()),1))))*12+MONTH(EDATE(DATE(YEAR(TODAY()),MONTH(TODAY()),1),11))-MONTH(IF(ISNUMBER(Clients!F18),Clients!F18,DATE(YEAR(TODAY()),MONTH(TODAY()),1))),12)=0,1,0),IF(Clients!E18="One-time",IF(11=0,1,0),1)))))),"")</f>
        <v/>
      </c>
      <c r="R88" s="10" t="str">
        <f ca="1">IFERROR(IF(OR(12&gt;=$B$1,Suppliers!A86="",NOT(ISNUMBER(Suppliers!D86)),Suppliers!L86="Expired",Suppliers!L86="Terminate"),"",Suppliers!D86*-1*IF(Suppliers!E86="Monthly",IF(AND(ISNUMBER(Suppliers!G86),(YEAR(EDATE(DATE(YEAR(TODAY()),MONTH(TODAY()),1),12))*12+MONTH(EDATE(DATE(YEAR(TODAY()),MONTH(TODAY()),1),12)))&gt;(YEAR(Suppliers!G86)*12+MONTH(Suppliers!G86))),"",1),IF(Suppliers!E86="Quarterly",IF(MOD((YEAR(EDATE(DATE(YEAR(TODAY()),MONTH(TODAY()),1),12))-YEAR(IF(ISNUMBER(Suppliers!F86),Suppliers!F86,DATE(YEAR(TODAY()),MONTH(TODAY()),1))))*12+MONTH(EDATE(DATE(YEAR(TODAY()),MONTH(TODAY()),1),12))-MONTH(IF(ISNUMBER(Suppliers!F86),Suppliers!F86,DATE(YEAR(TODAY()),MONTH(TODAY()),1))),3)=0,1,0),IF(Suppliers!E86="Semi-annual",IF(MOD((YEAR(EDATE(DATE(YEAR(TODAY()),MONTH(TODAY()),1),12))-YEAR(IF(ISNUMBER(Suppliers!F86),Suppliers!F86,DATE(YEAR(TODAY()),MONTH(TODAY()),1))))*12+MONTH(EDATE(DATE(YEAR(TODAY()),MONTH(TODAY()),1),12))-MONTH(IF(ISNUMBER(Suppliers!F86),Suppliers!F86,DATE(YEAR(TODAY()),MONTH(TODAY()),1))),6)=0,1,0),IF(Suppliers!E86="Annual",IF(MOD((YEAR(EDATE(DATE(YEAR(TODAY()),MONTH(TODAY()),1),12))-YEAR(IF(ISNUMBER(Suppliers!F86),Suppliers!F86,DATE(YEAR(TODAY()),MONTH(TODAY()),1))))*12+MONTH(EDATE(DATE(YEAR(TODAY()),MONTH(TODAY()),1),12))-MONTH(IF(ISNUMBER(Suppliers!F86),Suppliers!F86,DATE(YEAR(TODAY()),MONTH(TODAY()),1))),12)=0,1,0),IF(Suppliers!E86="One-time",IF(12=0,1,0),1)))))),"")</f>
        <v/>
      </c>
      <c r="S88" s="10" t="str">
        <f ca="1">IFERROR(IF(OR(13&gt;=$B$1,Suppliers!A86="",NOT(ISNUMBER(Suppliers!D86)),Suppliers!L86="Expired",Suppliers!L86="Terminate"),"",Suppliers!D86*-1*IF(Suppliers!E86="Monthly",IF(AND(ISNUMBER(Suppliers!G86),(YEAR(EDATE(DATE(YEAR(TODAY()),MONTH(TODAY()),1),13))*12+MONTH(EDATE(DATE(YEAR(TODAY()),MONTH(TODAY()),1),13)))&gt;(YEAR(Suppliers!G86)*12+MONTH(Suppliers!G86))),"",1),IF(Suppliers!E86="Quarterly",IF(MOD((YEAR(EDATE(DATE(YEAR(TODAY()),MONTH(TODAY()),1),13))-YEAR(IF(ISNUMBER(Suppliers!F86),Suppliers!F86,DATE(YEAR(TODAY()),MONTH(TODAY()),1))))*12+MONTH(EDATE(DATE(YEAR(TODAY()),MONTH(TODAY()),1),13))-MONTH(IF(ISNUMBER(Suppliers!F86),Suppliers!F86,DATE(YEAR(TODAY()),MONTH(TODAY()),1))),3)=0,1,0),IF(Suppliers!E86="Semi-annual",IF(MOD((YEAR(EDATE(DATE(YEAR(TODAY()),MONTH(TODAY()),1),13))-YEAR(IF(ISNUMBER(Suppliers!F86),Suppliers!F86,DATE(YEAR(TODAY()),MONTH(TODAY()),1))))*12+MONTH(EDATE(DATE(YEAR(TODAY()),MONTH(TODAY()),1),13))-MONTH(IF(ISNUMBER(Suppliers!F86),Suppliers!F86,DATE(YEAR(TODAY()),MONTH(TODAY()),1))),6)=0,1,0),IF(Suppliers!E86="Annual",IF(MOD((YEAR(EDATE(DATE(YEAR(TODAY()),MONTH(TODAY()),1),13))-YEAR(IF(ISNUMBER(Suppliers!F86),Suppliers!F86,DATE(YEAR(TODAY()),MONTH(TODAY()),1))))*12+MONTH(EDATE(DATE(YEAR(TODAY()),MONTH(TODAY()),1),13))-MONTH(IF(ISNUMBER(Suppliers!F86),Suppliers!F86,DATE(YEAR(TODAY()),MONTH(TODAY()),1))),12)=0,1,0),IF(Suppliers!E86="One-time",IF(13=0,1,0),1)))))),"")</f>
        <v/>
      </c>
      <c r="T88" s="10" t="str">
        <f ca="1">IFERROR(IF(OR(14&gt;=$B$1,Suppliers!A86="",NOT(ISNUMBER(Suppliers!D86)),Suppliers!L86="Expired",Suppliers!L86="Terminate"),"",Suppliers!D86*-1*IF(Suppliers!E86="Monthly",IF(AND(ISNUMBER(Suppliers!G86),(YEAR(EDATE(DATE(YEAR(TODAY()),MONTH(TODAY()),1),14))*12+MONTH(EDATE(DATE(YEAR(TODAY()),MONTH(TODAY()),1),14)))&gt;(YEAR(Suppliers!G86)*12+MONTH(Suppliers!G86))),"",1),IF(Suppliers!E86="Quarterly",IF(MOD((YEAR(EDATE(DATE(YEAR(TODAY()),MONTH(TODAY()),1),14))-YEAR(IF(ISNUMBER(Suppliers!F86),Suppliers!F86,DATE(YEAR(TODAY()),MONTH(TODAY()),1))))*12+MONTH(EDATE(DATE(YEAR(TODAY()),MONTH(TODAY()),1),14))-MONTH(IF(ISNUMBER(Suppliers!F86),Suppliers!F86,DATE(YEAR(TODAY()),MONTH(TODAY()),1))),3)=0,1,0),IF(Suppliers!E86="Semi-annual",IF(MOD((YEAR(EDATE(DATE(YEAR(TODAY()),MONTH(TODAY()),1),14))-YEAR(IF(ISNUMBER(Suppliers!F86),Suppliers!F86,DATE(YEAR(TODAY()),MONTH(TODAY()),1))))*12+MONTH(EDATE(DATE(YEAR(TODAY()),MONTH(TODAY()),1),14))-MONTH(IF(ISNUMBER(Suppliers!F86),Suppliers!F86,DATE(YEAR(TODAY()),MONTH(TODAY()),1))),6)=0,1,0),IF(Suppliers!E86="Annual",IF(MOD((YEAR(EDATE(DATE(YEAR(TODAY()),MONTH(TODAY()),1),14))-YEAR(IF(ISNUMBER(Suppliers!F86),Suppliers!F86,DATE(YEAR(TODAY()),MONTH(TODAY()),1))))*12+MONTH(EDATE(DATE(YEAR(TODAY()),MONTH(TODAY()),1),14))-MONTH(IF(ISNUMBER(Suppliers!F86),Suppliers!F86,DATE(YEAR(TODAY()),MONTH(TODAY()),1))),12)=0,1,0),IF(Suppliers!E86="One-time",IF(14=0,1,0),1)))))),"")</f>
        <v/>
      </c>
      <c r="U88" s="10" t="str">
        <f ca="1">IFERROR(IF(OR(15&gt;=$B$1,Suppliers!A86="",NOT(ISNUMBER(Suppliers!D86)),Suppliers!L86="Expired",Suppliers!L86="Terminate"),"",Suppliers!D86*-1*IF(Suppliers!E86="Monthly",IF(AND(ISNUMBER(Suppliers!G86),(YEAR(EDATE(DATE(YEAR(TODAY()),MONTH(TODAY()),1),15))*12+MONTH(EDATE(DATE(YEAR(TODAY()),MONTH(TODAY()),1),15)))&gt;(YEAR(Suppliers!G86)*12+MONTH(Suppliers!G86))),"",1),IF(Suppliers!E86="Quarterly",IF(MOD((YEAR(EDATE(DATE(YEAR(TODAY()),MONTH(TODAY()),1),15))-YEAR(IF(ISNUMBER(Suppliers!F86),Suppliers!F86,DATE(YEAR(TODAY()),MONTH(TODAY()),1))))*12+MONTH(EDATE(DATE(YEAR(TODAY()),MONTH(TODAY()),1),15))-MONTH(IF(ISNUMBER(Suppliers!F86),Suppliers!F86,DATE(YEAR(TODAY()),MONTH(TODAY()),1))),3)=0,1,0),IF(Suppliers!E86="Semi-annual",IF(MOD((YEAR(EDATE(DATE(YEAR(TODAY()),MONTH(TODAY()),1),15))-YEAR(IF(ISNUMBER(Suppliers!F86),Suppliers!F86,DATE(YEAR(TODAY()),MONTH(TODAY()),1))))*12+MONTH(EDATE(DATE(YEAR(TODAY()),MONTH(TODAY()),1),15))-MONTH(IF(ISNUMBER(Suppliers!F86),Suppliers!F86,DATE(YEAR(TODAY()),MONTH(TODAY()),1))),6)=0,1,0),IF(Suppliers!E86="Annual",IF(MOD((YEAR(EDATE(DATE(YEAR(TODAY()),MONTH(TODAY()),1),15))-YEAR(IF(ISNUMBER(Suppliers!F86),Suppliers!F86,DATE(YEAR(TODAY()),MONTH(TODAY()),1))))*12+MONTH(EDATE(DATE(YEAR(TODAY()),MONTH(TODAY()),1),15))-MONTH(IF(ISNUMBER(Suppliers!F86),Suppliers!F86,DATE(YEAR(TODAY()),MONTH(TODAY()),1))),12)=0,1,0),IF(Suppliers!E86="One-time",IF(15=0,1,0),1)))))),"")</f>
        <v/>
      </c>
      <c r="V88" s="10" t="str">
        <f ca="1">IFERROR(IF(OR(16&gt;=$B$1,Suppliers!A86="",NOT(ISNUMBER(Suppliers!D86)),Suppliers!L86="Expired",Suppliers!L86="Terminate"),"",Suppliers!D86*-1*IF(Suppliers!E86="Monthly",IF(AND(ISNUMBER(Suppliers!G86),(YEAR(EDATE(DATE(YEAR(TODAY()),MONTH(TODAY()),1),16))*12+MONTH(EDATE(DATE(YEAR(TODAY()),MONTH(TODAY()),1),16)))&gt;(YEAR(Suppliers!G86)*12+MONTH(Suppliers!G86))),"",1),IF(Suppliers!E86="Quarterly",IF(MOD((YEAR(EDATE(DATE(YEAR(TODAY()),MONTH(TODAY()),1),16))-YEAR(IF(ISNUMBER(Suppliers!F86),Suppliers!F86,DATE(YEAR(TODAY()),MONTH(TODAY()),1))))*12+MONTH(EDATE(DATE(YEAR(TODAY()),MONTH(TODAY()),1),16))-MONTH(IF(ISNUMBER(Suppliers!F86),Suppliers!F86,DATE(YEAR(TODAY()),MONTH(TODAY()),1))),3)=0,1,0),IF(Suppliers!E86="Semi-annual",IF(MOD((YEAR(EDATE(DATE(YEAR(TODAY()),MONTH(TODAY()),1),16))-YEAR(IF(ISNUMBER(Suppliers!F86),Suppliers!F86,DATE(YEAR(TODAY()),MONTH(TODAY()),1))))*12+MONTH(EDATE(DATE(YEAR(TODAY()),MONTH(TODAY()),1),16))-MONTH(IF(ISNUMBER(Suppliers!F86),Suppliers!F86,DATE(YEAR(TODAY()),MONTH(TODAY()),1))),6)=0,1,0),IF(Suppliers!E86="Annual",IF(MOD((YEAR(EDATE(DATE(YEAR(TODAY()),MONTH(TODAY()),1),16))-YEAR(IF(ISNUMBER(Suppliers!F86),Suppliers!F86,DATE(YEAR(TODAY()),MONTH(TODAY()),1))))*12+MONTH(EDATE(DATE(YEAR(TODAY()),MONTH(TODAY()),1),16))-MONTH(IF(ISNUMBER(Suppliers!F86),Suppliers!F86,DATE(YEAR(TODAY()),MONTH(TODAY()),1))),12)=0,1,0),IF(Suppliers!E86="One-time",IF(16=0,1,0),1)))))),"")</f>
        <v/>
      </c>
      <c r="W88" s="10" t="str">
        <f ca="1">IFERROR(IF(OR(17&gt;=$B$1,Suppliers!A86="",NOT(ISNUMBER(Suppliers!D86)),Suppliers!L86="Expired",Suppliers!L86="Terminate"),"",Suppliers!D86*-1*IF(Suppliers!E86="Monthly",IF(AND(ISNUMBER(Suppliers!G86),(YEAR(EDATE(DATE(YEAR(TODAY()),MONTH(TODAY()),1),17))*12+MONTH(EDATE(DATE(YEAR(TODAY()),MONTH(TODAY()),1),17)))&gt;(YEAR(Suppliers!G86)*12+MONTH(Suppliers!G86))),"",1),IF(Suppliers!E86="Quarterly",IF(MOD((YEAR(EDATE(DATE(YEAR(TODAY()),MONTH(TODAY()),1),17))-YEAR(IF(ISNUMBER(Suppliers!F86),Suppliers!F86,DATE(YEAR(TODAY()),MONTH(TODAY()),1))))*12+MONTH(EDATE(DATE(YEAR(TODAY()),MONTH(TODAY()),1),17))-MONTH(IF(ISNUMBER(Suppliers!F86),Suppliers!F86,DATE(YEAR(TODAY()),MONTH(TODAY()),1))),3)=0,1,0),IF(Suppliers!E86="Semi-annual",IF(MOD((YEAR(EDATE(DATE(YEAR(TODAY()),MONTH(TODAY()),1),17))-YEAR(IF(ISNUMBER(Suppliers!F86),Suppliers!F86,DATE(YEAR(TODAY()),MONTH(TODAY()),1))))*12+MONTH(EDATE(DATE(YEAR(TODAY()),MONTH(TODAY()),1),17))-MONTH(IF(ISNUMBER(Suppliers!F86),Suppliers!F86,DATE(YEAR(TODAY()),MONTH(TODAY()),1))),6)=0,1,0),IF(Suppliers!E86="Annual",IF(MOD((YEAR(EDATE(DATE(YEAR(TODAY()),MONTH(TODAY()),1),17))-YEAR(IF(ISNUMBER(Suppliers!F86),Suppliers!F86,DATE(YEAR(TODAY()),MONTH(TODAY()),1))))*12+MONTH(EDATE(DATE(YEAR(TODAY()),MONTH(TODAY()),1),17))-MONTH(IF(ISNUMBER(Suppliers!F86),Suppliers!F86,DATE(YEAR(TODAY()),MONTH(TODAY()),1))),12)=0,1,0),IF(Suppliers!E86="One-time",IF(17=0,1,0),1)))))),"")</f>
        <v/>
      </c>
      <c r="X88" s="10" t="str">
        <f ca="1">IFERROR(IF(OR(18&gt;=$B$1,Suppliers!A86="",NOT(ISNUMBER(Suppliers!D86)),Suppliers!L86="Expired",Suppliers!L86="Terminate"),"",Suppliers!D86*-1*IF(Suppliers!E86="Monthly",IF(AND(ISNUMBER(Suppliers!G86),(YEAR(EDATE(DATE(YEAR(TODAY()),MONTH(TODAY()),1),18))*12+MONTH(EDATE(DATE(YEAR(TODAY()),MONTH(TODAY()),1),18)))&gt;(YEAR(Suppliers!G86)*12+MONTH(Suppliers!G86))),"",1),IF(Suppliers!E86="Quarterly",IF(MOD((YEAR(EDATE(DATE(YEAR(TODAY()),MONTH(TODAY()),1),18))-YEAR(IF(ISNUMBER(Suppliers!F86),Suppliers!F86,DATE(YEAR(TODAY()),MONTH(TODAY()),1))))*12+MONTH(EDATE(DATE(YEAR(TODAY()),MONTH(TODAY()),1),18))-MONTH(IF(ISNUMBER(Suppliers!F86),Suppliers!F86,DATE(YEAR(TODAY()),MONTH(TODAY()),1))),3)=0,1,0),IF(Suppliers!E86="Semi-annual",IF(MOD((YEAR(EDATE(DATE(YEAR(TODAY()),MONTH(TODAY()),1),18))-YEAR(IF(ISNUMBER(Suppliers!F86),Suppliers!F86,DATE(YEAR(TODAY()),MONTH(TODAY()),1))))*12+MONTH(EDATE(DATE(YEAR(TODAY()),MONTH(TODAY()),1),18))-MONTH(IF(ISNUMBER(Suppliers!F86),Suppliers!F86,DATE(YEAR(TODAY()),MONTH(TODAY()),1))),6)=0,1,0),IF(Suppliers!E86="Annual",IF(MOD((YEAR(EDATE(DATE(YEAR(TODAY()),MONTH(TODAY()),1),18))-YEAR(IF(ISNUMBER(Suppliers!F86),Suppliers!F86,DATE(YEAR(TODAY()),MONTH(TODAY()),1))))*12+MONTH(EDATE(DATE(YEAR(TODAY()),MONTH(TODAY()),1),18))-MONTH(IF(ISNUMBER(Suppliers!F86),Suppliers!F86,DATE(YEAR(TODAY()),MONTH(TODAY()),1))),12)=0,1,0),IF(Suppliers!E86="One-time",IF(18=0,1,0),1)))))),"")</f>
        <v/>
      </c>
      <c r="Y88" s="10" t="str">
        <f ca="1">IFERROR(IF(OR(19&gt;=$B$1,Suppliers!A86="",NOT(ISNUMBER(Suppliers!D86)),Suppliers!L86="Expired",Suppliers!L86="Terminate"),"",Suppliers!D86*-1*IF(Suppliers!E86="Monthly",IF(AND(ISNUMBER(Suppliers!G86),(YEAR(EDATE(DATE(YEAR(TODAY()),MONTH(TODAY()),1),19))*12+MONTH(EDATE(DATE(YEAR(TODAY()),MONTH(TODAY()),1),19)))&gt;(YEAR(Suppliers!G86)*12+MONTH(Suppliers!G86))),"",1),IF(Suppliers!E86="Quarterly",IF(MOD((YEAR(EDATE(DATE(YEAR(TODAY()),MONTH(TODAY()),1),19))-YEAR(IF(ISNUMBER(Suppliers!F86),Suppliers!F86,DATE(YEAR(TODAY()),MONTH(TODAY()),1))))*12+MONTH(EDATE(DATE(YEAR(TODAY()),MONTH(TODAY()),1),19))-MONTH(IF(ISNUMBER(Suppliers!F86),Suppliers!F86,DATE(YEAR(TODAY()),MONTH(TODAY()),1))),3)=0,1,0),IF(Suppliers!E86="Semi-annual",IF(MOD((YEAR(EDATE(DATE(YEAR(TODAY()),MONTH(TODAY()),1),19))-YEAR(IF(ISNUMBER(Suppliers!F86),Suppliers!F86,DATE(YEAR(TODAY()),MONTH(TODAY()),1))))*12+MONTH(EDATE(DATE(YEAR(TODAY()),MONTH(TODAY()),1),19))-MONTH(IF(ISNUMBER(Suppliers!F86),Suppliers!F86,DATE(YEAR(TODAY()),MONTH(TODAY()),1))),6)=0,1,0),IF(Suppliers!E86="Annual",IF(MOD((YEAR(EDATE(DATE(YEAR(TODAY()),MONTH(TODAY()),1),19))-YEAR(IF(ISNUMBER(Suppliers!F86),Suppliers!F86,DATE(YEAR(TODAY()),MONTH(TODAY()),1))))*12+MONTH(EDATE(DATE(YEAR(TODAY()),MONTH(TODAY()),1),19))-MONTH(IF(ISNUMBER(Suppliers!F86),Suppliers!F86,DATE(YEAR(TODAY()),MONTH(TODAY()),1))),12)=0,1,0),IF(Suppliers!E86="One-time",IF(19=0,1,0),1)))))),"")</f>
        <v/>
      </c>
      <c r="Z88" s="10" t="str">
        <f ca="1">IFERROR(IF(OR(20&gt;=$B$1,Suppliers!A86="",NOT(ISNUMBER(Suppliers!D86)),Suppliers!L86="Expired",Suppliers!L86="Terminate"),"",Suppliers!D86*-1*IF(Suppliers!E86="Monthly",IF(AND(ISNUMBER(Suppliers!G86),(YEAR(EDATE(DATE(YEAR(TODAY()),MONTH(TODAY()),1),20))*12+MONTH(EDATE(DATE(YEAR(TODAY()),MONTH(TODAY()),1),20)))&gt;(YEAR(Suppliers!G86)*12+MONTH(Suppliers!G86))),"",1),IF(Suppliers!E86="Quarterly",IF(MOD((YEAR(EDATE(DATE(YEAR(TODAY()),MONTH(TODAY()),1),20))-YEAR(IF(ISNUMBER(Suppliers!F86),Suppliers!F86,DATE(YEAR(TODAY()),MONTH(TODAY()),1))))*12+MONTH(EDATE(DATE(YEAR(TODAY()),MONTH(TODAY()),1),20))-MONTH(IF(ISNUMBER(Suppliers!F86),Suppliers!F86,DATE(YEAR(TODAY()),MONTH(TODAY()),1))),3)=0,1,0),IF(Suppliers!E86="Semi-annual",IF(MOD((YEAR(EDATE(DATE(YEAR(TODAY()),MONTH(TODAY()),1),20))-YEAR(IF(ISNUMBER(Suppliers!F86),Suppliers!F86,DATE(YEAR(TODAY()),MONTH(TODAY()),1))))*12+MONTH(EDATE(DATE(YEAR(TODAY()),MONTH(TODAY()),1),20))-MONTH(IF(ISNUMBER(Suppliers!F86),Suppliers!F86,DATE(YEAR(TODAY()),MONTH(TODAY()),1))),6)=0,1,0),IF(Suppliers!E86="Annual",IF(MOD((YEAR(EDATE(DATE(YEAR(TODAY()),MONTH(TODAY()),1),20))-YEAR(IF(ISNUMBER(Suppliers!F86),Suppliers!F86,DATE(YEAR(TODAY()),MONTH(TODAY()),1))))*12+MONTH(EDATE(DATE(YEAR(TODAY()),MONTH(TODAY()),1),20))-MONTH(IF(ISNUMBER(Suppliers!F86),Suppliers!F86,DATE(YEAR(TODAY()),MONTH(TODAY()),1))),12)=0,1,0),IF(Suppliers!E86="One-time",IF(20=0,1,0),1)))))),"")</f>
        <v/>
      </c>
      <c r="AA88" s="10" t="str">
        <f ca="1">IFERROR(IF(OR(21&gt;=$B$1,Suppliers!A86="",NOT(ISNUMBER(Suppliers!D86)),Suppliers!L86="Expired",Suppliers!L86="Terminate"),"",Suppliers!D86*-1*IF(Suppliers!E86="Monthly",IF(AND(ISNUMBER(Suppliers!G86),(YEAR(EDATE(DATE(YEAR(TODAY()),MONTH(TODAY()),1),21))*12+MONTH(EDATE(DATE(YEAR(TODAY()),MONTH(TODAY()),1),21)))&gt;(YEAR(Suppliers!G86)*12+MONTH(Suppliers!G86))),"",1),IF(Suppliers!E86="Quarterly",IF(MOD((YEAR(EDATE(DATE(YEAR(TODAY()),MONTH(TODAY()),1),21))-YEAR(IF(ISNUMBER(Suppliers!F86),Suppliers!F86,DATE(YEAR(TODAY()),MONTH(TODAY()),1))))*12+MONTH(EDATE(DATE(YEAR(TODAY()),MONTH(TODAY()),1),21))-MONTH(IF(ISNUMBER(Suppliers!F86),Suppliers!F86,DATE(YEAR(TODAY()),MONTH(TODAY()),1))),3)=0,1,0),IF(Suppliers!E86="Semi-annual",IF(MOD((YEAR(EDATE(DATE(YEAR(TODAY()),MONTH(TODAY()),1),21))-YEAR(IF(ISNUMBER(Suppliers!F86),Suppliers!F86,DATE(YEAR(TODAY()),MONTH(TODAY()),1))))*12+MONTH(EDATE(DATE(YEAR(TODAY()),MONTH(TODAY()),1),21))-MONTH(IF(ISNUMBER(Suppliers!F86),Suppliers!F86,DATE(YEAR(TODAY()),MONTH(TODAY()),1))),6)=0,1,0),IF(Suppliers!E86="Annual",IF(MOD((YEAR(EDATE(DATE(YEAR(TODAY()),MONTH(TODAY()),1),21))-YEAR(IF(ISNUMBER(Suppliers!F86),Suppliers!F86,DATE(YEAR(TODAY()),MONTH(TODAY()),1))))*12+MONTH(EDATE(DATE(YEAR(TODAY()),MONTH(TODAY()),1),21))-MONTH(IF(ISNUMBER(Suppliers!F86),Suppliers!F86,DATE(YEAR(TODAY()),MONTH(TODAY()),1))),12)=0,1,0),IF(Suppliers!E86="One-time",IF(21=0,1,0),1)))))),"")</f>
        <v/>
      </c>
      <c r="AB88" s="10" t="str">
        <f ca="1">IFERROR(IF(OR(22&gt;=$B$1,Suppliers!A86="",NOT(ISNUMBER(Suppliers!D86)),Suppliers!L86="Expired",Suppliers!L86="Terminate"),"",Suppliers!D86*-1*IF(Suppliers!E86="Monthly",IF(AND(ISNUMBER(Suppliers!G86),(YEAR(EDATE(DATE(YEAR(TODAY()),MONTH(TODAY()),1),22))*12+MONTH(EDATE(DATE(YEAR(TODAY()),MONTH(TODAY()),1),22)))&gt;(YEAR(Suppliers!G86)*12+MONTH(Suppliers!G86))),"",1),IF(Suppliers!E86="Quarterly",IF(MOD((YEAR(EDATE(DATE(YEAR(TODAY()),MONTH(TODAY()),1),22))-YEAR(IF(ISNUMBER(Suppliers!F86),Suppliers!F86,DATE(YEAR(TODAY()),MONTH(TODAY()),1))))*12+MONTH(EDATE(DATE(YEAR(TODAY()),MONTH(TODAY()),1),22))-MONTH(IF(ISNUMBER(Suppliers!F86),Suppliers!F86,DATE(YEAR(TODAY()),MONTH(TODAY()),1))),3)=0,1,0),IF(Suppliers!E86="Semi-annual",IF(MOD((YEAR(EDATE(DATE(YEAR(TODAY()),MONTH(TODAY()),1),22))-YEAR(IF(ISNUMBER(Suppliers!F86),Suppliers!F86,DATE(YEAR(TODAY()),MONTH(TODAY()),1))))*12+MONTH(EDATE(DATE(YEAR(TODAY()),MONTH(TODAY()),1),22))-MONTH(IF(ISNUMBER(Suppliers!F86),Suppliers!F86,DATE(YEAR(TODAY()),MONTH(TODAY()),1))),6)=0,1,0),IF(Suppliers!E86="Annual",IF(MOD((YEAR(EDATE(DATE(YEAR(TODAY()),MONTH(TODAY()),1),22))-YEAR(IF(ISNUMBER(Suppliers!F86),Suppliers!F86,DATE(YEAR(TODAY()),MONTH(TODAY()),1))))*12+MONTH(EDATE(DATE(YEAR(TODAY()),MONTH(TODAY()),1),22))-MONTH(IF(ISNUMBER(Suppliers!F86),Suppliers!F86,DATE(YEAR(TODAY()),MONTH(TODAY()),1))),12)=0,1,0),IF(Suppliers!E86="One-time",IF(22=0,1,0),1)))))),"")</f>
        <v/>
      </c>
      <c r="AC88" s="10" t="str">
        <f ca="1">IFERROR(IF(OR(23&gt;=$B$1,Suppliers!A86="",NOT(ISNUMBER(Suppliers!D86)),Suppliers!L86="Expired",Suppliers!L86="Terminate"),"",Suppliers!D86*-1*IF(Suppliers!E86="Monthly",IF(AND(ISNUMBER(Suppliers!G86),(YEAR(EDATE(DATE(YEAR(TODAY()),MONTH(TODAY()),1),23))*12+MONTH(EDATE(DATE(YEAR(TODAY()),MONTH(TODAY()),1),23)))&gt;(YEAR(Suppliers!G86)*12+MONTH(Suppliers!G86))),"",1),IF(Suppliers!E86="Quarterly",IF(MOD((YEAR(EDATE(DATE(YEAR(TODAY()),MONTH(TODAY()),1),23))-YEAR(IF(ISNUMBER(Suppliers!F86),Suppliers!F86,DATE(YEAR(TODAY()),MONTH(TODAY()),1))))*12+MONTH(EDATE(DATE(YEAR(TODAY()),MONTH(TODAY()),1),23))-MONTH(IF(ISNUMBER(Suppliers!F86),Suppliers!F86,DATE(YEAR(TODAY()),MONTH(TODAY()),1))),3)=0,1,0),IF(Suppliers!E86="Semi-annual",IF(MOD((YEAR(EDATE(DATE(YEAR(TODAY()),MONTH(TODAY()),1),23))-YEAR(IF(ISNUMBER(Suppliers!F86),Suppliers!F86,DATE(YEAR(TODAY()),MONTH(TODAY()),1))))*12+MONTH(EDATE(DATE(YEAR(TODAY()),MONTH(TODAY()),1),23))-MONTH(IF(ISNUMBER(Suppliers!F86),Suppliers!F86,DATE(YEAR(TODAY()),MONTH(TODAY()),1))),6)=0,1,0),IF(Suppliers!E86="Annual",IF(MOD((YEAR(EDATE(DATE(YEAR(TODAY()),MONTH(TODAY()),1),23))-YEAR(IF(ISNUMBER(Suppliers!F86),Suppliers!F86,DATE(YEAR(TODAY()),MONTH(TODAY()),1))))*12+MONTH(EDATE(DATE(YEAR(TODAY()),MONTH(TODAY()),1),23))-MONTH(IF(ISNUMBER(Suppliers!F86),Suppliers!F86,DATE(YEAR(TODAY()),MONTH(TODAY()),1))),12)=0,1,0),IF(Suppliers!E86="One-time",IF(23=0,1,0),1)))))),"")</f>
        <v/>
      </c>
    </row>
    <row r="89" spans="1:29" ht="15" customHeight="1" x14ac:dyDescent="0.35">
      <c r="A89" s="4" t="s">
        <v>81</v>
      </c>
      <c r="B89" s="4" t="str">
        <f>IF(Clients!A19="","",Clients!A19)</f>
        <v/>
      </c>
      <c r="C89" s="10" t="str">
        <f>IF(Clients!C19="","",Clients!C19)</f>
        <v/>
      </c>
      <c r="D89" s="10" t="str">
        <f>IF(Clients!D19="","",Clients!D19)</f>
        <v/>
      </c>
      <c r="E89" s="4" t="str">
        <f>IF(Clients!E19="","",Clients!E19)</f>
        <v/>
      </c>
      <c r="F89" s="10" t="str">
        <f ca="1">IFERROR(IF(OR(0&gt;=$B$1,Clients!A19="",NOT(ISNUMBER(Clients!D19)),Clients!L19="Expired",Clients!L19="Terminate"),"",Clients!D19*1*IF(Clients!E19="Monthly",IF(AND(ISNUMBER(Clients!G19),(YEAR(EDATE(DATE(YEAR(TODAY()),MONTH(TODAY()),1),0))*12+MONTH(EDATE(DATE(YEAR(TODAY()),MONTH(TODAY()),1),0)))&gt;(YEAR(Clients!G19)*12+MONTH(Clients!G19))),"",1),IF(Clients!E19="Quarterly",IF(MOD((YEAR(EDATE(DATE(YEAR(TODAY()),MONTH(TODAY()),1),0))-YEAR(IF(ISNUMBER(Clients!F19),Clients!F19,DATE(YEAR(TODAY()),MONTH(TODAY()),1))))*12+MONTH(EDATE(DATE(YEAR(TODAY()),MONTH(TODAY()),1),0))-MONTH(IF(ISNUMBER(Clients!F19),Clients!F19,DATE(YEAR(TODAY()),MONTH(TODAY()),1))),3)=0,1,0),IF(Clients!E19="Semi-annual",IF(MOD((YEAR(EDATE(DATE(YEAR(TODAY()),MONTH(TODAY()),1),0))-YEAR(IF(ISNUMBER(Clients!F19),Clients!F19,DATE(YEAR(TODAY()),MONTH(TODAY()),1))))*12+MONTH(EDATE(DATE(YEAR(TODAY()),MONTH(TODAY()),1),0))-MONTH(IF(ISNUMBER(Clients!F19),Clients!F19,DATE(YEAR(TODAY()),MONTH(TODAY()),1))),6)=0,1,0),IF(Clients!E19="Annual",IF(MOD((YEAR(EDATE(DATE(YEAR(TODAY()),MONTH(TODAY()),1),0))-YEAR(IF(ISNUMBER(Clients!F19),Clients!F19,DATE(YEAR(TODAY()),MONTH(TODAY()),1))))*12+MONTH(EDATE(DATE(YEAR(TODAY()),MONTH(TODAY()),1),0))-MONTH(IF(ISNUMBER(Clients!F19),Clients!F19,DATE(YEAR(TODAY()),MONTH(TODAY()),1))),12)=0,1,0),IF(Clients!E19="One-time",IF(0=0,1,0),1)))))),"")</f>
        <v/>
      </c>
      <c r="G89" s="10" t="str">
        <f ca="1">IFERROR(IF(OR(1&gt;=$B$1,Clients!A19="",NOT(ISNUMBER(Clients!D19)),Clients!L19="Expired",Clients!L19="Terminate"),"",Clients!D19*1*IF(Clients!E19="Monthly",IF(AND(ISNUMBER(Clients!G19),(YEAR(EDATE(DATE(YEAR(TODAY()),MONTH(TODAY()),1),1))*12+MONTH(EDATE(DATE(YEAR(TODAY()),MONTH(TODAY()),1),1)))&gt;(YEAR(Clients!G19)*12+MONTH(Clients!G19))),"",1),IF(Clients!E19="Quarterly",IF(MOD((YEAR(EDATE(DATE(YEAR(TODAY()),MONTH(TODAY()),1),1))-YEAR(IF(ISNUMBER(Clients!F19),Clients!F19,DATE(YEAR(TODAY()),MONTH(TODAY()),1))))*12+MONTH(EDATE(DATE(YEAR(TODAY()),MONTH(TODAY()),1),1))-MONTH(IF(ISNUMBER(Clients!F19),Clients!F19,DATE(YEAR(TODAY()),MONTH(TODAY()),1))),3)=0,1,0),IF(Clients!E19="Semi-annual",IF(MOD((YEAR(EDATE(DATE(YEAR(TODAY()),MONTH(TODAY()),1),1))-YEAR(IF(ISNUMBER(Clients!F19),Clients!F19,DATE(YEAR(TODAY()),MONTH(TODAY()),1))))*12+MONTH(EDATE(DATE(YEAR(TODAY()),MONTH(TODAY()),1),1))-MONTH(IF(ISNUMBER(Clients!F19),Clients!F19,DATE(YEAR(TODAY()),MONTH(TODAY()),1))),6)=0,1,0),IF(Clients!E19="Annual",IF(MOD((YEAR(EDATE(DATE(YEAR(TODAY()),MONTH(TODAY()),1),1))-YEAR(IF(ISNUMBER(Clients!F19),Clients!F19,DATE(YEAR(TODAY()),MONTH(TODAY()),1))))*12+MONTH(EDATE(DATE(YEAR(TODAY()),MONTH(TODAY()),1),1))-MONTH(IF(ISNUMBER(Clients!F19),Clients!F19,DATE(YEAR(TODAY()),MONTH(TODAY()),1))),12)=0,1,0),IF(Clients!E19="One-time",IF(1=0,1,0),1)))))),"")</f>
        <v/>
      </c>
      <c r="H89" s="10" t="str">
        <f ca="1">IFERROR(IF(OR(2&gt;=$B$1,Clients!A19="",NOT(ISNUMBER(Clients!D19)),Clients!L19="Expired",Clients!L19="Terminate"),"",Clients!D19*1*IF(Clients!E19="Monthly",IF(AND(ISNUMBER(Clients!G19),(YEAR(EDATE(DATE(YEAR(TODAY()),MONTH(TODAY()),1),2))*12+MONTH(EDATE(DATE(YEAR(TODAY()),MONTH(TODAY()),1),2)))&gt;(YEAR(Clients!G19)*12+MONTH(Clients!G19))),"",1),IF(Clients!E19="Quarterly",IF(MOD((YEAR(EDATE(DATE(YEAR(TODAY()),MONTH(TODAY()),1),2))-YEAR(IF(ISNUMBER(Clients!F19),Clients!F19,DATE(YEAR(TODAY()),MONTH(TODAY()),1))))*12+MONTH(EDATE(DATE(YEAR(TODAY()),MONTH(TODAY()),1),2))-MONTH(IF(ISNUMBER(Clients!F19),Clients!F19,DATE(YEAR(TODAY()),MONTH(TODAY()),1))),3)=0,1,0),IF(Clients!E19="Semi-annual",IF(MOD((YEAR(EDATE(DATE(YEAR(TODAY()),MONTH(TODAY()),1),2))-YEAR(IF(ISNUMBER(Clients!F19),Clients!F19,DATE(YEAR(TODAY()),MONTH(TODAY()),1))))*12+MONTH(EDATE(DATE(YEAR(TODAY()),MONTH(TODAY()),1),2))-MONTH(IF(ISNUMBER(Clients!F19),Clients!F19,DATE(YEAR(TODAY()),MONTH(TODAY()),1))),6)=0,1,0),IF(Clients!E19="Annual",IF(MOD((YEAR(EDATE(DATE(YEAR(TODAY()),MONTH(TODAY()),1),2))-YEAR(IF(ISNUMBER(Clients!F19),Clients!F19,DATE(YEAR(TODAY()),MONTH(TODAY()),1))))*12+MONTH(EDATE(DATE(YEAR(TODAY()),MONTH(TODAY()),1),2))-MONTH(IF(ISNUMBER(Clients!F19),Clients!F19,DATE(YEAR(TODAY()),MONTH(TODAY()),1))),12)=0,1,0),IF(Clients!E19="One-time",IF(2=0,1,0),1)))))),"")</f>
        <v/>
      </c>
      <c r="I89" s="10" t="str">
        <f ca="1">IFERROR(IF(OR(3&gt;=$B$1,Clients!A19="",NOT(ISNUMBER(Clients!D19)),Clients!L19="Expired",Clients!L19="Terminate"),"",Clients!D19*1*IF(Clients!E19="Monthly",IF(AND(ISNUMBER(Clients!G19),(YEAR(EDATE(DATE(YEAR(TODAY()),MONTH(TODAY()),1),3))*12+MONTH(EDATE(DATE(YEAR(TODAY()),MONTH(TODAY()),1),3)))&gt;(YEAR(Clients!G19)*12+MONTH(Clients!G19))),"",1),IF(Clients!E19="Quarterly",IF(MOD((YEAR(EDATE(DATE(YEAR(TODAY()),MONTH(TODAY()),1),3))-YEAR(IF(ISNUMBER(Clients!F19),Clients!F19,DATE(YEAR(TODAY()),MONTH(TODAY()),1))))*12+MONTH(EDATE(DATE(YEAR(TODAY()),MONTH(TODAY()),1),3))-MONTH(IF(ISNUMBER(Clients!F19),Clients!F19,DATE(YEAR(TODAY()),MONTH(TODAY()),1))),3)=0,1,0),IF(Clients!E19="Semi-annual",IF(MOD((YEAR(EDATE(DATE(YEAR(TODAY()),MONTH(TODAY()),1),3))-YEAR(IF(ISNUMBER(Clients!F19),Clients!F19,DATE(YEAR(TODAY()),MONTH(TODAY()),1))))*12+MONTH(EDATE(DATE(YEAR(TODAY()),MONTH(TODAY()),1),3))-MONTH(IF(ISNUMBER(Clients!F19),Clients!F19,DATE(YEAR(TODAY()),MONTH(TODAY()),1))),6)=0,1,0),IF(Clients!E19="Annual",IF(MOD((YEAR(EDATE(DATE(YEAR(TODAY()),MONTH(TODAY()),1),3))-YEAR(IF(ISNUMBER(Clients!F19),Clients!F19,DATE(YEAR(TODAY()),MONTH(TODAY()),1))))*12+MONTH(EDATE(DATE(YEAR(TODAY()),MONTH(TODAY()),1),3))-MONTH(IF(ISNUMBER(Clients!F19),Clients!F19,DATE(YEAR(TODAY()),MONTH(TODAY()),1))),12)=0,1,0),IF(Clients!E19="One-time",IF(3=0,1,0),1)))))),"")</f>
        <v/>
      </c>
      <c r="J89" s="10" t="str">
        <f ca="1">IFERROR(IF(OR(4&gt;=$B$1,Clients!A19="",NOT(ISNUMBER(Clients!D19)),Clients!L19="Expired",Clients!L19="Terminate"),"",Clients!D19*1*IF(Clients!E19="Monthly",IF(AND(ISNUMBER(Clients!G19),(YEAR(EDATE(DATE(YEAR(TODAY()),MONTH(TODAY()),1),4))*12+MONTH(EDATE(DATE(YEAR(TODAY()),MONTH(TODAY()),1),4)))&gt;(YEAR(Clients!G19)*12+MONTH(Clients!G19))),"",1),IF(Clients!E19="Quarterly",IF(MOD((YEAR(EDATE(DATE(YEAR(TODAY()),MONTH(TODAY()),1),4))-YEAR(IF(ISNUMBER(Clients!F19),Clients!F19,DATE(YEAR(TODAY()),MONTH(TODAY()),1))))*12+MONTH(EDATE(DATE(YEAR(TODAY()),MONTH(TODAY()),1),4))-MONTH(IF(ISNUMBER(Clients!F19),Clients!F19,DATE(YEAR(TODAY()),MONTH(TODAY()),1))),3)=0,1,0),IF(Clients!E19="Semi-annual",IF(MOD((YEAR(EDATE(DATE(YEAR(TODAY()),MONTH(TODAY()),1),4))-YEAR(IF(ISNUMBER(Clients!F19),Clients!F19,DATE(YEAR(TODAY()),MONTH(TODAY()),1))))*12+MONTH(EDATE(DATE(YEAR(TODAY()),MONTH(TODAY()),1),4))-MONTH(IF(ISNUMBER(Clients!F19),Clients!F19,DATE(YEAR(TODAY()),MONTH(TODAY()),1))),6)=0,1,0),IF(Clients!E19="Annual",IF(MOD((YEAR(EDATE(DATE(YEAR(TODAY()),MONTH(TODAY()),1),4))-YEAR(IF(ISNUMBER(Clients!F19),Clients!F19,DATE(YEAR(TODAY()),MONTH(TODAY()),1))))*12+MONTH(EDATE(DATE(YEAR(TODAY()),MONTH(TODAY()),1),4))-MONTH(IF(ISNUMBER(Clients!F19),Clients!F19,DATE(YEAR(TODAY()),MONTH(TODAY()),1))),12)=0,1,0),IF(Clients!E19="One-time",IF(4=0,1,0),1)))))),"")</f>
        <v/>
      </c>
      <c r="K89" s="10" t="str">
        <f ca="1">IFERROR(IF(OR(5&gt;=$B$1,Clients!A19="",NOT(ISNUMBER(Clients!D19)),Clients!L19="Expired",Clients!L19="Terminate"),"",Clients!D19*1*IF(Clients!E19="Monthly",IF(AND(ISNUMBER(Clients!G19),(YEAR(EDATE(DATE(YEAR(TODAY()),MONTH(TODAY()),1),5))*12+MONTH(EDATE(DATE(YEAR(TODAY()),MONTH(TODAY()),1),5)))&gt;(YEAR(Clients!G19)*12+MONTH(Clients!G19))),"",1),IF(Clients!E19="Quarterly",IF(MOD((YEAR(EDATE(DATE(YEAR(TODAY()),MONTH(TODAY()),1),5))-YEAR(IF(ISNUMBER(Clients!F19),Clients!F19,DATE(YEAR(TODAY()),MONTH(TODAY()),1))))*12+MONTH(EDATE(DATE(YEAR(TODAY()),MONTH(TODAY()),1),5))-MONTH(IF(ISNUMBER(Clients!F19),Clients!F19,DATE(YEAR(TODAY()),MONTH(TODAY()),1))),3)=0,1,0),IF(Clients!E19="Semi-annual",IF(MOD((YEAR(EDATE(DATE(YEAR(TODAY()),MONTH(TODAY()),1),5))-YEAR(IF(ISNUMBER(Clients!F19),Clients!F19,DATE(YEAR(TODAY()),MONTH(TODAY()),1))))*12+MONTH(EDATE(DATE(YEAR(TODAY()),MONTH(TODAY()),1),5))-MONTH(IF(ISNUMBER(Clients!F19),Clients!F19,DATE(YEAR(TODAY()),MONTH(TODAY()),1))),6)=0,1,0),IF(Clients!E19="Annual",IF(MOD((YEAR(EDATE(DATE(YEAR(TODAY()),MONTH(TODAY()),1),5))-YEAR(IF(ISNUMBER(Clients!F19),Clients!F19,DATE(YEAR(TODAY()),MONTH(TODAY()),1))))*12+MONTH(EDATE(DATE(YEAR(TODAY()),MONTH(TODAY()),1),5))-MONTH(IF(ISNUMBER(Clients!F19),Clients!F19,DATE(YEAR(TODAY()),MONTH(TODAY()),1))),12)=0,1,0),IF(Clients!E19="One-time",IF(5=0,1,0),1)))))),"")</f>
        <v/>
      </c>
      <c r="L89" s="10" t="str">
        <f ca="1">IFERROR(IF(OR(6&gt;=$B$1,Clients!A19="",NOT(ISNUMBER(Clients!D19)),Clients!L19="Expired",Clients!L19="Terminate"),"",Clients!D19*1*IF(Clients!E19="Monthly",IF(AND(ISNUMBER(Clients!G19),(YEAR(EDATE(DATE(YEAR(TODAY()),MONTH(TODAY()),1),6))*12+MONTH(EDATE(DATE(YEAR(TODAY()),MONTH(TODAY()),1),6)))&gt;(YEAR(Clients!G19)*12+MONTH(Clients!G19))),"",1),IF(Clients!E19="Quarterly",IF(MOD((YEAR(EDATE(DATE(YEAR(TODAY()),MONTH(TODAY()),1),6))-YEAR(IF(ISNUMBER(Clients!F19),Clients!F19,DATE(YEAR(TODAY()),MONTH(TODAY()),1))))*12+MONTH(EDATE(DATE(YEAR(TODAY()),MONTH(TODAY()),1),6))-MONTH(IF(ISNUMBER(Clients!F19),Clients!F19,DATE(YEAR(TODAY()),MONTH(TODAY()),1))),3)=0,1,0),IF(Clients!E19="Semi-annual",IF(MOD((YEAR(EDATE(DATE(YEAR(TODAY()),MONTH(TODAY()),1),6))-YEAR(IF(ISNUMBER(Clients!F19),Clients!F19,DATE(YEAR(TODAY()),MONTH(TODAY()),1))))*12+MONTH(EDATE(DATE(YEAR(TODAY()),MONTH(TODAY()),1),6))-MONTH(IF(ISNUMBER(Clients!F19),Clients!F19,DATE(YEAR(TODAY()),MONTH(TODAY()),1))),6)=0,1,0),IF(Clients!E19="Annual",IF(MOD((YEAR(EDATE(DATE(YEAR(TODAY()),MONTH(TODAY()),1),6))-YEAR(IF(ISNUMBER(Clients!F19),Clients!F19,DATE(YEAR(TODAY()),MONTH(TODAY()),1))))*12+MONTH(EDATE(DATE(YEAR(TODAY()),MONTH(TODAY()),1),6))-MONTH(IF(ISNUMBER(Clients!F19),Clients!F19,DATE(YEAR(TODAY()),MONTH(TODAY()),1))),12)=0,1,0),IF(Clients!E19="One-time",IF(6=0,1,0),1)))))),"")</f>
        <v/>
      </c>
      <c r="M89" s="10" t="str">
        <f ca="1">IFERROR(IF(OR(7&gt;=$B$1,Clients!A19="",NOT(ISNUMBER(Clients!D19)),Clients!L19="Expired",Clients!L19="Terminate"),"",Clients!D19*1*IF(Clients!E19="Monthly",IF(AND(ISNUMBER(Clients!G19),(YEAR(EDATE(DATE(YEAR(TODAY()),MONTH(TODAY()),1),7))*12+MONTH(EDATE(DATE(YEAR(TODAY()),MONTH(TODAY()),1),7)))&gt;(YEAR(Clients!G19)*12+MONTH(Clients!G19))),"",1),IF(Clients!E19="Quarterly",IF(MOD((YEAR(EDATE(DATE(YEAR(TODAY()),MONTH(TODAY()),1),7))-YEAR(IF(ISNUMBER(Clients!F19),Clients!F19,DATE(YEAR(TODAY()),MONTH(TODAY()),1))))*12+MONTH(EDATE(DATE(YEAR(TODAY()),MONTH(TODAY()),1),7))-MONTH(IF(ISNUMBER(Clients!F19),Clients!F19,DATE(YEAR(TODAY()),MONTH(TODAY()),1))),3)=0,1,0),IF(Clients!E19="Semi-annual",IF(MOD((YEAR(EDATE(DATE(YEAR(TODAY()),MONTH(TODAY()),1),7))-YEAR(IF(ISNUMBER(Clients!F19),Clients!F19,DATE(YEAR(TODAY()),MONTH(TODAY()),1))))*12+MONTH(EDATE(DATE(YEAR(TODAY()),MONTH(TODAY()),1),7))-MONTH(IF(ISNUMBER(Clients!F19),Clients!F19,DATE(YEAR(TODAY()),MONTH(TODAY()),1))),6)=0,1,0),IF(Clients!E19="Annual",IF(MOD((YEAR(EDATE(DATE(YEAR(TODAY()),MONTH(TODAY()),1),7))-YEAR(IF(ISNUMBER(Clients!F19),Clients!F19,DATE(YEAR(TODAY()),MONTH(TODAY()),1))))*12+MONTH(EDATE(DATE(YEAR(TODAY()),MONTH(TODAY()),1),7))-MONTH(IF(ISNUMBER(Clients!F19),Clients!F19,DATE(YEAR(TODAY()),MONTH(TODAY()),1))),12)=0,1,0),IF(Clients!E19="One-time",IF(7=0,1,0),1)))))),"")</f>
        <v/>
      </c>
      <c r="N89" s="10" t="str">
        <f ca="1">IFERROR(IF(OR(8&gt;=$B$1,Clients!A19="",NOT(ISNUMBER(Clients!D19)),Clients!L19="Expired",Clients!L19="Terminate"),"",Clients!D19*1*IF(Clients!E19="Monthly",IF(AND(ISNUMBER(Clients!G19),(YEAR(EDATE(DATE(YEAR(TODAY()),MONTH(TODAY()),1),8))*12+MONTH(EDATE(DATE(YEAR(TODAY()),MONTH(TODAY()),1),8)))&gt;(YEAR(Clients!G19)*12+MONTH(Clients!G19))),"",1),IF(Clients!E19="Quarterly",IF(MOD((YEAR(EDATE(DATE(YEAR(TODAY()),MONTH(TODAY()),1),8))-YEAR(IF(ISNUMBER(Clients!F19),Clients!F19,DATE(YEAR(TODAY()),MONTH(TODAY()),1))))*12+MONTH(EDATE(DATE(YEAR(TODAY()),MONTH(TODAY()),1),8))-MONTH(IF(ISNUMBER(Clients!F19),Clients!F19,DATE(YEAR(TODAY()),MONTH(TODAY()),1))),3)=0,1,0),IF(Clients!E19="Semi-annual",IF(MOD((YEAR(EDATE(DATE(YEAR(TODAY()),MONTH(TODAY()),1),8))-YEAR(IF(ISNUMBER(Clients!F19),Clients!F19,DATE(YEAR(TODAY()),MONTH(TODAY()),1))))*12+MONTH(EDATE(DATE(YEAR(TODAY()),MONTH(TODAY()),1),8))-MONTH(IF(ISNUMBER(Clients!F19),Clients!F19,DATE(YEAR(TODAY()),MONTH(TODAY()),1))),6)=0,1,0),IF(Clients!E19="Annual",IF(MOD((YEAR(EDATE(DATE(YEAR(TODAY()),MONTH(TODAY()),1),8))-YEAR(IF(ISNUMBER(Clients!F19),Clients!F19,DATE(YEAR(TODAY()),MONTH(TODAY()),1))))*12+MONTH(EDATE(DATE(YEAR(TODAY()),MONTH(TODAY()),1),8))-MONTH(IF(ISNUMBER(Clients!F19),Clients!F19,DATE(YEAR(TODAY()),MONTH(TODAY()),1))),12)=0,1,0),IF(Clients!E19="One-time",IF(8=0,1,0),1)))))),"")</f>
        <v/>
      </c>
      <c r="O89" s="10" t="str">
        <f ca="1">IFERROR(IF(OR(9&gt;=$B$1,Clients!A19="",NOT(ISNUMBER(Clients!D19)),Clients!L19="Expired",Clients!L19="Terminate"),"",Clients!D19*1*IF(Clients!E19="Monthly",IF(AND(ISNUMBER(Clients!G19),(YEAR(EDATE(DATE(YEAR(TODAY()),MONTH(TODAY()),1),9))*12+MONTH(EDATE(DATE(YEAR(TODAY()),MONTH(TODAY()),1),9)))&gt;(YEAR(Clients!G19)*12+MONTH(Clients!G19))),"",1),IF(Clients!E19="Quarterly",IF(MOD((YEAR(EDATE(DATE(YEAR(TODAY()),MONTH(TODAY()),1),9))-YEAR(IF(ISNUMBER(Clients!F19),Clients!F19,DATE(YEAR(TODAY()),MONTH(TODAY()),1))))*12+MONTH(EDATE(DATE(YEAR(TODAY()),MONTH(TODAY()),1),9))-MONTH(IF(ISNUMBER(Clients!F19),Clients!F19,DATE(YEAR(TODAY()),MONTH(TODAY()),1))),3)=0,1,0),IF(Clients!E19="Semi-annual",IF(MOD((YEAR(EDATE(DATE(YEAR(TODAY()),MONTH(TODAY()),1),9))-YEAR(IF(ISNUMBER(Clients!F19),Clients!F19,DATE(YEAR(TODAY()),MONTH(TODAY()),1))))*12+MONTH(EDATE(DATE(YEAR(TODAY()),MONTH(TODAY()),1),9))-MONTH(IF(ISNUMBER(Clients!F19),Clients!F19,DATE(YEAR(TODAY()),MONTH(TODAY()),1))),6)=0,1,0),IF(Clients!E19="Annual",IF(MOD((YEAR(EDATE(DATE(YEAR(TODAY()),MONTH(TODAY()),1),9))-YEAR(IF(ISNUMBER(Clients!F19),Clients!F19,DATE(YEAR(TODAY()),MONTH(TODAY()),1))))*12+MONTH(EDATE(DATE(YEAR(TODAY()),MONTH(TODAY()),1),9))-MONTH(IF(ISNUMBER(Clients!F19),Clients!F19,DATE(YEAR(TODAY()),MONTH(TODAY()),1))),12)=0,1,0),IF(Clients!E19="One-time",IF(9=0,1,0),1)))))),"")</f>
        <v/>
      </c>
      <c r="P89" s="10" t="str">
        <f ca="1">IFERROR(IF(OR(10&gt;=$B$1,Clients!A19="",NOT(ISNUMBER(Clients!D19)),Clients!L19="Expired",Clients!L19="Terminate"),"",Clients!D19*1*IF(Clients!E19="Monthly",IF(AND(ISNUMBER(Clients!G19),(YEAR(EDATE(DATE(YEAR(TODAY()),MONTH(TODAY()),1),10))*12+MONTH(EDATE(DATE(YEAR(TODAY()),MONTH(TODAY()),1),10)))&gt;(YEAR(Clients!G19)*12+MONTH(Clients!G19))),"",1),IF(Clients!E19="Quarterly",IF(MOD((YEAR(EDATE(DATE(YEAR(TODAY()),MONTH(TODAY()),1),10))-YEAR(IF(ISNUMBER(Clients!F19),Clients!F19,DATE(YEAR(TODAY()),MONTH(TODAY()),1))))*12+MONTH(EDATE(DATE(YEAR(TODAY()),MONTH(TODAY()),1),10))-MONTH(IF(ISNUMBER(Clients!F19),Clients!F19,DATE(YEAR(TODAY()),MONTH(TODAY()),1))),3)=0,1,0),IF(Clients!E19="Semi-annual",IF(MOD((YEAR(EDATE(DATE(YEAR(TODAY()),MONTH(TODAY()),1),10))-YEAR(IF(ISNUMBER(Clients!F19),Clients!F19,DATE(YEAR(TODAY()),MONTH(TODAY()),1))))*12+MONTH(EDATE(DATE(YEAR(TODAY()),MONTH(TODAY()),1),10))-MONTH(IF(ISNUMBER(Clients!F19),Clients!F19,DATE(YEAR(TODAY()),MONTH(TODAY()),1))),6)=0,1,0),IF(Clients!E19="Annual",IF(MOD((YEAR(EDATE(DATE(YEAR(TODAY()),MONTH(TODAY()),1),10))-YEAR(IF(ISNUMBER(Clients!F19),Clients!F19,DATE(YEAR(TODAY()),MONTH(TODAY()),1))))*12+MONTH(EDATE(DATE(YEAR(TODAY()),MONTH(TODAY()),1),10))-MONTH(IF(ISNUMBER(Clients!F19),Clients!F19,DATE(YEAR(TODAY()),MONTH(TODAY()),1))),12)=0,1,0),IF(Clients!E19="One-time",IF(10=0,1,0),1)))))),"")</f>
        <v/>
      </c>
      <c r="Q89" s="10" t="str">
        <f ca="1">IFERROR(IF(OR(11&gt;=$B$1,Clients!A19="",NOT(ISNUMBER(Clients!D19)),Clients!L19="Expired",Clients!L19="Terminate"),"",Clients!D19*1*IF(Clients!E19="Monthly",IF(AND(ISNUMBER(Clients!G19),(YEAR(EDATE(DATE(YEAR(TODAY()),MONTH(TODAY()),1),11))*12+MONTH(EDATE(DATE(YEAR(TODAY()),MONTH(TODAY()),1),11)))&gt;(YEAR(Clients!G19)*12+MONTH(Clients!G19))),"",1),IF(Clients!E19="Quarterly",IF(MOD((YEAR(EDATE(DATE(YEAR(TODAY()),MONTH(TODAY()),1),11))-YEAR(IF(ISNUMBER(Clients!F19),Clients!F19,DATE(YEAR(TODAY()),MONTH(TODAY()),1))))*12+MONTH(EDATE(DATE(YEAR(TODAY()),MONTH(TODAY()),1),11))-MONTH(IF(ISNUMBER(Clients!F19),Clients!F19,DATE(YEAR(TODAY()),MONTH(TODAY()),1))),3)=0,1,0),IF(Clients!E19="Semi-annual",IF(MOD((YEAR(EDATE(DATE(YEAR(TODAY()),MONTH(TODAY()),1),11))-YEAR(IF(ISNUMBER(Clients!F19),Clients!F19,DATE(YEAR(TODAY()),MONTH(TODAY()),1))))*12+MONTH(EDATE(DATE(YEAR(TODAY()),MONTH(TODAY()),1),11))-MONTH(IF(ISNUMBER(Clients!F19),Clients!F19,DATE(YEAR(TODAY()),MONTH(TODAY()),1))),6)=0,1,0),IF(Clients!E19="Annual",IF(MOD((YEAR(EDATE(DATE(YEAR(TODAY()),MONTH(TODAY()),1),11))-YEAR(IF(ISNUMBER(Clients!F19),Clients!F19,DATE(YEAR(TODAY()),MONTH(TODAY()),1))))*12+MONTH(EDATE(DATE(YEAR(TODAY()),MONTH(TODAY()),1),11))-MONTH(IF(ISNUMBER(Clients!F19),Clients!F19,DATE(YEAR(TODAY()),MONTH(TODAY()),1))),12)=0,1,0),IF(Clients!E19="One-time",IF(11=0,1,0),1)))))),"")</f>
        <v/>
      </c>
      <c r="R89" s="10" t="str">
        <f ca="1">IFERROR(IF(OR(12&gt;=$B$1,Clients!A19="",NOT(ISNUMBER(Clients!D19))),"",IF(OR(Clients!L19="Expired",Clients!L19="Terminate"),"",Clients!D19*1*IF(Clients!E19="Monthly",1,IF(Clients!E19="Quarterly",IF(MOD(DATEDIF(IF(ISNUMBER(Clients!F19),Clients!F19,DATE(YEAR(TODAY()),MONTH(TODAY()),1)),EDATE(DATE(YEAR(TODAY()),MONTH(TODAY()),1),12),"M"),3)=0,1,0),IF(Clients!E19="Semi-annual",IF(MOD(DATEDIF(IF(ISNUMBER(Clients!F19),Clients!F19,DATE(YEAR(TODAY()),MONTH(TODAY()),1)),EDATE(DATE(YEAR(TODAY()),MONTH(TODAY()),1),12),"M"),6)=0,1,0),IF(Clients!E19="Annual",IF(MOD(DATEDIF(IF(ISNUMBER(Clients!F19),Clients!F19,DATE(YEAR(TODAY()),MONTH(TODAY()),1)),EDATE(DATE(YEAR(TODAY()),MONTH(TODAY()),1),12),"M"),12)=0,1,0),IF(Clients!E19="One-time",IF(12=0,1,0),1))))))),"")</f>
        <v/>
      </c>
      <c r="S89" s="10" t="str">
        <f ca="1">IFERROR(IF(OR(13&gt;=$B$1,Clients!A19="",NOT(ISNUMBER(Clients!D19))),"",IF(OR(Clients!L19="Expired",Clients!L19="Terminate"),"",Clients!D19*1*IF(Clients!E19="Monthly",1,IF(Clients!E19="Quarterly",IF(MOD(DATEDIF(IF(ISNUMBER(Clients!F19),Clients!F19,DATE(YEAR(TODAY()),MONTH(TODAY()),1)),EDATE(DATE(YEAR(TODAY()),MONTH(TODAY()),1),13),"M"),3)=0,1,0),IF(Clients!E19="Semi-annual",IF(MOD(DATEDIF(IF(ISNUMBER(Clients!F19),Clients!F19,DATE(YEAR(TODAY()),MONTH(TODAY()),1)),EDATE(DATE(YEAR(TODAY()),MONTH(TODAY()),1),13),"M"),6)=0,1,0),IF(Clients!E19="Annual",IF(MOD(DATEDIF(IF(ISNUMBER(Clients!F19),Clients!F19,DATE(YEAR(TODAY()),MONTH(TODAY()),1)),EDATE(DATE(YEAR(TODAY()),MONTH(TODAY()),1),13),"M"),12)=0,1,0),IF(Clients!E19="One-time",IF(13=0,1,0),1))))))),"")</f>
        <v/>
      </c>
      <c r="T89" s="10" t="str">
        <f ca="1">IFERROR(IF(OR(14&gt;=$B$1,Clients!A19="",NOT(ISNUMBER(Clients!D19))),"",IF(OR(Clients!L19="Expired",Clients!L19="Terminate"),"",Clients!D19*1*IF(Clients!E19="Monthly",1,IF(Clients!E19="Quarterly",IF(MOD(DATEDIF(IF(ISNUMBER(Clients!F19),Clients!F19,DATE(YEAR(TODAY()),MONTH(TODAY()),1)),EDATE(DATE(YEAR(TODAY()),MONTH(TODAY()),1),14),"M"),3)=0,1,0),IF(Clients!E19="Semi-annual",IF(MOD(DATEDIF(IF(ISNUMBER(Clients!F19),Clients!F19,DATE(YEAR(TODAY()),MONTH(TODAY()),1)),EDATE(DATE(YEAR(TODAY()),MONTH(TODAY()),1),14),"M"),6)=0,1,0),IF(Clients!E19="Annual",IF(MOD(DATEDIF(IF(ISNUMBER(Clients!F19),Clients!F19,DATE(YEAR(TODAY()),MONTH(TODAY()),1)),EDATE(DATE(YEAR(TODAY()),MONTH(TODAY()),1),14),"M"),12)=0,1,0),IF(Clients!E19="One-time",IF(14=0,1,0),1))))))),"")</f>
        <v/>
      </c>
      <c r="U89" s="10" t="str">
        <f ca="1">IFERROR(IF(OR(15&gt;=$B$1,Clients!A19="",NOT(ISNUMBER(Clients!D19))),"",IF(OR(Clients!L19="Expired",Clients!L19="Terminate"),"",Clients!D19*1*IF(Clients!E19="Monthly",1,IF(Clients!E19="Quarterly",IF(MOD(DATEDIF(IF(ISNUMBER(Clients!F19),Clients!F19,DATE(YEAR(TODAY()),MONTH(TODAY()),1)),EDATE(DATE(YEAR(TODAY()),MONTH(TODAY()),1),15),"M"),3)=0,1,0),IF(Clients!E19="Semi-annual",IF(MOD(DATEDIF(IF(ISNUMBER(Clients!F19),Clients!F19,DATE(YEAR(TODAY()),MONTH(TODAY()),1)),EDATE(DATE(YEAR(TODAY()),MONTH(TODAY()),1),15),"M"),6)=0,1,0),IF(Clients!E19="Annual",IF(MOD(DATEDIF(IF(ISNUMBER(Clients!F19),Clients!F19,DATE(YEAR(TODAY()),MONTH(TODAY()),1)),EDATE(DATE(YEAR(TODAY()),MONTH(TODAY()),1),15),"M"),12)=0,1,0),IF(Clients!E19="One-time",IF(15=0,1,0),1))))))),"")</f>
        <v/>
      </c>
      <c r="V89" s="10" t="str">
        <f ca="1">IFERROR(IF(OR(16&gt;=$B$1,Clients!A19="",NOT(ISNUMBER(Clients!D19))),"",IF(OR(Clients!L19="Expired",Clients!L19="Terminate"),"",Clients!D19*1*IF(Clients!E19="Monthly",1,IF(Clients!E19="Quarterly",IF(MOD(DATEDIF(IF(ISNUMBER(Clients!F19),Clients!F19,DATE(YEAR(TODAY()),MONTH(TODAY()),1)),EDATE(DATE(YEAR(TODAY()),MONTH(TODAY()),1),16),"M"),3)=0,1,0),IF(Clients!E19="Semi-annual",IF(MOD(DATEDIF(IF(ISNUMBER(Clients!F19),Clients!F19,DATE(YEAR(TODAY()),MONTH(TODAY()),1)),EDATE(DATE(YEAR(TODAY()),MONTH(TODAY()),1),16),"M"),6)=0,1,0),IF(Clients!E19="Annual",IF(MOD(DATEDIF(IF(ISNUMBER(Clients!F19),Clients!F19,DATE(YEAR(TODAY()),MONTH(TODAY()),1)),EDATE(DATE(YEAR(TODAY()),MONTH(TODAY()),1),16),"M"),12)=0,1,0),IF(Clients!E19="One-time",IF(16=0,1,0),1))))))),"")</f>
        <v/>
      </c>
      <c r="W89" s="10" t="str">
        <f ca="1">IFERROR(IF(OR(17&gt;=$B$1,Clients!A19="",NOT(ISNUMBER(Clients!D19))),"",IF(OR(Clients!L19="Expired",Clients!L19="Terminate"),"",Clients!D19*1*IF(Clients!E19="Monthly",1,IF(Clients!E19="Quarterly",IF(MOD(DATEDIF(IF(ISNUMBER(Clients!F19),Clients!F19,DATE(YEAR(TODAY()),MONTH(TODAY()),1)),EDATE(DATE(YEAR(TODAY()),MONTH(TODAY()),1),17),"M"),3)=0,1,0),IF(Clients!E19="Semi-annual",IF(MOD(DATEDIF(IF(ISNUMBER(Clients!F19),Clients!F19,DATE(YEAR(TODAY()),MONTH(TODAY()),1)),EDATE(DATE(YEAR(TODAY()),MONTH(TODAY()),1),17),"M"),6)=0,1,0),IF(Clients!E19="Annual",IF(MOD(DATEDIF(IF(ISNUMBER(Clients!F19),Clients!F19,DATE(YEAR(TODAY()),MONTH(TODAY()),1)),EDATE(DATE(YEAR(TODAY()),MONTH(TODAY()),1),17),"M"),12)=0,1,0),IF(Clients!E19="One-time",IF(17=0,1,0),1))))))),"")</f>
        <v/>
      </c>
      <c r="X89" s="10" t="str">
        <f ca="1">IFERROR(IF(OR(18&gt;=$B$1,Clients!A19="",NOT(ISNUMBER(Clients!D19))),"",IF(OR(Clients!L19="Expired",Clients!L19="Terminate"),"",Clients!D19*1*IF(Clients!E19="Monthly",1,IF(Clients!E19="Quarterly",IF(MOD(DATEDIF(IF(ISNUMBER(Clients!F19),Clients!F19,DATE(YEAR(TODAY()),MONTH(TODAY()),1)),EDATE(DATE(YEAR(TODAY()),MONTH(TODAY()),1),18),"M"),3)=0,1,0),IF(Clients!E19="Semi-annual",IF(MOD(DATEDIF(IF(ISNUMBER(Clients!F19),Clients!F19,DATE(YEAR(TODAY()),MONTH(TODAY()),1)),EDATE(DATE(YEAR(TODAY()),MONTH(TODAY()),1),18),"M"),6)=0,1,0),IF(Clients!E19="Annual",IF(MOD(DATEDIF(IF(ISNUMBER(Clients!F19),Clients!F19,DATE(YEAR(TODAY()),MONTH(TODAY()),1)),EDATE(DATE(YEAR(TODAY()),MONTH(TODAY()),1),18),"M"),12)=0,1,0),IF(Clients!E19="One-time",IF(18=0,1,0),1))))))),"")</f>
        <v/>
      </c>
      <c r="Y89" s="10" t="str">
        <f ca="1">IFERROR(IF(OR(19&gt;=$B$1,Clients!A19="",NOT(ISNUMBER(Clients!D19))),"",IF(OR(Clients!L19="Expired",Clients!L19="Terminate"),"",Clients!D19*1*IF(Clients!E19="Monthly",1,IF(Clients!E19="Quarterly",IF(MOD(DATEDIF(IF(ISNUMBER(Clients!F19),Clients!F19,DATE(YEAR(TODAY()),MONTH(TODAY()),1)),EDATE(DATE(YEAR(TODAY()),MONTH(TODAY()),1),19),"M"),3)=0,1,0),IF(Clients!E19="Semi-annual",IF(MOD(DATEDIF(IF(ISNUMBER(Clients!F19),Clients!F19,DATE(YEAR(TODAY()),MONTH(TODAY()),1)),EDATE(DATE(YEAR(TODAY()),MONTH(TODAY()),1),19),"M"),6)=0,1,0),IF(Clients!E19="Annual",IF(MOD(DATEDIF(IF(ISNUMBER(Clients!F19),Clients!F19,DATE(YEAR(TODAY()),MONTH(TODAY()),1)),EDATE(DATE(YEAR(TODAY()),MONTH(TODAY()),1),19),"M"),12)=0,1,0),IF(Clients!E19="One-time",IF(19=0,1,0),1))))))),"")</f>
        <v/>
      </c>
      <c r="Z89" s="10" t="str">
        <f ca="1">IFERROR(IF(OR(20&gt;=$B$1,Clients!A19="",NOT(ISNUMBER(Clients!D19))),"",IF(OR(Clients!L19="Expired",Clients!L19="Terminate"),"",Clients!D19*1*IF(Clients!E19="Monthly",1,IF(Clients!E19="Quarterly",IF(MOD(DATEDIF(IF(ISNUMBER(Clients!F19),Clients!F19,DATE(YEAR(TODAY()),MONTH(TODAY()),1)),EDATE(DATE(YEAR(TODAY()),MONTH(TODAY()),1),20),"M"),3)=0,1,0),IF(Clients!E19="Semi-annual",IF(MOD(DATEDIF(IF(ISNUMBER(Clients!F19),Clients!F19,DATE(YEAR(TODAY()),MONTH(TODAY()),1)),EDATE(DATE(YEAR(TODAY()),MONTH(TODAY()),1),20),"M"),6)=0,1,0),IF(Clients!E19="Annual",IF(MOD(DATEDIF(IF(ISNUMBER(Clients!F19),Clients!F19,DATE(YEAR(TODAY()),MONTH(TODAY()),1)),EDATE(DATE(YEAR(TODAY()),MONTH(TODAY()),1),20),"M"),12)=0,1,0),IF(Clients!E19="One-time",IF(20=0,1,0),1))))))),"")</f>
        <v/>
      </c>
      <c r="AA89" s="10" t="str">
        <f ca="1">IFERROR(IF(OR(21&gt;=$B$1,Clients!A19="",NOT(ISNUMBER(Clients!D19))),"",IF(OR(Clients!L19="Expired",Clients!L19="Terminate"),"",Clients!D19*1*IF(Clients!E19="Monthly",1,IF(Clients!E19="Quarterly",IF(MOD(DATEDIF(IF(ISNUMBER(Clients!F19),Clients!F19,DATE(YEAR(TODAY()),MONTH(TODAY()),1)),EDATE(DATE(YEAR(TODAY()),MONTH(TODAY()),1),21),"M"),3)=0,1,0),IF(Clients!E19="Semi-annual",IF(MOD(DATEDIF(IF(ISNUMBER(Clients!F19),Clients!F19,DATE(YEAR(TODAY()),MONTH(TODAY()),1)),EDATE(DATE(YEAR(TODAY()),MONTH(TODAY()),1),21),"M"),6)=0,1,0),IF(Clients!E19="Annual",IF(MOD(DATEDIF(IF(ISNUMBER(Clients!F19),Clients!F19,DATE(YEAR(TODAY()),MONTH(TODAY()),1)),EDATE(DATE(YEAR(TODAY()),MONTH(TODAY()),1),21),"M"),12)=0,1,0),IF(Clients!E19="One-time",IF(21=0,1,0),1))))))),"")</f>
        <v/>
      </c>
      <c r="AB89" s="10" t="str">
        <f ca="1">IFERROR(IF(OR(22&gt;=$B$1,Clients!A19="",NOT(ISNUMBER(Clients!D19))),"",IF(OR(Clients!L19="Expired",Clients!L19="Terminate"),"",Clients!D19*1*IF(Clients!E19="Monthly",1,IF(Clients!E19="Quarterly",IF(MOD(DATEDIF(IF(ISNUMBER(Clients!F19),Clients!F19,DATE(YEAR(TODAY()),MONTH(TODAY()),1)),EDATE(DATE(YEAR(TODAY()),MONTH(TODAY()),1),22),"M"),3)=0,1,0),IF(Clients!E19="Semi-annual",IF(MOD(DATEDIF(IF(ISNUMBER(Clients!F19),Clients!F19,DATE(YEAR(TODAY()),MONTH(TODAY()),1)),EDATE(DATE(YEAR(TODAY()),MONTH(TODAY()),1),22),"M"),6)=0,1,0),IF(Clients!E19="Annual",IF(MOD(DATEDIF(IF(ISNUMBER(Clients!F19),Clients!F19,DATE(YEAR(TODAY()),MONTH(TODAY()),1)),EDATE(DATE(YEAR(TODAY()),MONTH(TODAY()),1),22),"M"),12)=0,1,0),IF(Clients!E19="One-time",IF(22=0,1,0),1))))))),"")</f>
        <v/>
      </c>
      <c r="AC89" s="10" t="str">
        <f ca="1">IFERROR(IF(OR(23&gt;=$B$1,Clients!A19="",NOT(ISNUMBER(Clients!D19))),"",IF(OR(Clients!L19="Expired",Clients!L19="Terminate"),"",Clients!D19*1*IF(Clients!E19="Monthly",1,IF(Clients!E19="Quarterly",IF(MOD(DATEDIF(IF(ISNUMBER(Clients!F19),Clients!F19,DATE(YEAR(TODAY()),MONTH(TODAY()),1)),EDATE(DATE(YEAR(TODAY()),MONTH(TODAY()),1),23),"M"),3)=0,1,0),IF(Clients!E19="Semi-annual",IF(MOD(DATEDIF(IF(ISNUMBER(Clients!F19),Clients!F19,DATE(YEAR(TODAY()),MONTH(TODAY()),1)),EDATE(DATE(YEAR(TODAY()),MONTH(TODAY()),1),23),"M"),6)=0,1,0),IF(Clients!E19="Annual",IF(MOD(DATEDIF(IF(ISNUMBER(Clients!F19),Clients!F19,DATE(YEAR(TODAY()),MONTH(TODAY()),1)),EDATE(DATE(YEAR(TODAY()),MONTH(TODAY()),1),23),"M"),12)=0,1,0),IF(Clients!E19="One-time",IF(23=0,1,0),1))))))),"")</f>
        <v/>
      </c>
    </row>
    <row r="90" spans="1:29" ht="15" customHeight="1" x14ac:dyDescent="0.35">
      <c r="A90" s="4" t="s">
        <v>81</v>
      </c>
      <c r="B90" s="4" t="str">
        <f>IF(Clients!A20="","",Clients!A20)</f>
        <v/>
      </c>
      <c r="C90" s="10" t="str">
        <f>IF(Clients!C20="","",Clients!C20)</f>
        <v/>
      </c>
      <c r="D90" s="10" t="str">
        <f>IF(Clients!D20="","",Clients!D20)</f>
        <v/>
      </c>
      <c r="E90" s="4" t="str">
        <f>IF(Clients!E20="","",Clients!E20)</f>
        <v/>
      </c>
      <c r="F90" s="10" t="str">
        <f ca="1">IFERROR(IF(OR(0&gt;=$B$1,Clients!A20="",NOT(ISNUMBER(Clients!D20)),Clients!L20="Expired",Clients!L20="Terminate"),"",Clients!D20*1*IF(Clients!E20="Monthly",IF(AND(ISNUMBER(Clients!G20),(YEAR(EDATE(DATE(YEAR(TODAY()),MONTH(TODAY()),1),0))*12+MONTH(EDATE(DATE(YEAR(TODAY()),MONTH(TODAY()),1),0)))&gt;(YEAR(Clients!G20)*12+MONTH(Clients!G20))),"",1),IF(Clients!E20="Quarterly",IF(MOD((YEAR(EDATE(DATE(YEAR(TODAY()),MONTH(TODAY()),1),0))-YEAR(IF(ISNUMBER(Clients!F20),Clients!F20,DATE(YEAR(TODAY()),MONTH(TODAY()),1))))*12+MONTH(EDATE(DATE(YEAR(TODAY()),MONTH(TODAY()),1),0))-MONTH(IF(ISNUMBER(Clients!F20),Clients!F20,DATE(YEAR(TODAY()),MONTH(TODAY()),1))),3)=0,1,0),IF(Clients!E20="Semi-annual",IF(MOD((YEAR(EDATE(DATE(YEAR(TODAY()),MONTH(TODAY()),1),0))-YEAR(IF(ISNUMBER(Clients!F20),Clients!F20,DATE(YEAR(TODAY()),MONTH(TODAY()),1))))*12+MONTH(EDATE(DATE(YEAR(TODAY()),MONTH(TODAY()),1),0))-MONTH(IF(ISNUMBER(Clients!F20),Clients!F20,DATE(YEAR(TODAY()),MONTH(TODAY()),1))),6)=0,1,0),IF(Clients!E20="Annual",IF(MOD((YEAR(EDATE(DATE(YEAR(TODAY()),MONTH(TODAY()),1),0))-YEAR(IF(ISNUMBER(Clients!F20),Clients!F20,DATE(YEAR(TODAY()),MONTH(TODAY()),1))))*12+MONTH(EDATE(DATE(YEAR(TODAY()),MONTH(TODAY()),1),0))-MONTH(IF(ISNUMBER(Clients!F20),Clients!F20,DATE(YEAR(TODAY()),MONTH(TODAY()),1))),12)=0,1,0),IF(Clients!E20="One-time",IF(0=0,1,0),1)))))),"")</f>
        <v/>
      </c>
      <c r="G90" s="10" t="str">
        <f ca="1">IFERROR(IF(OR(1&gt;=$B$1,Clients!A20="",NOT(ISNUMBER(Clients!D20)),Clients!L20="Expired",Clients!L20="Terminate"),"",Clients!D20*1*IF(Clients!E20="Monthly",IF(AND(ISNUMBER(Clients!G20),(YEAR(EDATE(DATE(YEAR(TODAY()),MONTH(TODAY()),1),1))*12+MONTH(EDATE(DATE(YEAR(TODAY()),MONTH(TODAY()),1),1)))&gt;(YEAR(Clients!G20)*12+MONTH(Clients!G20))),"",1),IF(Clients!E20="Quarterly",IF(MOD((YEAR(EDATE(DATE(YEAR(TODAY()),MONTH(TODAY()),1),1))-YEAR(IF(ISNUMBER(Clients!F20),Clients!F20,DATE(YEAR(TODAY()),MONTH(TODAY()),1))))*12+MONTH(EDATE(DATE(YEAR(TODAY()),MONTH(TODAY()),1),1))-MONTH(IF(ISNUMBER(Clients!F20),Clients!F20,DATE(YEAR(TODAY()),MONTH(TODAY()),1))),3)=0,1,0),IF(Clients!E20="Semi-annual",IF(MOD((YEAR(EDATE(DATE(YEAR(TODAY()),MONTH(TODAY()),1),1))-YEAR(IF(ISNUMBER(Clients!F20),Clients!F20,DATE(YEAR(TODAY()),MONTH(TODAY()),1))))*12+MONTH(EDATE(DATE(YEAR(TODAY()),MONTH(TODAY()),1),1))-MONTH(IF(ISNUMBER(Clients!F20),Clients!F20,DATE(YEAR(TODAY()),MONTH(TODAY()),1))),6)=0,1,0),IF(Clients!E20="Annual",IF(MOD((YEAR(EDATE(DATE(YEAR(TODAY()),MONTH(TODAY()),1),1))-YEAR(IF(ISNUMBER(Clients!F20),Clients!F20,DATE(YEAR(TODAY()),MONTH(TODAY()),1))))*12+MONTH(EDATE(DATE(YEAR(TODAY()),MONTH(TODAY()),1),1))-MONTH(IF(ISNUMBER(Clients!F20),Clients!F20,DATE(YEAR(TODAY()),MONTH(TODAY()),1))),12)=0,1,0),IF(Clients!E20="One-time",IF(1=0,1,0),1)))))),"")</f>
        <v/>
      </c>
      <c r="H90" s="10" t="str">
        <f ca="1">IFERROR(IF(OR(2&gt;=$B$1,Clients!A20="",NOT(ISNUMBER(Clients!D20)),Clients!L20="Expired",Clients!L20="Terminate"),"",Clients!D20*1*IF(Clients!E20="Monthly",IF(AND(ISNUMBER(Clients!G20),(YEAR(EDATE(DATE(YEAR(TODAY()),MONTH(TODAY()),1),2))*12+MONTH(EDATE(DATE(YEAR(TODAY()),MONTH(TODAY()),1),2)))&gt;(YEAR(Clients!G20)*12+MONTH(Clients!G20))),"",1),IF(Clients!E20="Quarterly",IF(MOD((YEAR(EDATE(DATE(YEAR(TODAY()),MONTH(TODAY()),1),2))-YEAR(IF(ISNUMBER(Clients!F20),Clients!F20,DATE(YEAR(TODAY()),MONTH(TODAY()),1))))*12+MONTH(EDATE(DATE(YEAR(TODAY()),MONTH(TODAY()),1),2))-MONTH(IF(ISNUMBER(Clients!F20),Clients!F20,DATE(YEAR(TODAY()),MONTH(TODAY()),1))),3)=0,1,0),IF(Clients!E20="Semi-annual",IF(MOD((YEAR(EDATE(DATE(YEAR(TODAY()),MONTH(TODAY()),1),2))-YEAR(IF(ISNUMBER(Clients!F20),Clients!F20,DATE(YEAR(TODAY()),MONTH(TODAY()),1))))*12+MONTH(EDATE(DATE(YEAR(TODAY()),MONTH(TODAY()),1),2))-MONTH(IF(ISNUMBER(Clients!F20),Clients!F20,DATE(YEAR(TODAY()),MONTH(TODAY()),1))),6)=0,1,0),IF(Clients!E20="Annual",IF(MOD((YEAR(EDATE(DATE(YEAR(TODAY()),MONTH(TODAY()),1),2))-YEAR(IF(ISNUMBER(Clients!F20),Clients!F20,DATE(YEAR(TODAY()),MONTH(TODAY()),1))))*12+MONTH(EDATE(DATE(YEAR(TODAY()),MONTH(TODAY()),1),2))-MONTH(IF(ISNUMBER(Clients!F20),Clients!F20,DATE(YEAR(TODAY()),MONTH(TODAY()),1))),12)=0,1,0),IF(Clients!E20="One-time",IF(2=0,1,0),1)))))),"")</f>
        <v/>
      </c>
      <c r="I90" s="10" t="str">
        <f ca="1">IFERROR(IF(OR(3&gt;=$B$1,Clients!A20="",NOT(ISNUMBER(Clients!D20)),Clients!L20="Expired",Clients!L20="Terminate"),"",Clients!D20*1*IF(Clients!E20="Monthly",IF(AND(ISNUMBER(Clients!G20),(YEAR(EDATE(DATE(YEAR(TODAY()),MONTH(TODAY()),1),3))*12+MONTH(EDATE(DATE(YEAR(TODAY()),MONTH(TODAY()),1),3)))&gt;(YEAR(Clients!G20)*12+MONTH(Clients!G20))),"",1),IF(Clients!E20="Quarterly",IF(MOD((YEAR(EDATE(DATE(YEAR(TODAY()),MONTH(TODAY()),1),3))-YEAR(IF(ISNUMBER(Clients!F20),Clients!F20,DATE(YEAR(TODAY()),MONTH(TODAY()),1))))*12+MONTH(EDATE(DATE(YEAR(TODAY()),MONTH(TODAY()),1),3))-MONTH(IF(ISNUMBER(Clients!F20),Clients!F20,DATE(YEAR(TODAY()),MONTH(TODAY()),1))),3)=0,1,0),IF(Clients!E20="Semi-annual",IF(MOD((YEAR(EDATE(DATE(YEAR(TODAY()),MONTH(TODAY()),1),3))-YEAR(IF(ISNUMBER(Clients!F20),Clients!F20,DATE(YEAR(TODAY()),MONTH(TODAY()),1))))*12+MONTH(EDATE(DATE(YEAR(TODAY()),MONTH(TODAY()),1),3))-MONTH(IF(ISNUMBER(Clients!F20),Clients!F20,DATE(YEAR(TODAY()),MONTH(TODAY()),1))),6)=0,1,0),IF(Clients!E20="Annual",IF(MOD((YEAR(EDATE(DATE(YEAR(TODAY()),MONTH(TODAY()),1),3))-YEAR(IF(ISNUMBER(Clients!F20),Clients!F20,DATE(YEAR(TODAY()),MONTH(TODAY()),1))))*12+MONTH(EDATE(DATE(YEAR(TODAY()),MONTH(TODAY()),1),3))-MONTH(IF(ISNUMBER(Clients!F20),Clients!F20,DATE(YEAR(TODAY()),MONTH(TODAY()),1))),12)=0,1,0),IF(Clients!E20="One-time",IF(3=0,1,0),1)))))),"")</f>
        <v/>
      </c>
      <c r="J90" s="10" t="str">
        <f ca="1">IFERROR(IF(OR(4&gt;=$B$1,Clients!A20="",NOT(ISNUMBER(Clients!D20)),Clients!L20="Expired",Clients!L20="Terminate"),"",Clients!D20*1*IF(Clients!E20="Monthly",IF(AND(ISNUMBER(Clients!G20),(YEAR(EDATE(DATE(YEAR(TODAY()),MONTH(TODAY()),1),4))*12+MONTH(EDATE(DATE(YEAR(TODAY()),MONTH(TODAY()),1),4)))&gt;(YEAR(Clients!G20)*12+MONTH(Clients!G20))),"",1),IF(Clients!E20="Quarterly",IF(MOD((YEAR(EDATE(DATE(YEAR(TODAY()),MONTH(TODAY()),1),4))-YEAR(IF(ISNUMBER(Clients!F20),Clients!F20,DATE(YEAR(TODAY()),MONTH(TODAY()),1))))*12+MONTH(EDATE(DATE(YEAR(TODAY()),MONTH(TODAY()),1),4))-MONTH(IF(ISNUMBER(Clients!F20),Clients!F20,DATE(YEAR(TODAY()),MONTH(TODAY()),1))),3)=0,1,0),IF(Clients!E20="Semi-annual",IF(MOD((YEAR(EDATE(DATE(YEAR(TODAY()),MONTH(TODAY()),1),4))-YEAR(IF(ISNUMBER(Clients!F20),Clients!F20,DATE(YEAR(TODAY()),MONTH(TODAY()),1))))*12+MONTH(EDATE(DATE(YEAR(TODAY()),MONTH(TODAY()),1),4))-MONTH(IF(ISNUMBER(Clients!F20),Clients!F20,DATE(YEAR(TODAY()),MONTH(TODAY()),1))),6)=0,1,0),IF(Clients!E20="Annual",IF(MOD((YEAR(EDATE(DATE(YEAR(TODAY()),MONTH(TODAY()),1),4))-YEAR(IF(ISNUMBER(Clients!F20),Clients!F20,DATE(YEAR(TODAY()),MONTH(TODAY()),1))))*12+MONTH(EDATE(DATE(YEAR(TODAY()),MONTH(TODAY()),1),4))-MONTH(IF(ISNUMBER(Clients!F20),Clients!F20,DATE(YEAR(TODAY()),MONTH(TODAY()),1))),12)=0,1,0),IF(Clients!E20="One-time",IF(4=0,1,0),1)))))),"")</f>
        <v/>
      </c>
      <c r="K90" s="10" t="str">
        <f ca="1">IFERROR(IF(OR(5&gt;=$B$1,Clients!A20="",NOT(ISNUMBER(Clients!D20)),Clients!L20="Expired",Clients!L20="Terminate"),"",Clients!D20*1*IF(Clients!E20="Monthly",IF(AND(ISNUMBER(Clients!G20),(YEAR(EDATE(DATE(YEAR(TODAY()),MONTH(TODAY()),1),5))*12+MONTH(EDATE(DATE(YEAR(TODAY()),MONTH(TODAY()),1),5)))&gt;(YEAR(Clients!G20)*12+MONTH(Clients!G20))),"",1),IF(Clients!E20="Quarterly",IF(MOD((YEAR(EDATE(DATE(YEAR(TODAY()),MONTH(TODAY()),1),5))-YEAR(IF(ISNUMBER(Clients!F20),Clients!F20,DATE(YEAR(TODAY()),MONTH(TODAY()),1))))*12+MONTH(EDATE(DATE(YEAR(TODAY()),MONTH(TODAY()),1),5))-MONTH(IF(ISNUMBER(Clients!F20),Clients!F20,DATE(YEAR(TODAY()),MONTH(TODAY()),1))),3)=0,1,0),IF(Clients!E20="Semi-annual",IF(MOD((YEAR(EDATE(DATE(YEAR(TODAY()),MONTH(TODAY()),1),5))-YEAR(IF(ISNUMBER(Clients!F20),Clients!F20,DATE(YEAR(TODAY()),MONTH(TODAY()),1))))*12+MONTH(EDATE(DATE(YEAR(TODAY()),MONTH(TODAY()),1),5))-MONTH(IF(ISNUMBER(Clients!F20),Clients!F20,DATE(YEAR(TODAY()),MONTH(TODAY()),1))),6)=0,1,0),IF(Clients!E20="Annual",IF(MOD((YEAR(EDATE(DATE(YEAR(TODAY()),MONTH(TODAY()),1),5))-YEAR(IF(ISNUMBER(Clients!F20),Clients!F20,DATE(YEAR(TODAY()),MONTH(TODAY()),1))))*12+MONTH(EDATE(DATE(YEAR(TODAY()),MONTH(TODAY()),1),5))-MONTH(IF(ISNUMBER(Clients!F20),Clients!F20,DATE(YEAR(TODAY()),MONTH(TODAY()),1))),12)=0,1,0),IF(Clients!E20="One-time",IF(5=0,1,0),1)))))),"")</f>
        <v/>
      </c>
      <c r="L90" s="10" t="str">
        <f ca="1">IFERROR(IF(OR(6&gt;=$B$1,Clients!A20="",NOT(ISNUMBER(Clients!D20)),Clients!L20="Expired",Clients!L20="Terminate"),"",Clients!D20*1*IF(Clients!E20="Monthly",IF(AND(ISNUMBER(Clients!G20),(YEAR(EDATE(DATE(YEAR(TODAY()),MONTH(TODAY()),1),6))*12+MONTH(EDATE(DATE(YEAR(TODAY()),MONTH(TODAY()),1),6)))&gt;(YEAR(Clients!G20)*12+MONTH(Clients!G20))),"",1),IF(Clients!E20="Quarterly",IF(MOD((YEAR(EDATE(DATE(YEAR(TODAY()),MONTH(TODAY()),1),6))-YEAR(IF(ISNUMBER(Clients!F20),Clients!F20,DATE(YEAR(TODAY()),MONTH(TODAY()),1))))*12+MONTH(EDATE(DATE(YEAR(TODAY()),MONTH(TODAY()),1),6))-MONTH(IF(ISNUMBER(Clients!F20),Clients!F20,DATE(YEAR(TODAY()),MONTH(TODAY()),1))),3)=0,1,0),IF(Clients!E20="Semi-annual",IF(MOD((YEAR(EDATE(DATE(YEAR(TODAY()),MONTH(TODAY()),1),6))-YEAR(IF(ISNUMBER(Clients!F20),Clients!F20,DATE(YEAR(TODAY()),MONTH(TODAY()),1))))*12+MONTH(EDATE(DATE(YEAR(TODAY()),MONTH(TODAY()),1),6))-MONTH(IF(ISNUMBER(Clients!F20),Clients!F20,DATE(YEAR(TODAY()),MONTH(TODAY()),1))),6)=0,1,0),IF(Clients!E20="Annual",IF(MOD((YEAR(EDATE(DATE(YEAR(TODAY()),MONTH(TODAY()),1),6))-YEAR(IF(ISNUMBER(Clients!F20),Clients!F20,DATE(YEAR(TODAY()),MONTH(TODAY()),1))))*12+MONTH(EDATE(DATE(YEAR(TODAY()),MONTH(TODAY()),1),6))-MONTH(IF(ISNUMBER(Clients!F20),Clients!F20,DATE(YEAR(TODAY()),MONTH(TODAY()),1))),12)=0,1,0),IF(Clients!E20="One-time",IF(6=0,1,0),1)))))),"")</f>
        <v/>
      </c>
      <c r="M90" s="10" t="str">
        <f ca="1">IFERROR(IF(OR(7&gt;=$B$1,Clients!A20="",NOT(ISNUMBER(Clients!D20)),Clients!L20="Expired",Clients!L20="Terminate"),"",Clients!D20*1*IF(Clients!E20="Monthly",IF(AND(ISNUMBER(Clients!G20),(YEAR(EDATE(DATE(YEAR(TODAY()),MONTH(TODAY()),1),7))*12+MONTH(EDATE(DATE(YEAR(TODAY()),MONTH(TODAY()),1),7)))&gt;(YEAR(Clients!G20)*12+MONTH(Clients!G20))),"",1),IF(Clients!E20="Quarterly",IF(MOD((YEAR(EDATE(DATE(YEAR(TODAY()),MONTH(TODAY()),1),7))-YEAR(IF(ISNUMBER(Clients!F20),Clients!F20,DATE(YEAR(TODAY()),MONTH(TODAY()),1))))*12+MONTH(EDATE(DATE(YEAR(TODAY()),MONTH(TODAY()),1),7))-MONTH(IF(ISNUMBER(Clients!F20),Clients!F20,DATE(YEAR(TODAY()),MONTH(TODAY()),1))),3)=0,1,0),IF(Clients!E20="Semi-annual",IF(MOD((YEAR(EDATE(DATE(YEAR(TODAY()),MONTH(TODAY()),1),7))-YEAR(IF(ISNUMBER(Clients!F20),Clients!F20,DATE(YEAR(TODAY()),MONTH(TODAY()),1))))*12+MONTH(EDATE(DATE(YEAR(TODAY()),MONTH(TODAY()),1),7))-MONTH(IF(ISNUMBER(Clients!F20),Clients!F20,DATE(YEAR(TODAY()),MONTH(TODAY()),1))),6)=0,1,0),IF(Clients!E20="Annual",IF(MOD((YEAR(EDATE(DATE(YEAR(TODAY()),MONTH(TODAY()),1),7))-YEAR(IF(ISNUMBER(Clients!F20),Clients!F20,DATE(YEAR(TODAY()),MONTH(TODAY()),1))))*12+MONTH(EDATE(DATE(YEAR(TODAY()),MONTH(TODAY()),1),7))-MONTH(IF(ISNUMBER(Clients!F20),Clients!F20,DATE(YEAR(TODAY()),MONTH(TODAY()),1))),12)=0,1,0),IF(Clients!E20="One-time",IF(7=0,1,0),1)))))),"")</f>
        <v/>
      </c>
      <c r="N90" s="10" t="str">
        <f ca="1">IFERROR(IF(OR(8&gt;=$B$1,Clients!A20="",NOT(ISNUMBER(Clients!D20)),Clients!L20="Expired",Clients!L20="Terminate"),"",Clients!D20*1*IF(Clients!E20="Monthly",IF(AND(ISNUMBER(Clients!G20),(YEAR(EDATE(DATE(YEAR(TODAY()),MONTH(TODAY()),1),8))*12+MONTH(EDATE(DATE(YEAR(TODAY()),MONTH(TODAY()),1),8)))&gt;(YEAR(Clients!G20)*12+MONTH(Clients!G20))),"",1),IF(Clients!E20="Quarterly",IF(MOD((YEAR(EDATE(DATE(YEAR(TODAY()),MONTH(TODAY()),1),8))-YEAR(IF(ISNUMBER(Clients!F20),Clients!F20,DATE(YEAR(TODAY()),MONTH(TODAY()),1))))*12+MONTH(EDATE(DATE(YEAR(TODAY()),MONTH(TODAY()),1),8))-MONTH(IF(ISNUMBER(Clients!F20),Clients!F20,DATE(YEAR(TODAY()),MONTH(TODAY()),1))),3)=0,1,0),IF(Clients!E20="Semi-annual",IF(MOD((YEAR(EDATE(DATE(YEAR(TODAY()),MONTH(TODAY()),1),8))-YEAR(IF(ISNUMBER(Clients!F20),Clients!F20,DATE(YEAR(TODAY()),MONTH(TODAY()),1))))*12+MONTH(EDATE(DATE(YEAR(TODAY()),MONTH(TODAY()),1),8))-MONTH(IF(ISNUMBER(Clients!F20),Clients!F20,DATE(YEAR(TODAY()),MONTH(TODAY()),1))),6)=0,1,0),IF(Clients!E20="Annual",IF(MOD((YEAR(EDATE(DATE(YEAR(TODAY()),MONTH(TODAY()),1),8))-YEAR(IF(ISNUMBER(Clients!F20),Clients!F20,DATE(YEAR(TODAY()),MONTH(TODAY()),1))))*12+MONTH(EDATE(DATE(YEAR(TODAY()),MONTH(TODAY()),1),8))-MONTH(IF(ISNUMBER(Clients!F20),Clients!F20,DATE(YEAR(TODAY()),MONTH(TODAY()),1))),12)=0,1,0),IF(Clients!E20="One-time",IF(8=0,1,0),1)))))),"")</f>
        <v/>
      </c>
      <c r="O90" s="10" t="str">
        <f ca="1">IFERROR(IF(OR(9&gt;=$B$1,Clients!A20="",NOT(ISNUMBER(Clients!D20)),Clients!L20="Expired",Clients!L20="Terminate"),"",Clients!D20*1*IF(Clients!E20="Monthly",IF(AND(ISNUMBER(Clients!G20),(YEAR(EDATE(DATE(YEAR(TODAY()),MONTH(TODAY()),1),9))*12+MONTH(EDATE(DATE(YEAR(TODAY()),MONTH(TODAY()),1),9)))&gt;(YEAR(Clients!G20)*12+MONTH(Clients!G20))),"",1),IF(Clients!E20="Quarterly",IF(MOD((YEAR(EDATE(DATE(YEAR(TODAY()),MONTH(TODAY()),1),9))-YEAR(IF(ISNUMBER(Clients!F20),Clients!F20,DATE(YEAR(TODAY()),MONTH(TODAY()),1))))*12+MONTH(EDATE(DATE(YEAR(TODAY()),MONTH(TODAY()),1),9))-MONTH(IF(ISNUMBER(Clients!F20),Clients!F20,DATE(YEAR(TODAY()),MONTH(TODAY()),1))),3)=0,1,0),IF(Clients!E20="Semi-annual",IF(MOD((YEAR(EDATE(DATE(YEAR(TODAY()),MONTH(TODAY()),1),9))-YEAR(IF(ISNUMBER(Clients!F20),Clients!F20,DATE(YEAR(TODAY()),MONTH(TODAY()),1))))*12+MONTH(EDATE(DATE(YEAR(TODAY()),MONTH(TODAY()),1),9))-MONTH(IF(ISNUMBER(Clients!F20),Clients!F20,DATE(YEAR(TODAY()),MONTH(TODAY()),1))),6)=0,1,0),IF(Clients!E20="Annual",IF(MOD((YEAR(EDATE(DATE(YEAR(TODAY()),MONTH(TODAY()),1),9))-YEAR(IF(ISNUMBER(Clients!F20),Clients!F20,DATE(YEAR(TODAY()),MONTH(TODAY()),1))))*12+MONTH(EDATE(DATE(YEAR(TODAY()),MONTH(TODAY()),1),9))-MONTH(IF(ISNUMBER(Clients!F20),Clients!F20,DATE(YEAR(TODAY()),MONTH(TODAY()),1))),12)=0,1,0),IF(Clients!E20="One-time",IF(9=0,1,0),1)))))),"")</f>
        <v/>
      </c>
      <c r="P90" s="10" t="str">
        <f ca="1">IFERROR(IF(OR(10&gt;=$B$1,Clients!A20="",NOT(ISNUMBER(Clients!D20)),Clients!L20="Expired",Clients!L20="Terminate"),"",Clients!D20*1*IF(Clients!E20="Monthly",IF(AND(ISNUMBER(Clients!G20),(YEAR(EDATE(DATE(YEAR(TODAY()),MONTH(TODAY()),1),10))*12+MONTH(EDATE(DATE(YEAR(TODAY()),MONTH(TODAY()),1),10)))&gt;(YEAR(Clients!G20)*12+MONTH(Clients!G20))),"",1),IF(Clients!E20="Quarterly",IF(MOD((YEAR(EDATE(DATE(YEAR(TODAY()),MONTH(TODAY()),1),10))-YEAR(IF(ISNUMBER(Clients!F20),Clients!F20,DATE(YEAR(TODAY()),MONTH(TODAY()),1))))*12+MONTH(EDATE(DATE(YEAR(TODAY()),MONTH(TODAY()),1),10))-MONTH(IF(ISNUMBER(Clients!F20),Clients!F20,DATE(YEAR(TODAY()),MONTH(TODAY()),1))),3)=0,1,0),IF(Clients!E20="Semi-annual",IF(MOD((YEAR(EDATE(DATE(YEAR(TODAY()),MONTH(TODAY()),1),10))-YEAR(IF(ISNUMBER(Clients!F20),Clients!F20,DATE(YEAR(TODAY()),MONTH(TODAY()),1))))*12+MONTH(EDATE(DATE(YEAR(TODAY()),MONTH(TODAY()),1),10))-MONTH(IF(ISNUMBER(Clients!F20),Clients!F20,DATE(YEAR(TODAY()),MONTH(TODAY()),1))),6)=0,1,0),IF(Clients!E20="Annual",IF(MOD((YEAR(EDATE(DATE(YEAR(TODAY()),MONTH(TODAY()),1),10))-YEAR(IF(ISNUMBER(Clients!F20),Clients!F20,DATE(YEAR(TODAY()),MONTH(TODAY()),1))))*12+MONTH(EDATE(DATE(YEAR(TODAY()),MONTH(TODAY()),1),10))-MONTH(IF(ISNUMBER(Clients!F20),Clients!F20,DATE(YEAR(TODAY()),MONTH(TODAY()),1))),12)=0,1,0),IF(Clients!E20="One-time",IF(10=0,1,0),1)))))),"")</f>
        <v/>
      </c>
      <c r="Q90" s="10" t="str">
        <f ca="1">IFERROR(IF(OR(11&gt;=$B$1,Clients!A20="",NOT(ISNUMBER(Clients!D20)),Clients!L20="Expired",Clients!L20="Terminate"),"",Clients!D20*1*IF(Clients!E20="Monthly",IF(AND(ISNUMBER(Clients!G20),(YEAR(EDATE(DATE(YEAR(TODAY()),MONTH(TODAY()),1),11))*12+MONTH(EDATE(DATE(YEAR(TODAY()),MONTH(TODAY()),1),11)))&gt;(YEAR(Clients!G20)*12+MONTH(Clients!G20))),"",1),IF(Clients!E20="Quarterly",IF(MOD((YEAR(EDATE(DATE(YEAR(TODAY()),MONTH(TODAY()),1),11))-YEAR(IF(ISNUMBER(Clients!F20),Clients!F20,DATE(YEAR(TODAY()),MONTH(TODAY()),1))))*12+MONTH(EDATE(DATE(YEAR(TODAY()),MONTH(TODAY()),1),11))-MONTH(IF(ISNUMBER(Clients!F20),Clients!F20,DATE(YEAR(TODAY()),MONTH(TODAY()),1))),3)=0,1,0),IF(Clients!E20="Semi-annual",IF(MOD((YEAR(EDATE(DATE(YEAR(TODAY()),MONTH(TODAY()),1),11))-YEAR(IF(ISNUMBER(Clients!F20),Clients!F20,DATE(YEAR(TODAY()),MONTH(TODAY()),1))))*12+MONTH(EDATE(DATE(YEAR(TODAY()),MONTH(TODAY()),1),11))-MONTH(IF(ISNUMBER(Clients!F20),Clients!F20,DATE(YEAR(TODAY()),MONTH(TODAY()),1))),6)=0,1,0),IF(Clients!E20="Annual",IF(MOD((YEAR(EDATE(DATE(YEAR(TODAY()),MONTH(TODAY()),1),11))-YEAR(IF(ISNUMBER(Clients!F20),Clients!F20,DATE(YEAR(TODAY()),MONTH(TODAY()),1))))*12+MONTH(EDATE(DATE(YEAR(TODAY()),MONTH(TODAY()),1),11))-MONTH(IF(ISNUMBER(Clients!F20),Clients!F20,DATE(YEAR(TODAY()),MONTH(TODAY()),1))),12)=0,1,0),IF(Clients!E20="One-time",IF(11=0,1,0),1)))))),"")</f>
        <v/>
      </c>
      <c r="R90" s="10" t="str">
        <f ca="1">IFERROR(IF(OR(12&gt;=$B$1,Clients!A20="",NOT(ISNUMBER(Clients!D20))),"",IF(OR(Clients!L20="Expired",Clients!L20="Terminate"),"",Clients!D20*1*IF(Clients!E20="Monthly",1,IF(Clients!E20="Quarterly",IF(MOD(DATEDIF(IF(ISNUMBER(Clients!F20),Clients!F20,DATE(YEAR(TODAY()),MONTH(TODAY()),1)),EDATE(DATE(YEAR(TODAY()),MONTH(TODAY()),1),12),"M"),3)=0,1,0),IF(Clients!E20="Semi-annual",IF(MOD(DATEDIF(IF(ISNUMBER(Clients!F20),Clients!F20,DATE(YEAR(TODAY()),MONTH(TODAY()),1)),EDATE(DATE(YEAR(TODAY()),MONTH(TODAY()),1),12),"M"),6)=0,1,0),IF(Clients!E20="Annual",IF(MOD(DATEDIF(IF(ISNUMBER(Clients!F20),Clients!F20,DATE(YEAR(TODAY()),MONTH(TODAY()),1)),EDATE(DATE(YEAR(TODAY()),MONTH(TODAY()),1),12),"M"),12)=0,1,0),IF(Clients!E20="One-time",IF(12=0,1,0),1))))))),"")</f>
        <v/>
      </c>
      <c r="S90" s="10" t="str">
        <f ca="1">IFERROR(IF(OR(13&gt;=$B$1,Clients!A20="",NOT(ISNUMBER(Clients!D20))),"",IF(OR(Clients!L20="Expired",Clients!L20="Terminate"),"",Clients!D20*1*IF(Clients!E20="Monthly",1,IF(Clients!E20="Quarterly",IF(MOD(DATEDIF(IF(ISNUMBER(Clients!F20),Clients!F20,DATE(YEAR(TODAY()),MONTH(TODAY()),1)),EDATE(DATE(YEAR(TODAY()),MONTH(TODAY()),1),13),"M"),3)=0,1,0),IF(Clients!E20="Semi-annual",IF(MOD(DATEDIF(IF(ISNUMBER(Clients!F20),Clients!F20,DATE(YEAR(TODAY()),MONTH(TODAY()),1)),EDATE(DATE(YEAR(TODAY()),MONTH(TODAY()),1),13),"M"),6)=0,1,0),IF(Clients!E20="Annual",IF(MOD(DATEDIF(IF(ISNUMBER(Clients!F20),Clients!F20,DATE(YEAR(TODAY()),MONTH(TODAY()),1)),EDATE(DATE(YEAR(TODAY()),MONTH(TODAY()),1),13),"M"),12)=0,1,0),IF(Clients!E20="One-time",IF(13=0,1,0),1))))))),"")</f>
        <v/>
      </c>
      <c r="T90" s="10" t="str">
        <f ca="1">IFERROR(IF(OR(14&gt;=$B$1,Clients!A20="",NOT(ISNUMBER(Clients!D20))),"",IF(OR(Clients!L20="Expired",Clients!L20="Terminate"),"",Clients!D20*1*IF(Clients!E20="Monthly",1,IF(Clients!E20="Quarterly",IF(MOD(DATEDIF(IF(ISNUMBER(Clients!F20),Clients!F20,DATE(YEAR(TODAY()),MONTH(TODAY()),1)),EDATE(DATE(YEAR(TODAY()),MONTH(TODAY()),1),14),"M"),3)=0,1,0),IF(Clients!E20="Semi-annual",IF(MOD(DATEDIF(IF(ISNUMBER(Clients!F20),Clients!F20,DATE(YEAR(TODAY()),MONTH(TODAY()),1)),EDATE(DATE(YEAR(TODAY()),MONTH(TODAY()),1),14),"M"),6)=0,1,0),IF(Clients!E20="Annual",IF(MOD(DATEDIF(IF(ISNUMBER(Clients!F20),Clients!F20,DATE(YEAR(TODAY()),MONTH(TODAY()),1)),EDATE(DATE(YEAR(TODAY()),MONTH(TODAY()),1),14),"M"),12)=0,1,0),IF(Clients!E20="One-time",IF(14=0,1,0),1))))))),"")</f>
        <v/>
      </c>
      <c r="U90" s="10" t="str">
        <f ca="1">IFERROR(IF(OR(15&gt;=$B$1,Clients!A20="",NOT(ISNUMBER(Clients!D20))),"",IF(OR(Clients!L20="Expired",Clients!L20="Terminate"),"",Clients!D20*1*IF(Clients!E20="Monthly",1,IF(Clients!E20="Quarterly",IF(MOD(DATEDIF(IF(ISNUMBER(Clients!F20),Clients!F20,DATE(YEAR(TODAY()),MONTH(TODAY()),1)),EDATE(DATE(YEAR(TODAY()),MONTH(TODAY()),1),15),"M"),3)=0,1,0),IF(Clients!E20="Semi-annual",IF(MOD(DATEDIF(IF(ISNUMBER(Clients!F20),Clients!F20,DATE(YEAR(TODAY()),MONTH(TODAY()),1)),EDATE(DATE(YEAR(TODAY()),MONTH(TODAY()),1),15),"M"),6)=0,1,0),IF(Clients!E20="Annual",IF(MOD(DATEDIF(IF(ISNUMBER(Clients!F20),Clients!F20,DATE(YEAR(TODAY()),MONTH(TODAY()),1)),EDATE(DATE(YEAR(TODAY()),MONTH(TODAY()),1),15),"M"),12)=0,1,0),IF(Clients!E20="One-time",IF(15=0,1,0),1))))))),"")</f>
        <v/>
      </c>
      <c r="V90" s="10" t="str">
        <f ca="1">IFERROR(IF(OR(16&gt;=$B$1,Clients!A20="",NOT(ISNUMBER(Clients!D20))),"",IF(OR(Clients!L20="Expired",Clients!L20="Terminate"),"",Clients!D20*1*IF(Clients!E20="Monthly",1,IF(Clients!E20="Quarterly",IF(MOD(DATEDIF(IF(ISNUMBER(Clients!F20),Clients!F20,DATE(YEAR(TODAY()),MONTH(TODAY()),1)),EDATE(DATE(YEAR(TODAY()),MONTH(TODAY()),1),16),"M"),3)=0,1,0),IF(Clients!E20="Semi-annual",IF(MOD(DATEDIF(IF(ISNUMBER(Clients!F20),Clients!F20,DATE(YEAR(TODAY()),MONTH(TODAY()),1)),EDATE(DATE(YEAR(TODAY()),MONTH(TODAY()),1),16),"M"),6)=0,1,0),IF(Clients!E20="Annual",IF(MOD(DATEDIF(IF(ISNUMBER(Clients!F20),Clients!F20,DATE(YEAR(TODAY()),MONTH(TODAY()),1)),EDATE(DATE(YEAR(TODAY()),MONTH(TODAY()),1),16),"M"),12)=0,1,0),IF(Clients!E20="One-time",IF(16=0,1,0),1))))))),"")</f>
        <v/>
      </c>
      <c r="W90" s="10" t="str">
        <f ca="1">IFERROR(IF(OR(17&gt;=$B$1,Clients!A20="",NOT(ISNUMBER(Clients!D20))),"",IF(OR(Clients!L20="Expired",Clients!L20="Terminate"),"",Clients!D20*1*IF(Clients!E20="Monthly",1,IF(Clients!E20="Quarterly",IF(MOD(DATEDIF(IF(ISNUMBER(Clients!F20),Clients!F20,DATE(YEAR(TODAY()),MONTH(TODAY()),1)),EDATE(DATE(YEAR(TODAY()),MONTH(TODAY()),1),17),"M"),3)=0,1,0),IF(Clients!E20="Semi-annual",IF(MOD(DATEDIF(IF(ISNUMBER(Clients!F20),Clients!F20,DATE(YEAR(TODAY()),MONTH(TODAY()),1)),EDATE(DATE(YEAR(TODAY()),MONTH(TODAY()),1),17),"M"),6)=0,1,0),IF(Clients!E20="Annual",IF(MOD(DATEDIF(IF(ISNUMBER(Clients!F20),Clients!F20,DATE(YEAR(TODAY()),MONTH(TODAY()),1)),EDATE(DATE(YEAR(TODAY()),MONTH(TODAY()),1),17),"M"),12)=0,1,0),IF(Clients!E20="One-time",IF(17=0,1,0),1))))))),"")</f>
        <v/>
      </c>
      <c r="X90" s="10" t="str">
        <f ca="1">IFERROR(IF(OR(18&gt;=$B$1,Clients!A20="",NOT(ISNUMBER(Clients!D20))),"",IF(OR(Clients!L20="Expired",Clients!L20="Terminate"),"",Clients!D20*1*IF(Clients!E20="Monthly",1,IF(Clients!E20="Quarterly",IF(MOD(DATEDIF(IF(ISNUMBER(Clients!F20),Clients!F20,DATE(YEAR(TODAY()),MONTH(TODAY()),1)),EDATE(DATE(YEAR(TODAY()),MONTH(TODAY()),1),18),"M"),3)=0,1,0),IF(Clients!E20="Semi-annual",IF(MOD(DATEDIF(IF(ISNUMBER(Clients!F20),Clients!F20,DATE(YEAR(TODAY()),MONTH(TODAY()),1)),EDATE(DATE(YEAR(TODAY()),MONTH(TODAY()),1),18),"M"),6)=0,1,0),IF(Clients!E20="Annual",IF(MOD(DATEDIF(IF(ISNUMBER(Clients!F20),Clients!F20,DATE(YEAR(TODAY()),MONTH(TODAY()),1)),EDATE(DATE(YEAR(TODAY()),MONTH(TODAY()),1),18),"M"),12)=0,1,0),IF(Clients!E20="One-time",IF(18=0,1,0),1))))))),"")</f>
        <v/>
      </c>
      <c r="Y90" s="10" t="str">
        <f ca="1">IFERROR(IF(OR(19&gt;=$B$1,Clients!A20="",NOT(ISNUMBER(Clients!D20))),"",IF(OR(Clients!L20="Expired",Clients!L20="Terminate"),"",Clients!D20*1*IF(Clients!E20="Monthly",1,IF(Clients!E20="Quarterly",IF(MOD(DATEDIF(IF(ISNUMBER(Clients!F20),Clients!F20,DATE(YEAR(TODAY()),MONTH(TODAY()),1)),EDATE(DATE(YEAR(TODAY()),MONTH(TODAY()),1),19),"M"),3)=0,1,0),IF(Clients!E20="Semi-annual",IF(MOD(DATEDIF(IF(ISNUMBER(Clients!F20),Clients!F20,DATE(YEAR(TODAY()),MONTH(TODAY()),1)),EDATE(DATE(YEAR(TODAY()),MONTH(TODAY()),1),19),"M"),6)=0,1,0),IF(Clients!E20="Annual",IF(MOD(DATEDIF(IF(ISNUMBER(Clients!F20),Clients!F20,DATE(YEAR(TODAY()),MONTH(TODAY()),1)),EDATE(DATE(YEAR(TODAY()),MONTH(TODAY()),1),19),"M"),12)=0,1,0),IF(Clients!E20="One-time",IF(19=0,1,0),1))))))),"")</f>
        <v/>
      </c>
      <c r="Z90" s="10" t="str">
        <f ca="1">IFERROR(IF(OR(20&gt;=$B$1,Clients!A20="",NOT(ISNUMBER(Clients!D20))),"",IF(OR(Clients!L20="Expired",Clients!L20="Terminate"),"",Clients!D20*1*IF(Clients!E20="Monthly",1,IF(Clients!E20="Quarterly",IF(MOD(DATEDIF(IF(ISNUMBER(Clients!F20),Clients!F20,DATE(YEAR(TODAY()),MONTH(TODAY()),1)),EDATE(DATE(YEAR(TODAY()),MONTH(TODAY()),1),20),"M"),3)=0,1,0),IF(Clients!E20="Semi-annual",IF(MOD(DATEDIF(IF(ISNUMBER(Clients!F20),Clients!F20,DATE(YEAR(TODAY()),MONTH(TODAY()),1)),EDATE(DATE(YEAR(TODAY()),MONTH(TODAY()),1),20),"M"),6)=0,1,0),IF(Clients!E20="Annual",IF(MOD(DATEDIF(IF(ISNUMBER(Clients!F20),Clients!F20,DATE(YEAR(TODAY()),MONTH(TODAY()),1)),EDATE(DATE(YEAR(TODAY()),MONTH(TODAY()),1),20),"M"),12)=0,1,0),IF(Clients!E20="One-time",IF(20=0,1,0),1))))))),"")</f>
        <v/>
      </c>
      <c r="AA90" s="10" t="str">
        <f ca="1">IFERROR(IF(OR(21&gt;=$B$1,Clients!A20="",NOT(ISNUMBER(Clients!D20))),"",IF(OR(Clients!L20="Expired",Clients!L20="Terminate"),"",Clients!D20*1*IF(Clients!E20="Monthly",1,IF(Clients!E20="Quarterly",IF(MOD(DATEDIF(IF(ISNUMBER(Clients!F20),Clients!F20,DATE(YEAR(TODAY()),MONTH(TODAY()),1)),EDATE(DATE(YEAR(TODAY()),MONTH(TODAY()),1),21),"M"),3)=0,1,0),IF(Clients!E20="Semi-annual",IF(MOD(DATEDIF(IF(ISNUMBER(Clients!F20),Clients!F20,DATE(YEAR(TODAY()),MONTH(TODAY()),1)),EDATE(DATE(YEAR(TODAY()),MONTH(TODAY()),1),21),"M"),6)=0,1,0),IF(Clients!E20="Annual",IF(MOD(DATEDIF(IF(ISNUMBER(Clients!F20),Clients!F20,DATE(YEAR(TODAY()),MONTH(TODAY()),1)),EDATE(DATE(YEAR(TODAY()),MONTH(TODAY()),1),21),"M"),12)=0,1,0),IF(Clients!E20="One-time",IF(21=0,1,0),1))))))),"")</f>
        <v/>
      </c>
      <c r="AB90" s="10" t="str">
        <f ca="1">IFERROR(IF(OR(22&gt;=$B$1,Clients!A20="",NOT(ISNUMBER(Clients!D20))),"",IF(OR(Clients!L20="Expired",Clients!L20="Terminate"),"",Clients!D20*1*IF(Clients!E20="Monthly",1,IF(Clients!E20="Quarterly",IF(MOD(DATEDIF(IF(ISNUMBER(Clients!F20),Clients!F20,DATE(YEAR(TODAY()),MONTH(TODAY()),1)),EDATE(DATE(YEAR(TODAY()),MONTH(TODAY()),1),22),"M"),3)=0,1,0),IF(Clients!E20="Semi-annual",IF(MOD(DATEDIF(IF(ISNUMBER(Clients!F20),Clients!F20,DATE(YEAR(TODAY()),MONTH(TODAY()),1)),EDATE(DATE(YEAR(TODAY()),MONTH(TODAY()),1),22),"M"),6)=0,1,0),IF(Clients!E20="Annual",IF(MOD(DATEDIF(IF(ISNUMBER(Clients!F20),Clients!F20,DATE(YEAR(TODAY()),MONTH(TODAY()),1)),EDATE(DATE(YEAR(TODAY()),MONTH(TODAY()),1),22),"M"),12)=0,1,0),IF(Clients!E20="One-time",IF(22=0,1,0),1))))))),"")</f>
        <v/>
      </c>
      <c r="AC90" s="10" t="str">
        <f ca="1">IFERROR(IF(OR(23&gt;=$B$1,Clients!A20="",NOT(ISNUMBER(Clients!D20))),"",IF(OR(Clients!L20="Expired",Clients!L20="Terminate"),"",Clients!D20*1*IF(Clients!E20="Monthly",1,IF(Clients!E20="Quarterly",IF(MOD(DATEDIF(IF(ISNUMBER(Clients!F20),Clients!F20,DATE(YEAR(TODAY()),MONTH(TODAY()),1)),EDATE(DATE(YEAR(TODAY()),MONTH(TODAY()),1),23),"M"),3)=0,1,0),IF(Clients!E20="Semi-annual",IF(MOD(DATEDIF(IF(ISNUMBER(Clients!F20),Clients!F20,DATE(YEAR(TODAY()),MONTH(TODAY()),1)),EDATE(DATE(YEAR(TODAY()),MONTH(TODAY()),1),23),"M"),6)=0,1,0),IF(Clients!E20="Annual",IF(MOD(DATEDIF(IF(ISNUMBER(Clients!F20),Clients!F20,DATE(YEAR(TODAY()),MONTH(TODAY()),1)),EDATE(DATE(YEAR(TODAY()),MONTH(TODAY()),1),23),"M"),12)=0,1,0),IF(Clients!E20="One-time",IF(23=0,1,0),1))))))),"")</f>
        <v/>
      </c>
    </row>
    <row r="91" spans="1:29" ht="15" customHeight="1" x14ac:dyDescent="0.35">
      <c r="A91" s="4" t="s">
        <v>81</v>
      </c>
      <c r="B91" s="4" t="str">
        <f>IF(Clients!A21="","",Clients!A21)</f>
        <v/>
      </c>
      <c r="C91" s="10" t="str">
        <f>IF(Clients!C21="","",Clients!C21)</f>
        <v/>
      </c>
      <c r="D91" s="10" t="str">
        <f>IF(Clients!D21="","",Clients!D21)</f>
        <v/>
      </c>
      <c r="E91" s="4" t="str">
        <f>IF(Clients!E21="","",Clients!E21)</f>
        <v/>
      </c>
      <c r="F91" s="10" t="str">
        <f ca="1">IFERROR(IF(OR(0&gt;=$B$1,Clients!A21="",NOT(ISNUMBER(Clients!D21)),Clients!L21="Expired",Clients!L21="Terminate"),"",Clients!D21*1*IF(Clients!E21="Monthly",IF(AND(ISNUMBER(Clients!G21),(YEAR(EDATE(DATE(YEAR(TODAY()),MONTH(TODAY()),1),0))*12+MONTH(EDATE(DATE(YEAR(TODAY()),MONTH(TODAY()),1),0)))&gt;(YEAR(Clients!G21)*12+MONTH(Clients!G21))),"",1),IF(Clients!E21="Quarterly",IF(MOD((YEAR(EDATE(DATE(YEAR(TODAY()),MONTH(TODAY()),1),0))-YEAR(IF(ISNUMBER(Clients!F21),Clients!F21,DATE(YEAR(TODAY()),MONTH(TODAY()),1))))*12+MONTH(EDATE(DATE(YEAR(TODAY()),MONTH(TODAY()),1),0))-MONTH(IF(ISNUMBER(Clients!F21),Clients!F21,DATE(YEAR(TODAY()),MONTH(TODAY()),1))),3)=0,1,0),IF(Clients!E21="Semi-annual",IF(MOD((YEAR(EDATE(DATE(YEAR(TODAY()),MONTH(TODAY()),1),0))-YEAR(IF(ISNUMBER(Clients!F21),Clients!F21,DATE(YEAR(TODAY()),MONTH(TODAY()),1))))*12+MONTH(EDATE(DATE(YEAR(TODAY()),MONTH(TODAY()),1),0))-MONTH(IF(ISNUMBER(Clients!F21),Clients!F21,DATE(YEAR(TODAY()),MONTH(TODAY()),1))),6)=0,1,0),IF(Clients!E21="Annual",IF(MOD((YEAR(EDATE(DATE(YEAR(TODAY()),MONTH(TODAY()),1),0))-YEAR(IF(ISNUMBER(Clients!F21),Clients!F21,DATE(YEAR(TODAY()),MONTH(TODAY()),1))))*12+MONTH(EDATE(DATE(YEAR(TODAY()),MONTH(TODAY()),1),0))-MONTH(IF(ISNUMBER(Clients!F21),Clients!F21,DATE(YEAR(TODAY()),MONTH(TODAY()),1))),12)=0,1,0),IF(Clients!E21="One-time",IF(0=0,1,0),1)))))),"")</f>
        <v/>
      </c>
      <c r="G91" s="10" t="str">
        <f ca="1">IFERROR(IF(OR(1&gt;=$B$1,Clients!A21="",NOT(ISNUMBER(Clients!D21)),Clients!L21="Expired",Clients!L21="Terminate"),"",Clients!D21*1*IF(Clients!E21="Monthly",IF(AND(ISNUMBER(Clients!G21),(YEAR(EDATE(DATE(YEAR(TODAY()),MONTH(TODAY()),1),1))*12+MONTH(EDATE(DATE(YEAR(TODAY()),MONTH(TODAY()),1),1)))&gt;(YEAR(Clients!G21)*12+MONTH(Clients!G21))),"",1),IF(Clients!E21="Quarterly",IF(MOD((YEAR(EDATE(DATE(YEAR(TODAY()),MONTH(TODAY()),1),1))-YEAR(IF(ISNUMBER(Clients!F21),Clients!F21,DATE(YEAR(TODAY()),MONTH(TODAY()),1))))*12+MONTH(EDATE(DATE(YEAR(TODAY()),MONTH(TODAY()),1),1))-MONTH(IF(ISNUMBER(Clients!F21),Clients!F21,DATE(YEAR(TODAY()),MONTH(TODAY()),1))),3)=0,1,0),IF(Clients!E21="Semi-annual",IF(MOD((YEAR(EDATE(DATE(YEAR(TODAY()),MONTH(TODAY()),1),1))-YEAR(IF(ISNUMBER(Clients!F21),Clients!F21,DATE(YEAR(TODAY()),MONTH(TODAY()),1))))*12+MONTH(EDATE(DATE(YEAR(TODAY()),MONTH(TODAY()),1),1))-MONTH(IF(ISNUMBER(Clients!F21),Clients!F21,DATE(YEAR(TODAY()),MONTH(TODAY()),1))),6)=0,1,0),IF(Clients!E21="Annual",IF(MOD((YEAR(EDATE(DATE(YEAR(TODAY()),MONTH(TODAY()),1),1))-YEAR(IF(ISNUMBER(Clients!F21),Clients!F21,DATE(YEAR(TODAY()),MONTH(TODAY()),1))))*12+MONTH(EDATE(DATE(YEAR(TODAY()),MONTH(TODAY()),1),1))-MONTH(IF(ISNUMBER(Clients!F21),Clients!F21,DATE(YEAR(TODAY()),MONTH(TODAY()),1))),12)=0,1,0),IF(Clients!E21="One-time",IF(1=0,1,0),1)))))),"")</f>
        <v/>
      </c>
      <c r="H91" s="10" t="str">
        <f ca="1">IFERROR(IF(OR(2&gt;=$B$1,Clients!A21="",NOT(ISNUMBER(Clients!D21)),Clients!L21="Expired",Clients!L21="Terminate"),"",Clients!D21*1*IF(Clients!E21="Monthly",IF(AND(ISNUMBER(Clients!G21),(YEAR(EDATE(DATE(YEAR(TODAY()),MONTH(TODAY()),1),2))*12+MONTH(EDATE(DATE(YEAR(TODAY()),MONTH(TODAY()),1),2)))&gt;(YEAR(Clients!G21)*12+MONTH(Clients!G21))),"",1),IF(Clients!E21="Quarterly",IF(MOD((YEAR(EDATE(DATE(YEAR(TODAY()),MONTH(TODAY()),1),2))-YEAR(IF(ISNUMBER(Clients!F21),Clients!F21,DATE(YEAR(TODAY()),MONTH(TODAY()),1))))*12+MONTH(EDATE(DATE(YEAR(TODAY()),MONTH(TODAY()),1),2))-MONTH(IF(ISNUMBER(Clients!F21),Clients!F21,DATE(YEAR(TODAY()),MONTH(TODAY()),1))),3)=0,1,0),IF(Clients!E21="Semi-annual",IF(MOD((YEAR(EDATE(DATE(YEAR(TODAY()),MONTH(TODAY()),1),2))-YEAR(IF(ISNUMBER(Clients!F21),Clients!F21,DATE(YEAR(TODAY()),MONTH(TODAY()),1))))*12+MONTH(EDATE(DATE(YEAR(TODAY()),MONTH(TODAY()),1),2))-MONTH(IF(ISNUMBER(Clients!F21),Clients!F21,DATE(YEAR(TODAY()),MONTH(TODAY()),1))),6)=0,1,0),IF(Clients!E21="Annual",IF(MOD((YEAR(EDATE(DATE(YEAR(TODAY()),MONTH(TODAY()),1),2))-YEAR(IF(ISNUMBER(Clients!F21),Clients!F21,DATE(YEAR(TODAY()),MONTH(TODAY()),1))))*12+MONTH(EDATE(DATE(YEAR(TODAY()),MONTH(TODAY()),1),2))-MONTH(IF(ISNUMBER(Clients!F21),Clients!F21,DATE(YEAR(TODAY()),MONTH(TODAY()),1))),12)=0,1,0),IF(Clients!E21="One-time",IF(2=0,1,0),1)))))),"")</f>
        <v/>
      </c>
      <c r="I91" s="10" t="str">
        <f ca="1">IFERROR(IF(OR(3&gt;=$B$1,Clients!A21="",NOT(ISNUMBER(Clients!D21)),Clients!L21="Expired",Clients!L21="Terminate"),"",Clients!D21*1*IF(Clients!E21="Monthly",IF(AND(ISNUMBER(Clients!G21),(YEAR(EDATE(DATE(YEAR(TODAY()),MONTH(TODAY()),1),3))*12+MONTH(EDATE(DATE(YEAR(TODAY()),MONTH(TODAY()),1),3)))&gt;(YEAR(Clients!G21)*12+MONTH(Clients!G21))),"",1),IF(Clients!E21="Quarterly",IF(MOD((YEAR(EDATE(DATE(YEAR(TODAY()),MONTH(TODAY()),1),3))-YEAR(IF(ISNUMBER(Clients!F21),Clients!F21,DATE(YEAR(TODAY()),MONTH(TODAY()),1))))*12+MONTH(EDATE(DATE(YEAR(TODAY()),MONTH(TODAY()),1),3))-MONTH(IF(ISNUMBER(Clients!F21),Clients!F21,DATE(YEAR(TODAY()),MONTH(TODAY()),1))),3)=0,1,0),IF(Clients!E21="Semi-annual",IF(MOD((YEAR(EDATE(DATE(YEAR(TODAY()),MONTH(TODAY()),1),3))-YEAR(IF(ISNUMBER(Clients!F21),Clients!F21,DATE(YEAR(TODAY()),MONTH(TODAY()),1))))*12+MONTH(EDATE(DATE(YEAR(TODAY()),MONTH(TODAY()),1),3))-MONTH(IF(ISNUMBER(Clients!F21),Clients!F21,DATE(YEAR(TODAY()),MONTH(TODAY()),1))),6)=0,1,0),IF(Clients!E21="Annual",IF(MOD((YEAR(EDATE(DATE(YEAR(TODAY()),MONTH(TODAY()),1),3))-YEAR(IF(ISNUMBER(Clients!F21),Clients!F21,DATE(YEAR(TODAY()),MONTH(TODAY()),1))))*12+MONTH(EDATE(DATE(YEAR(TODAY()),MONTH(TODAY()),1),3))-MONTH(IF(ISNUMBER(Clients!F21),Clients!F21,DATE(YEAR(TODAY()),MONTH(TODAY()),1))),12)=0,1,0),IF(Clients!E21="One-time",IF(3=0,1,0),1)))))),"")</f>
        <v/>
      </c>
      <c r="J91" s="10" t="str">
        <f ca="1">IFERROR(IF(OR(4&gt;=$B$1,Clients!A21="",NOT(ISNUMBER(Clients!D21)),Clients!L21="Expired",Clients!L21="Terminate"),"",Clients!D21*1*IF(Clients!E21="Monthly",IF(AND(ISNUMBER(Clients!G21),(YEAR(EDATE(DATE(YEAR(TODAY()),MONTH(TODAY()),1),4))*12+MONTH(EDATE(DATE(YEAR(TODAY()),MONTH(TODAY()),1),4)))&gt;(YEAR(Clients!G21)*12+MONTH(Clients!G21))),"",1),IF(Clients!E21="Quarterly",IF(MOD((YEAR(EDATE(DATE(YEAR(TODAY()),MONTH(TODAY()),1),4))-YEAR(IF(ISNUMBER(Clients!F21),Clients!F21,DATE(YEAR(TODAY()),MONTH(TODAY()),1))))*12+MONTH(EDATE(DATE(YEAR(TODAY()),MONTH(TODAY()),1),4))-MONTH(IF(ISNUMBER(Clients!F21),Clients!F21,DATE(YEAR(TODAY()),MONTH(TODAY()),1))),3)=0,1,0),IF(Clients!E21="Semi-annual",IF(MOD((YEAR(EDATE(DATE(YEAR(TODAY()),MONTH(TODAY()),1),4))-YEAR(IF(ISNUMBER(Clients!F21),Clients!F21,DATE(YEAR(TODAY()),MONTH(TODAY()),1))))*12+MONTH(EDATE(DATE(YEAR(TODAY()),MONTH(TODAY()),1),4))-MONTH(IF(ISNUMBER(Clients!F21),Clients!F21,DATE(YEAR(TODAY()),MONTH(TODAY()),1))),6)=0,1,0),IF(Clients!E21="Annual",IF(MOD((YEAR(EDATE(DATE(YEAR(TODAY()),MONTH(TODAY()),1),4))-YEAR(IF(ISNUMBER(Clients!F21),Clients!F21,DATE(YEAR(TODAY()),MONTH(TODAY()),1))))*12+MONTH(EDATE(DATE(YEAR(TODAY()),MONTH(TODAY()),1),4))-MONTH(IF(ISNUMBER(Clients!F21),Clients!F21,DATE(YEAR(TODAY()),MONTH(TODAY()),1))),12)=0,1,0),IF(Clients!E21="One-time",IF(4=0,1,0),1)))))),"")</f>
        <v/>
      </c>
      <c r="K91" s="10" t="str">
        <f ca="1">IFERROR(IF(OR(5&gt;=$B$1,Clients!A21="",NOT(ISNUMBER(Clients!D21)),Clients!L21="Expired",Clients!L21="Terminate"),"",Clients!D21*1*IF(Clients!E21="Monthly",IF(AND(ISNUMBER(Clients!G21),(YEAR(EDATE(DATE(YEAR(TODAY()),MONTH(TODAY()),1),5))*12+MONTH(EDATE(DATE(YEAR(TODAY()),MONTH(TODAY()),1),5)))&gt;(YEAR(Clients!G21)*12+MONTH(Clients!G21))),"",1),IF(Clients!E21="Quarterly",IF(MOD((YEAR(EDATE(DATE(YEAR(TODAY()),MONTH(TODAY()),1),5))-YEAR(IF(ISNUMBER(Clients!F21),Clients!F21,DATE(YEAR(TODAY()),MONTH(TODAY()),1))))*12+MONTH(EDATE(DATE(YEAR(TODAY()),MONTH(TODAY()),1),5))-MONTH(IF(ISNUMBER(Clients!F21),Clients!F21,DATE(YEAR(TODAY()),MONTH(TODAY()),1))),3)=0,1,0),IF(Clients!E21="Semi-annual",IF(MOD((YEAR(EDATE(DATE(YEAR(TODAY()),MONTH(TODAY()),1),5))-YEAR(IF(ISNUMBER(Clients!F21),Clients!F21,DATE(YEAR(TODAY()),MONTH(TODAY()),1))))*12+MONTH(EDATE(DATE(YEAR(TODAY()),MONTH(TODAY()),1),5))-MONTH(IF(ISNUMBER(Clients!F21),Clients!F21,DATE(YEAR(TODAY()),MONTH(TODAY()),1))),6)=0,1,0),IF(Clients!E21="Annual",IF(MOD((YEAR(EDATE(DATE(YEAR(TODAY()),MONTH(TODAY()),1),5))-YEAR(IF(ISNUMBER(Clients!F21),Clients!F21,DATE(YEAR(TODAY()),MONTH(TODAY()),1))))*12+MONTH(EDATE(DATE(YEAR(TODAY()),MONTH(TODAY()),1),5))-MONTH(IF(ISNUMBER(Clients!F21),Clients!F21,DATE(YEAR(TODAY()),MONTH(TODAY()),1))),12)=0,1,0),IF(Clients!E21="One-time",IF(5=0,1,0),1)))))),"")</f>
        <v/>
      </c>
      <c r="L91" s="10" t="str">
        <f ca="1">IFERROR(IF(OR(6&gt;=$B$1,Clients!A21="",NOT(ISNUMBER(Clients!D21)),Clients!L21="Expired",Clients!L21="Terminate"),"",Clients!D21*1*IF(Clients!E21="Monthly",IF(AND(ISNUMBER(Clients!G21),(YEAR(EDATE(DATE(YEAR(TODAY()),MONTH(TODAY()),1),6))*12+MONTH(EDATE(DATE(YEAR(TODAY()),MONTH(TODAY()),1),6)))&gt;(YEAR(Clients!G21)*12+MONTH(Clients!G21))),"",1),IF(Clients!E21="Quarterly",IF(MOD((YEAR(EDATE(DATE(YEAR(TODAY()),MONTH(TODAY()),1),6))-YEAR(IF(ISNUMBER(Clients!F21),Clients!F21,DATE(YEAR(TODAY()),MONTH(TODAY()),1))))*12+MONTH(EDATE(DATE(YEAR(TODAY()),MONTH(TODAY()),1),6))-MONTH(IF(ISNUMBER(Clients!F21),Clients!F21,DATE(YEAR(TODAY()),MONTH(TODAY()),1))),3)=0,1,0),IF(Clients!E21="Semi-annual",IF(MOD((YEAR(EDATE(DATE(YEAR(TODAY()),MONTH(TODAY()),1),6))-YEAR(IF(ISNUMBER(Clients!F21),Clients!F21,DATE(YEAR(TODAY()),MONTH(TODAY()),1))))*12+MONTH(EDATE(DATE(YEAR(TODAY()),MONTH(TODAY()),1),6))-MONTH(IF(ISNUMBER(Clients!F21),Clients!F21,DATE(YEAR(TODAY()),MONTH(TODAY()),1))),6)=0,1,0),IF(Clients!E21="Annual",IF(MOD((YEAR(EDATE(DATE(YEAR(TODAY()),MONTH(TODAY()),1),6))-YEAR(IF(ISNUMBER(Clients!F21),Clients!F21,DATE(YEAR(TODAY()),MONTH(TODAY()),1))))*12+MONTH(EDATE(DATE(YEAR(TODAY()),MONTH(TODAY()),1),6))-MONTH(IF(ISNUMBER(Clients!F21),Clients!F21,DATE(YEAR(TODAY()),MONTH(TODAY()),1))),12)=0,1,0),IF(Clients!E21="One-time",IF(6=0,1,0),1)))))),"")</f>
        <v/>
      </c>
      <c r="M91" s="10" t="str">
        <f ca="1">IFERROR(IF(OR(7&gt;=$B$1,Clients!A21="",NOT(ISNUMBER(Clients!D21)),Clients!L21="Expired",Clients!L21="Terminate"),"",Clients!D21*1*IF(Clients!E21="Monthly",IF(AND(ISNUMBER(Clients!G21),(YEAR(EDATE(DATE(YEAR(TODAY()),MONTH(TODAY()),1),7))*12+MONTH(EDATE(DATE(YEAR(TODAY()),MONTH(TODAY()),1),7)))&gt;(YEAR(Clients!G21)*12+MONTH(Clients!G21))),"",1),IF(Clients!E21="Quarterly",IF(MOD((YEAR(EDATE(DATE(YEAR(TODAY()),MONTH(TODAY()),1),7))-YEAR(IF(ISNUMBER(Clients!F21),Clients!F21,DATE(YEAR(TODAY()),MONTH(TODAY()),1))))*12+MONTH(EDATE(DATE(YEAR(TODAY()),MONTH(TODAY()),1),7))-MONTH(IF(ISNUMBER(Clients!F21),Clients!F21,DATE(YEAR(TODAY()),MONTH(TODAY()),1))),3)=0,1,0),IF(Clients!E21="Semi-annual",IF(MOD((YEAR(EDATE(DATE(YEAR(TODAY()),MONTH(TODAY()),1),7))-YEAR(IF(ISNUMBER(Clients!F21),Clients!F21,DATE(YEAR(TODAY()),MONTH(TODAY()),1))))*12+MONTH(EDATE(DATE(YEAR(TODAY()),MONTH(TODAY()),1),7))-MONTH(IF(ISNUMBER(Clients!F21),Clients!F21,DATE(YEAR(TODAY()),MONTH(TODAY()),1))),6)=0,1,0),IF(Clients!E21="Annual",IF(MOD((YEAR(EDATE(DATE(YEAR(TODAY()),MONTH(TODAY()),1),7))-YEAR(IF(ISNUMBER(Clients!F21),Clients!F21,DATE(YEAR(TODAY()),MONTH(TODAY()),1))))*12+MONTH(EDATE(DATE(YEAR(TODAY()),MONTH(TODAY()),1),7))-MONTH(IF(ISNUMBER(Clients!F21),Clients!F21,DATE(YEAR(TODAY()),MONTH(TODAY()),1))),12)=0,1,0),IF(Clients!E21="One-time",IF(7=0,1,0),1)))))),"")</f>
        <v/>
      </c>
      <c r="N91" s="10" t="str">
        <f ca="1">IFERROR(IF(OR(8&gt;=$B$1,Clients!A21="",NOT(ISNUMBER(Clients!D21)),Clients!L21="Expired",Clients!L21="Terminate"),"",Clients!D21*1*IF(Clients!E21="Monthly",IF(AND(ISNUMBER(Clients!G21),(YEAR(EDATE(DATE(YEAR(TODAY()),MONTH(TODAY()),1),8))*12+MONTH(EDATE(DATE(YEAR(TODAY()),MONTH(TODAY()),1),8)))&gt;(YEAR(Clients!G21)*12+MONTH(Clients!G21))),"",1),IF(Clients!E21="Quarterly",IF(MOD((YEAR(EDATE(DATE(YEAR(TODAY()),MONTH(TODAY()),1),8))-YEAR(IF(ISNUMBER(Clients!F21),Clients!F21,DATE(YEAR(TODAY()),MONTH(TODAY()),1))))*12+MONTH(EDATE(DATE(YEAR(TODAY()),MONTH(TODAY()),1),8))-MONTH(IF(ISNUMBER(Clients!F21),Clients!F21,DATE(YEAR(TODAY()),MONTH(TODAY()),1))),3)=0,1,0),IF(Clients!E21="Semi-annual",IF(MOD((YEAR(EDATE(DATE(YEAR(TODAY()),MONTH(TODAY()),1),8))-YEAR(IF(ISNUMBER(Clients!F21),Clients!F21,DATE(YEAR(TODAY()),MONTH(TODAY()),1))))*12+MONTH(EDATE(DATE(YEAR(TODAY()),MONTH(TODAY()),1),8))-MONTH(IF(ISNUMBER(Clients!F21),Clients!F21,DATE(YEAR(TODAY()),MONTH(TODAY()),1))),6)=0,1,0),IF(Clients!E21="Annual",IF(MOD((YEAR(EDATE(DATE(YEAR(TODAY()),MONTH(TODAY()),1),8))-YEAR(IF(ISNUMBER(Clients!F21),Clients!F21,DATE(YEAR(TODAY()),MONTH(TODAY()),1))))*12+MONTH(EDATE(DATE(YEAR(TODAY()),MONTH(TODAY()),1),8))-MONTH(IF(ISNUMBER(Clients!F21),Clients!F21,DATE(YEAR(TODAY()),MONTH(TODAY()),1))),12)=0,1,0),IF(Clients!E21="One-time",IF(8=0,1,0),1)))))),"")</f>
        <v/>
      </c>
      <c r="O91" s="10" t="str">
        <f ca="1">IFERROR(IF(OR(9&gt;=$B$1,Clients!A21="",NOT(ISNUMBER(Clients!D21)),Clients!L21="Expired",Clients!L21="Terminate"),"",Clients!D21*1*IF(Clients!E21="Monthly",IF(AND(ISNUMBER(Clients!G21),(YEAR(EDATE(DATE(YEAR(TODAY()),MONTH(TODAY()),1),9))*12+MONTH(EDATE(DATE(YEAR(TODAY()),MONTH(TODAY()),1),9)))&gt;(YEAR(Clients!G21)*12+MONTH(Clients!G21))),"",1),IF(Clients!E21="Quarterly",IF(MOD((YEAR(EDATE(DATE(YEAR(TODAY()),MONTH(TODAY()),1),9))-YEAR(IF(ISNUMBER(Clients!F21),Clients!F21,DATE(YEAR(TODAY()),MONTH(TODAY()),1))))*12+MONTH(EDATE(DATE(YEAR(TODAY()),MONTH(TODAY()),1),9))-MONTH(IF(ISNUMBER(Clients!F21),Clients!F21,DATE(YEAR(TODAY()),MONTH(TODAY()),1))),3)=0,1,0),IF(Clients!E21="Semi-annual",IF(MOD((YEAR(EDATE(DATE(YEAR(TODAY()),MONTH(TODAY()),1),9))-YEAR(IF(ISNUMBER(Clients!F21),Clients!F21,DATE(YEAR(TODAY()),MONTH(TODAY()),1))))*12+MONTH(EDATE(DATE(YEAR(TODAY()),MONTH(TODAY()),1),9))-MONTH(IF(ISNUMBER(Clients!F21),Clients!F21,DATE(YEAR(TODAY()),MONTH(TODAY()),1))),6)=0,1,0),IF(Clients!E21="Annual",IF(MOD((YEAR(EDATE(DATE(YEAR(TODAY()),MONTH(TODAY()),1),9))-YEAR(IF(ISNUMBER(Clients!F21),Clients!F21,DATE(YEAR(TODAY()),MONTH(TODAY()),1))))*12+MONTH(EDATE(DATE(YEAR(TODAY()),MONTH(TODAY()),1),9))-MONTH(IF(ISNUMBER(Clients!F21),Clients!F21,DATE(YEAR(TODAY()),MONTH(TODAY()),1))),12)=0,1,0),IF(Clients!E21="One-time",IF(9=0,1,0),1)))))),"")</f>
        <v/>
      </c>
      <c r="P91" s="10" t="str">
        <f ca="1">IFERROR(IF(OR(10&gt;=$B$1,Clients!A21="",NOT(ISNUMBER(Clients!D21)),Clients!L21="Expired",Clients!L21="Terminate"),"",Clients!D21*1*IF(Clients!E21="Monthly",IF(AND(ISNUMBER(Clients!G21),(YEAR(EDATE(DATE(YEAR(TODAY()),MONTH(TODAY()),1),10))*12+MONTH(EDATE(DATE(YEAR(TODAY()),MONTH(TODAY()),1),10)))&gt;(YEAR(Clients!G21)*12+MONTH(Clients!G21))),"",1),IF(Clients!E21="Quarterly",IF(MOD((YEAR(EDATE(DATE(YEAR(TODAY()),MONTH(TODAY()),1),10))-YEAR(IF(ISNUMBER(Clients!F21),Clients!F21,DATE(YEAR(TODAY()),MONTH(TODAY()),1))))*12+MONTH(EDATE(DATE(YEAR(TODAY()),MONTH(TODAY()),1),10))-MONTH(IF(ISNUMBER(Clients!F21),Clients!F21,DATE(YEAR(TODAY()),MONTH(TODAY()),1))),3)=0,1,0),IF(Clients!E21="Semi-annual",IF(MOD((YEAR(EDATE(DATE(YEAR(TODAY()),MONTH(TODAY()),1),10))-YEAR(IF(ISNUMBER(Clients!F21),Clients!F21,DATE(YEAR(TODAY()),MONTH(TODAY()),1))))*12+MONTH(EDATE(DATE(YEAR(TODAY()),MONTH(TODAY()),1),10))-MONTH(IF(ISNUMBER(Clients!F21),Clients!F21,DATE(YEAR(TODAY()),MONTH(TODAY()),1))),6)=0,1,0),IF(Clients!E21="Annual",IF(MOD((YEAR(EDATE(DATE(YEAR(TODAY()),MONTH(TODAY()),1),10))-YEAR(IF(ISNUMBER(Clients!F21),Clients!F21,DATE(YEAR(TODAY()),MONTH(TODAY()),1))))*12+MONTH(EDATE(DATE(YEAR(TODAY()),MONTH(TODAY()),1),10))-MONTH(IF(ISNUMBER(Clients!F21),Clients!F21,DATE(YEAR(TODAY()),MONTH(TODAY()),1))),12)=0,1,0),IF(Clients!E21="One-time",IF(10=0,1,0),1)))))),"")</f>
        <v/>
      </c>
      <c r="Q91" s="10" t="str">
        <f ca="1">IFERROR(IF(OR(11&gt;=$B$1,Clients!A21="",NOT(ISNUMBER(Clients!D21)),Clients!L21="Expired",Clients!L21="Terminate"),"",Clients!D21*1*IF(Clients!E21="Monthly",IF(AND(ISNUMBER(Clients!G21),(YEAR(EDATE(DATE(YEAR(TODAY()),MONTH(TODAY()),1),11))*12+MONTH(EDATE(DATE(YEAR(TODAY()),MONTH(TODAY()),1),11)))&gt;(YEAR(Clients!G21)*12+MONTH(Clients!G21))),"",1),IF(Clients!E21="Quarterly",IF(MOD((YEAR(EDATE(DATE(YEAR(TODAY()),MONTH(TODAY()),1),11))-YEAR(IF(ISNUMBER(Clients!F21),Clients!F21,DATE(YEAR(TODAY()),MONTH(TODAY()),1))))*12+MONTH(EDATE(DATE(YEAR(TODAY()),MONTH(TODAY()),1),11))-MONTH(IF(ISNUMBER(Clients!F21),Clients!F21,DATE(YEAR(TODAY()),MONTH(TODAY()),1))),3)=0,1,0),IF(Clients!E21="Semi-annual",IF(MOD((YEAR(EDATE(DATE(YEAR(TODAY()),MONTH(TODAY()),1),11))-YEAR(IF(ISNUMBER(Clients!F21),Clients!F21,DATE(YEAR(TODAY()),MONTH(TODAY()),1))))*12+MONTH(EDATE(DATE(YEAR(TODAY()),MONTH(TODAY()),1),11))-MONTH(IF(ISNUMBER(Clients!F21),Clients!F21,DATE(YEAR(TODAY()),MONTH(TODAY()),1))),6)=0,1,0),IF(Clients!E21="Annual",IF(MOD((YEAR(EDATE(DATE(YEAR(TODAY()),MONTH(TODAY()),1),11))-YEAR(IF(ISNUMBER(Clients!F21),Clients!F21,DATE(YEAR(TODAY()),MONTH(TODAY()),1))))*12+MONTH(EDATE(DATE(YEAR(TODAY()),MONTH(TODAY()),1),11))-MONTH(IF(ISNUMBER(Clients!F21),Clients!F21,DATE(YEAR(TODAY()),MONTH(TODAY()),1))),12)=0,1,0),IF(Clients!E21="One-time",IF(11=0,1,0),1)))))),"")</f>
        <v/>
      </c>
      <c r="R91" s="10" t="str">
        <f ca="1">IFERROR(IF(OR(12&gt;=$B$1,Clients!A21="",NOT(ISNUMBER(Clients!D21))),"",IF(OR(Clients!L21="Expired",Clients!L21="Terminate"),"",Clients!D21*1*IF(Clients!E21="Monthly",1,IF(Clients!E21="Quarterly",IF(MOD(DATEDIF(IF(ISNUMBER(Clients!F21),Clients!F21,DATE(YEAR(TODAY()),MONTH(TODAY()),1)),EDATE(DATE(YEAR(TODAY()),MONTH(TODAY()),1),12),"M"),3)=0,1,0),IF(Clients!E21="Semi-annual",IF(MOD(DATEDIF(IF(ISNUMBER(Clients!F21),Clients!F21,DATE(YEAR(TODAY()),MONTH(TODAY()),1)),EDATE(DATE(YEAR(TODAY()),MONTH(TODAY()),1),12),"M"),6)=0,1,0),IF(Clients!E21="Annual",IF(MOD(DATEDIF(IF(ISNUMBER(Clients!F21),Clients!F21,DATE(YEAR(TODAY()),MONTH(TODAY()),1)),EDATE(DATE(YEAR(TODAY()),MONTH(TODAY()),1),12),"M"),12)=0,1,0),IF(Clients!E21="One-time",IF(12=0,1,0),1))))))),"")</f>
        <v/>
      </c>
      <c r="S91" s="10" t="str">
        <f ca="1">IFERROR(IF(OR(13&gt;=$B$1,Clients!A21="",NOT(ISNUMBER(Clients!D21))),"",IF(OR(Clients!L21="Expired",Clients!L21="Terminate"),"",Clients!D21*1*IF(Clients!E21="Monthly",1,IF(Clients!E21="Quarterly",IF(MOD(DATEDIF(IF(ISNUMBER(Clients!F21),Clients!F21,DATE(YEAR(TODAY()),MONTH(TODAY()),1)),EDATE(DATE(YEAR(TODAY()),MONTH(TODAY()),1),13),"M"),3)=0,1,0),IF(Clients!E21="Semi-annual",IF(MOD(DATEDIF(IF(ISNUMBER(Clients!F21),Clients!F21,DATE(YEAR(TODAY()),MONTH(TODAY()),1)),EDATE(DATE(YEAR(TODAY()),MONTH(TODAY()),1),13),"M"),6)=0,1,0),IF(Clients!E21="Annual",IF(MOD(DATEDIF(IF(ISNUMBER(Clients!F21),Clients!F21,DATE(YEAR(TODAY()),MONTH(TODAY()),1)),EDATE(DATE(YEAR(TODAY()),MONTH(TODAY()),1),13),"M"),12)=0,1,0),IF(Clients!E21="One-time",IF(13=0,1,0),1))))))),"")</f>
        <v/>
      </c>
      <c r="T91" s="10" t="str">
        <f ca="1">IFERROR(IF(OR(14&gt;=$B$1,Clients!A21="",NOT(ISNUMBER(Clients!D21))),"",IF(OR(Clients!L21="Expired",Clients!L21="Terminate"),"",Clients!D21*1*IF(Clients!E21="Monthly",1,IF(Clients!E21="Quarterly",IF(MOD(DATEDIF(IF(ISNUMBER(Clients!F21),Clients!F21,DATE(YEAR(TODAY()),MONTH(TODAY()),1)),EDATE(DATE(YEAR(TODAY()),MONTH(TODAY()),1),14),"M"),3)=0,1,0),IF(Clients!E21="Semi-annual",IF(MOD(DATEDIF(IF(ISNUMBER(Clients!F21),Clients!F21,DATE(YEAR(TODAY()),MONTH(TODAY()),1)),EDATE(DATE(YEAR(TODAY()),MONTH(TODAY()),1),14),"M"),6)=0,1,0),IF(Clients!E21="Annual",IF(MOD(DATEDIF(IF(ISNUMBER(Clients!F21),Clients!F21,DATE(YEAR(TODAY()),MONTH(TODAY()),1)),EDATE(DATE(YEAR(TODAY()),MONTH(TODAY()),1),14),"M"),12)=0,1,0),IF(Clients!E21="One-time",IF(14=0,1,0),1))))))),"")</f>
        <v/>
      </c>
      <c r="U91" s="10" t="str">
        <f ca="1">IFERROR(IF(OR(15&gt;=$B$1,Clients!A21="",NOT(ISNUMBER(Clients!D21))),"",IF(OR(Clients!L21="Expired",Clients!L21="Terminate"),"",Clients!D21*1*IF(Clients!E21="Monthly",1,IF(Clients!E21="Quarterly",IF(MOD(DATEDIF(IF(ISNUMBER(Clients!F21),Clients!F21,DATE(YEAR(TODAY()),MONTH(TODAY()),1)),EDATE(DATE(YEAR(TODAY()),MONTH(TODAY()),1),15),"M"),3)=0,1,0),IF(Clients!E21="Semi-annual",IF(MOD(DATEDIF(IF(ISNUMBER(Clients!F21),Clients!F21,DATE(YEAR(TODAY()),MONTH(TODAY()),1)),EDATE(DATE(YEAR(TODAY()),MONTH(TODAY()),1),15),"M"),6)=0,1,0),IF(Clients!E21="Annual",IF(MOD(DATEDIF(IF(ISNUMBER(Clients!F21),Clients!F21,DATE(YEAR(TODAY()),MONTH(TODAY()),1)),EDATE(DATE(YEAR(TODAY()),MONTH(TODAY()),1),15),"M"),12)=0,1,0),IF(Clients!E21="One-time",IF(15=0,1,0),1))))))),"")</f>
        <v/>
      </c>
      <c r="V91" s="10" t="str">
        <f ca="1">IFERROR(IF(OR(16&gt;=$B$1,Clients!A21="",NOT(ISNUMBER(Clients!D21))),"",IF(OR(Clients!L21="Expired",Clients!L21="Terminate"),"",Clients!D21*1*IF(Clients!E21="Monthly",1,IF(Clients!E21="Quarterly",IF(MOD(DATEDIF(IF(ISNUMBER(Clients!F21),Clients!F21,DATE(YEAR(TODAY()),MONTH(TODAY()),1)),EDATE(DATE(YEAR(TODAY()),MONTH(TODAY()),1),16),"M"),3)=0,1,0),IF(Clients!E21="Semi-annual",IF(MOD(DATEDIF(IF(ISNUMBER(Clients!F21),Clients!F21,DATE(YEAR(TODAY()),MONTH(TODAY()),1)),EDATE(DATE(YEAR(TODAY()),MONTH(TODAY()),1),16),"M"),6)=0,1,0),IF(Clients!E21="Annual",IF(MOD(DATEDIF(IF(ISNUMBER(Clients!F21),Clients!F21,DATE(YEAR(TODAY()),MONTH(TODAY()),1)),EDATE(DATE(YEAR(TODAY()),MONTH(TODAY()),1),16),"M"),12)=0,1,0),IF(Clients!E21="One-time",IF(16=0,1,0),1))))))),"")</f>
        <v/>
      </c>
      <c r="W91" s="10" t="str">
        <f ca="1">IFERROR(IF(OR(17&gt;=$B$1,Clients!A21="",NOT(ISNUMBER(Clients!D21))),"",IF(OR(Clients!L21="Expired",Clients!L21="Terminate"),"",Clients!D21*1*IF(Clients!E21="Monthly",1,IF(Clients!E21="Quarterly",IF(MOD(DATEDIF(IF(ISNUMBER(Clients!F21),Clients!F21,DATE(YEAR(TODAY()),MONTH(TODAY()),1)),EDATE(DATE(YEAR(TODAY()),MONTH(TODAY()),1),17),"M"),3)=0,1,0),IF(Clients!E21="Semi-annual",IF(MOD(DATEDIF(IF(ISNUMBER(Clients!F21),Clients!F21,DATE(YEAR(TODAY()),MONTH(TODAY()),1)),EDATE(DATE(YEAR(TODAY()),MONTH(TODAY()),1),17),"M"),6)=0,1,0),IF(Clients!E21="Annual",IF(MOD(DATEDIF(IF(ISNUMBER(Clients!F21),Clients!F21,DATE(YEAR(TODAY()),MONTH(TODAY()),1)),EDATE(DATE(YEAR(TODAY()),MONTH(TODAY()),1),17),"M"),12)=0,1,0),IF(Clients!E21="One-time",IF(17=0,1,0),1))))))),"")</f>
        <v/>
      </c>
      <c r="X91" s="10" t="str">
        <f ca="1">IFERROR(IF(OR(18&gt;=$B$1,Clients!A21="",NOT(ISNUMBER(Clients!D21))),"",IF(OR(Clients!L21="Expired",Clients!L21="Terminate"),"",Clients!D21*1*IF(Clients!E21="Monthly",1,IF(Clients!E21="Quarterly",IF(MOD(DATEDIF(IF(ISNUMBER(Clients!F21),Clients!F21,DATE(YEAR(TODAY()),MONTH(TODAY()),1)),EDATE(DATE(YEAR(TODAY()),MONTH(TODAY()),1),18),"M"),3)=0,1,0),IF(Clients!E21="Semi-annual",IF(MOD(DATEDIF(IF(ISNUMBER(Clients!F21),Clients!F21,DATE(YEAR(TODAY()),MONTH(TODAY()),1)),EDATE(DATE(YEAR(TODAY()),MONTH(TODAY()),1),18),"M"),6)=0,1,0),IF(Clients!E21="Annual",IF(MOD(DATEDIF(IF(ISNUMBER(Clients!F21),Clients!F21,DATE(YEAR(TODAY()),MONTH(TODAY()),1)),EDATE(DATE(YEAR(TODAY()),MONTH(TODAY()),1),18),"M"),12)=0,1,0),IF(Clients!E21="One-time",IF(18=0,1,0),1))))))),"")</f>
        <v/>
      </c>
      <c r="Y91" s="10" t="str">
        <f ca="1">IFERROR(IF(OR(19&gt;=$B$1,Clients!A21="",NOT(ISNUMBER(Clients!D21))),"",IF(OR(Clients!L21="Expired",Clients!L21="Terminate"),"",Clients!D21*1*IF(Clients!E21="Monthly",1,IF(Clients!E21="Quarterly",IF(MOD(DATEDIF(IF(ISNUMBER(Clients!F21),Clients!F21,DATE(YEAR(TODAY()),MONTH(TODAY()),1)),EDATE(DATE(YEAR(TODAY()),MONTH(TODAY()),1),19),"M"),3)=0,1,0),IF(Clients!E21="Semi-annual",IF(MOD(DATEDIF(IF(ISNUMBER(Clients!F21),Clients!F21,DATE(YEAR(TODAY()),MONTH(TODAY()),1)),EDATE(DATE(YEAR(TODAY()),MONTH(TODAY()),1),19),"M"),6)=0,1,0),IF(Clients!E21="Annual",IF(MOD(DATEDIF(IF(ISNUMBER(Clients!F21),Clients!F21,DATE(YEAR(TODAY()),MONTH(TODAY()),1)),EDATE(DATE(YEAR(TODAY()),MONTH(TODAY()),1),19),"M"),12)=0,1,0),IF(Clients!E21="One-time",IF(19=0,1,0),1))))))),"")</f>
        <v/>
      </c>
      <c r="Z91" s="10" t="str">
        <f ca="1">IFERROR(IF(OR(20&gt;=$B$1,Clients!A21="",NOT(ISNUMBER(Clients!D21))),"",IF(OR(Clients!L21="Expired",Clients!L21="Terminate"),"",Clients!D21*1*IF(Clients!E21="Monthly",1,IF(Clients!E21="Quarterly",IF(MOD(DATEDIF(IF(ISNUMBER(Clients!F21),Clients!F21,DATE(YEAR(TODAY()),MONTH(TODAY()),1)),EDATE(DATE(YEAR(TODAY()),MONTH(TODAY()),1),20),"M"),3)=0,1,0),IF(Clients!E21="Semi-annual",IF(MOD(DATEDIF(IF(ISNUMBER(Clients!F21),Clients!F21,DATE(YEAR(TODAY()),MONTH(TODAY()),1)),EDATE(DATE(YEAR(TODAY()),MONTH(TODAY()),1),20),"M"),6)=0,1,0),IF(Clients!E21="Annual",IF(MOD(DATEDIF(IF(ISNUMBER(Clients!F21),Clients!F21,DATE(YEAR(TODAY()),MONTH(TODAY()),1)),EDATE(DATE(YEAR(TODAY()),MONTH(TODAY()),1),20),"M"),12)=0,1,0),IF(Clients!E21="One-time",IF(20=0,1,0),1))))))),"")</f>
        <v/>
      </c>
      <c r="AA91" s="10" t="str">
        <f ca="1">IFERROR(IF(OR(21&gt;=$B$1,Clients!A21="",NOT(ISNUMBER(Clients!D21))),"",IF(OR(Clients!L21="Expired",Clients!L21="Terminate"),"",Clients!D21*1*IF(Clients!E21="Monthly",1,IF(Clients!E21="Quarterly",IF(MOD(DATEDIF(IF(ISNUMBER(Clients!F21),Clients!F21,DATE(YEAR(TODAY()),MONTH(TODAY()),1)),EDATE(DATE(YEAR(TODAY()),MONTH(TODAY()),1),21),"M"),3)=0,1,0),IF(Clients!E21="Semi-annual",IF(MOD(DATEDIF(IF(ISNUMBER(Clients!F21),Clients!F21,DATE(YEAR(TODAY()),MONTH(TODAY()),1)),EDATE(DATE(YEAR(TODAY()),MONTH(TODAY()),1),21),"M"),6)=0,1,0),IF(Clients!E21="Annual",IF(MOD(DATEDIF(IF(ISNUMBER(Clients!F21),Clients!F21,DATE(YEAR(TODAY()),MONTH(TODAY()),1)),EDATE(DATE(YEAR(TODAY()),MONTH(TODAY()),1),21),"M"),12)=0,1,0),IF(Clients!E21="One-time",IF(21=0,1,0),1))))))),"")</f>
        <v/>
      </c>
      <c r="AB91" s="10" t="str">
        <f ca="1">IFERROR(IF(OR(22&gt;=$B$1,Clients!A21="",NOT(ISNUMBER(Clients!D21))),"",IF(OR(Clients!L21="Expired",Clients!L21="Terminate"),"",Clients!D21*1*IF(Clients!E21="Monthly",1,IF(Clients!E21="Quarterly",IF(MOD(DATEDIF(IF(ISNUMBER(Clients!F21),Clients!F21,DATE(YEAR(TODAY()),MONTH(TODAY()),1)),EDATE(DATE(YEAR(TODAY()),MONTH(TODAY()),1),22),"M"),3)=0,1,0),IF(Clients!E21="Semi-annual",IF(MOD(DATEDIF(IF(ISNUMBER(Clients!F21),Clients!F21,DATE(YEAR(TODAY()),MONTH(TODAY()),1)),EDATE(DATE(YEAR(TODAY()),MONTH(TODAY()),1),22),"M"),6)=0,1,0),IF(Clients!E21="Annual",IF(MOD(DATEDIF(IF(ISNUMBER(Clients!F21),Clients!F21,DATE(YEAR(TODAY()),MONTH(TODAY()),1)),EDATE(DATE(YEAR(TODAY()),MONTH(TODAY()),1),22),"M"),12)=0,1,0),IF(Clients!E21="One-time",IF(22=0,1,0),1))))))),"")</f>
        <v/>
      </c>
      <c r="AC91" s="10" t="str">
        <f ca="1">IFERROR(IF(OR(23&gt;=$B$1,Clients!A21="",NOT(ISNUMBER(Clients!D21))),"",IF(OR(Clients!L21="Expired",Clients!L21="Terminate"),"",Clients!D21*1*IF(Clients!E21="Monthly",1,IF(Clients!E21="Quarterly",IF(MOD(DATEDIF(IF(ISNUMBER(Clients!F21),Clients!F21,DATE(YEAR(TODAY()),MONTH(TODAY()),1)),EDATE(DATE(YEAR(TODAY()),MONTH(TODAY()),1),23),"M"),3)=0,1,0),IF(Clients!E21="Semi-annual",IF(MOD(DATEDIF(IF(ISNUMBER(Clients!F21),Clients!F21,DATE(YEAR(TODAY()),MONTH(TODAY()),1)),EDATE(DATE(YEAR(TODAY()),MONTH(TODAY()),1),23),"M"),6)=0,1,0),IF(Clients!E21="Annual",IF(MOD(DATEDIF(IF(ISNUMBER(Clients!F21),Clients!F21,DATE(YEAR(TODAY()),MONTH(TODAY()),1)),EDATE(DATE(YEAR(TODAY()),MONTH(TODAY()),1),23),"M"),12)=0,1,0),IF(Clients!E21="One-time",IF(23=0,1,0),1))))))),"")</f>
        <v/>
      </c>
    </row>
    <row r="92" spans="1:29" ht="15" customHeight="1" x14ac:dyDescent="0.35">
      <c r="A92" s="4" t="s">
        <v>81</v>
      </c>
      <c r="B92" s="4" t="str">
        <f>IF(Clients!A22="","",Clients!A22)</f>
        <v/>
      </c>
      <c r="C92" s="10" t="str">
        <f>IF(Clients!C22="","",Clients!C22)</f>
        <v/>
      </c>
      <c r="D92" s="10" t="str">
        <f>IF(Clients!D22="","",Clients!D22)</f>
        <v/>
      </c>
      <c r="E92" s="4" t="str">
        <f>IF(Clients!E22="","",Clients!E22)</f>
        <v/>
      </c>
      <c r="F92" s="10" t="str">
        <f ca="1">IFERROR(IF(OR(0&gt;=$B$1,Clients!A22="",NOT(ISNUMBER(Clients!D22)),Clients!L22="Expired",Clients!L22="Terminate"),"",Clients!D22*1*IF(Clients!E22="Monthly",IF(AND(ISNUMBER(Clients!G22),(YEAR(EDATE(DATE(YEAR(TODAY()),MONTH(TODAY()),1),0))*12+MONTH(EDATE(DATE(YEAR(TODAY()),MONTH(TODAY()),1),0)))&gt;(YEAR(Clients!G22)*12+MONTH(Clients!G22))),"",1),IF(Clients!E22="Quarterly",IF(MOD((YEAR(EDATE(DATE(YEAR(TODAY()),MONTH(TODAY()),1),0))-YEAR(IF(ISNUMBER(Clients!F22),Clients!F22,DATE(YEAR(TODAY()),MONTH(TODAY()),1))))*12+MONTH(EDATE(DATE(YEAR(TODAY()),MONTH(TODAY()),1),0))-MONTH(IF(ISNUMBER(Clients!F22),Clients!F22,DATE(YEAR(TODAY()),MONTH(TODAY()),1))),3)=0,1,0),IF(Clients!E22="Semi-annual",IF(MOD((YEAR(EDATE(DATE(YEAR(TODAY()),MONTH(TODAY()),1),0))-YEAR(IF(ISNUMBER(Clients!F22),Clients!F22,DATE(YEAR(TODAY()),MONTH(TODAY()),1))))*12+MONTH(EDATE(DATE(YEAR(TODAY()),MONTH(TODAY()),1),0))-MONTH(IF(ISNUMBER(Clients!F22),Clients!F22,DATE(YEAR(TODAY()),MONTH(TODAY()),1))),6)=0,1,0),IF(Clients!E22="Annual",IF(MOD((YEAR(EDATE(DATE(YEAR(TODAY()),MONTH(TODAY()),1),0))-YEAR(IF(ISNUMBER(Clients!F22),Clients!F22,DATE(YEAR(TODAY()),MONTH(TODAY()),1))))*12+MONTH(EDATE(DATE(YEAR(TODAY()),MONTH(TODAY()),1),0))-MONTH(IF(ISNUMBER(Clients!F22),Clients!F22,DATE(YEAR(TODAY()),MONTH(TODAY()),1))),12)=0,1,0),IF(Clients!E22="One-time",IF(0=0,1,0),1)))))),"")</f>
        <v/>
      </c>
      <c r="G92" s="10" t="str">
        <f ca="1">IFERROR(IF(OR(1&gt;=$B$1,Clients!A22="",NOT(ISNUMBER(Clients!D22)),Clients!L22="Expired",Clients!L22="Terminate"),"",Clients!D22*1*IF(Clients!E22="Monthly",IF(AND(ISNUMBER(Clients!G22),(YEAR(EDATE(DATE(YEAR(TODAY()),MONTH(TODAY()),1),1))*12+MONTH(EDATE(DATE(YEAR(TODAY()),MONTH(TODAY()),1),1)))&gt;(YEAR(Clients!G22)*12+MONTH(Clients!G22))),"",1),IF(Clients!E22="Quarterly",IF(MOD((YEAR(EDATE(DATE(YEAR(TODAY()),MONTH(TODAY()),1),1))-YEAR(IF(ISNUMBER(Clients!F22),Clients!F22,DATE(YEAR(TODAY()),MONTH(TODAY()),1))))*12+MONTH(EDATE(DATE(YEAR(TODAY()),MONTH(TODAY()),1),1))-MONTH(IF(ISNUMBER(Clients!F22),Clients!F22,DATE(YEAR(TODAY()),MONTH(TODAY()),1))),3)=0,1,0),IF(Clients!E22="Semi-annual",IF(MOD((YEAR(EDATE(DATE(YEAR(TODAY()),MONTH(TODAY()),1),1))-YEAR(IF(ISNUMBER(Clients!F22),Clients!F22,DATE(YEAR(TODAY()),MONTH(TODAY()),1))))*12+MONTH(EDATE(DATE(YEAR(TODAY()),MONTH(TODAY()),1),1))-MONTH(IF(ISNUMBER(Clients!F22),Clients!F22,DATE(YEAR(TODAY()),MONTH(TODAY()),1))),6)=0,1,0),IF(Clients!E22="Annual",IF(MOD((YEAR(EDATE(DATE(YEAR(TODAY()),MONTH(TODAY()),1),1))-YEAR(IF(ISNUMBER(Clients!F22),Clients!F22,DATE(YEAR(TODAY()),MONTH(TODAY()),1))))*12+MONTH(EDATE(DATE(YEAR(TODAY()),MONTH(TODAY()),1),1))-MONTH(IF(ISNUMBER(Clients!F22),Clients!F22,DATE(YEAR(TODAY()),MONTH(TODAY()),1))),12)=0,1,0),IF(Clients!E22="One-time",IF(1=0,1,0),1)))))),"")</f>
        <v/>
      </c>
      <c r="H92" s="10" t="str">
        <f ca="1">IFERROR(IF(OR(2&gt;=$B$1,Clients!A22="",NOT(ISNUMBER(Clients!D22)),Clients!L22="Expired",Clients!L22="Terminate"),"",Clients!D22*1*IF(Clients!E22="Monthly",IF(AND(ISNUMBER(Clients!G22),(YEAR(EDATE(DATE(YEAR(TODAY()),MONTH(TODAY()),1),2))*12+MONTH(EDATE(DATE(YEAR(TODAY()),MONTH(TODAY()),1),2)))&gt;(YEAR(Clients!G22)*12+MONTH(Clients!G22))),"",1),IF(Clients!E22="Quarterly",IF(MOD((YEAR(EDATE(DATE(YEAR(TODAY()),MONTH(TODAY()),1),2))-YEAR(IF(ISNUMBER(Clients!F22),Clients!F22,DATE(YEAR(TODAY()),MONTH(TODAY()),1))))*12+MONTH(EDATE(DATE(YEAR(TODAY()),MONTH(TODAY()),1),2))-MONTH(IF(ISNUMBER(Clients!F22),Clients!F22,DATE(YEAR(TODAY()),MONTH(TODAY()),1))),3)=0,1,0),IF(Clients!E22="Semi-annual",IF(MOD((YEAR(EDATE(DATE(YEAR(TODAY()),MONTH(TODAY()),1),2))-YEAR(IF(ISNUMBER(Clients!F22),Clients!F22,DATE(YEAR(TODAY()),MONTH(TODAY()),1))))*12+MONTH(EDATE(DATE(YEAR(TODAY()),MONTH(TODAY()),1),2))-MONTH(IF(ISNUMBER(Clients!F22),Clients!F22,DATE(YEAR(TODAY()),MONTH(TODAY()),1))),6)=0,1,0),IF(Clients!E22="Annual",IF(MOD((YEAR(EDATE(DATE(YEAR(TODAY()),MONTH(TODAY()),1),2))-YEAR(IF(ISNUMBER(Clients!F22),Clients!F22,DATE(YEAR(TODAY()),MONTH(TODAY()),1))))*12+MONTH(EDATE(DATE(YEAR(TODAY()),MONTH(TODAY()),1),2))-MONTH(IF(ISNUMBER(Clients!F22),Clients!F22,DATE(YEAR(TODAY()),MONTH(TODAY()),1))),12)=0,1,0),IF(Clients!E22="One-time",IF(2=0,1,0),1)))))),"")</f>
        <v/>
      </c>
      <c r="I92" s="10" t="str">
        <f ca="1">IFERROR(IF(OR(3&gt;=$B$1,Clients!A22="",NOT(ISNUMBER(Clients!D22)),Clients!L22="Expired",Clients!L22="Terminate"),"",Clients!D22*1*IF(Clients!E22="Monthly",IF(AND(ISNUMBER(Clients!G22),(YEAR(EDATE(DATE(YEAR(TODAY()),MONTH(TODAY()),1),3))*12+MONTH(EDATE(DATE(YEAR(TODAY()),MONTH(TODAY()),1),3)))&gt;(YEAR(Clients!G22)*12+MONTH(Clients!G22))),"",1),IF(Clients!E22="Quarterly",IF(MOD((YEAR(EDATE(DATE(YEAR(TODAY()),MONTH(TODAY()),1),3))-YEAR(IF(ISNUMBER(Clients!F22),Clients!F22,DATE(YEAR(TODAY()),MONTH(TODAY()),1))))*12+MONTH(EDATE(DATE(YEAR(TODAY()),MONTH(TODAY()),1),3))-MONTH(IF(ISNUMBER(Clients!F22),Clients!F22,DATE(YEAR(TODAY()),MONTH(TODAY()),1))),3)=0,1,0),IF(Clients!E22="Semi-annual",IF(MOD((YEAR(EDATE(DATE(YEAR(TODAY()),MONTH(TODAY()),1),3))-YEAR(IF(ISNUMBER(Clients!F22),Clients!F22,DATE(YEAR(TODAY()),MONTH(TODAY()),1))))*12+MONTH(EDATE(DATE(YEAR(TODAY()),MONTH(TODAY()),1),3))-MONTH(IF(ISNUMBER(Clients!F22),Clients!F22,DATE(YEAR(TODAY()),MONTH(TODAY()),1))),6)=0,1,0),IF(Clients!E22="Annual",IF(MOD((YEAR(EDATE(DATE(YEAR(TODAY()),MONTH(TODAY()),1),3))-YEAR(IF(ISNUMBER(Clients!F22),Clients!F22,DATE(YEAR(TODAY()),MONTH(TODAY()),1))))*12+MONTH(EDATE(DATE(YEAR(TODAY()),MONTH(TODAY()),1),3))-MONTH(IF(ISNUMBER(Clients!F22),Clients!F22,DATE(YEAR(TODAY()),MONTH(TODAY()),1))),12)=0,1,0),IF(Clients!E22="One-time",IF(3=0,1,0),1)))))),"")</f>
        <v/>
      </c>
      <c r="J92" s="10" t="str">
        <f ca="1">IFERROR(IF(OR(4&gt;=$B$1,Clients!A22="",NOT(ISNUMBER(Clients!D22)),Clients!L22="Expired",Clients!L22="Terminate"),"",Clients!D22*1*IF(Clients!E22="Monthly",IF(AND(ISNUMBER(Clients!G22),(YEAR(EDATE(DATE(YEAR(TODAY()),MONTH(TODAY()),1),4))*12+MONTH(EDATE(DATE(YEAR(TODAY()),MONTH(TODAY()),1),4)))&gt;(YEAR(Clients!G22)*12+MONTH(Clients!G22))),"",1),IF(Clients!E22="Quarterly",IF(MOD((YEAR(EDATE(DATE(YEAR(TODAY()),MONTH(TODAY()),1),4))-YEAR(IF(ISNUMBER(Clients!F22),Clients!F22,DATE(YEAR(TODAY()),MONTH(TODAY()),1))))*12+MONTH(EDATE(DATE(YEAR(TODAY()),MONTH(TODAY()),1),4))-MONTH(IF(ISNUMBER(Clients!F22),Clients!F22,DATE(YEAR(TODAY()),MONTH(TODAY()),1))),3)=0,1,0),IF(Clients!E22="Semi-annual",IF(MOD((YEAR(EDATE(DATE(YEAR(TODAY()),MONTH(TODAY()),1),4))-YEAR(IF(ISNUMBER(Clients!F22),Clients!F22,DATE(YEAR(TODAY()),MONTH(TODAY()),1))))*12+MONTH(EDATE(DATE(YEAR(TODAY()),MONTH(TODAY()),1),4))-MONTH(IF(ISNUMBER(Clients!F22),Clients!F22,DATE(YEAR(TODAY()),MONTH(TODAY()),1))),6)=0,1,0),IF(Clients!E22="Annual",IF(MOD((YEAR(EDATE(DATE(YEAR(TODAY()),MONTH(TODAY()),1),4))-YEAR(IF(ISNUMBER(Clients!F22),Clients!F22,DATE(YEAR(TODAY()),MONTH(TODAY()),1))))*12+MONTH(EDATE(DATE(YEAR(TODAY()),MONTH(TODAY()),1),4))-MONTH(IF(ISNUMBER(Clients!F22),Clients!F22,DATE(YEAR(TODAY()),MONTH(TODAY()),1))),12)=0,1,0),IF(Clients!E22="One-time",IF(4=0,1,0),1)))))),"")</f>
        <v/>
      </c>
      <c r="K92" s="10" t="str">
        <f ca="1">IFERROR(IF(OR(5&gt;=$B$1,Clients!A22="",NOT(ISNUMBER(Clients!D22)),Clients!L22="Expired",Clients!L22="Terminate"),"",Clients!D22*1*IF(Clients!E22="Monthly",IF(AND(ISNUMBER(Clients!G22),(YEAR(EDATE(DATE(YEAR(TODAY()),MONTH(TODAY()),1),5))*12+MONTH(EDATE(DATE(YEAR(TODAY()),MONTH(TODAY()),1),5)))&gt;(YEAR(Clients!G22)*12+MONTH(Clients!G22))),"",1),IF(Clients!E22="Quarterly",IF(MOD((YEAR(EDATE(DATE(YEAR(TODAY()),MONTH(TODAY()),1),5))-YEAR(IF(ISNUMBER(Clients!F22),Clients!F22,DATE(YEAR(TODAY()),MONTH(TODAY()),1))))*12+MONTH(EDATE(DATE(YEAR(TODAY()),MONTH(TODAY()),1),5))-MONTH(IF(ISNUMBER(Clients!F22),Clients!F22,DATE(YEAR(TODAY()),MONTH(TODAY()),1))),3)=0,1,0),IF(Clients!E22="Semi-annual",IF(MOD((YEAR(EDATE(DATE(YEAR(TODAY()),MONTH(TODAY()),1),5))-YEAR(IF(ISNUMBER(Clients!F22),Clients!F22,DATE(YEAR(TODAY()),MONTH(TODAY()),1))))*12+MONTH(EDATE(DATE(YEAR(TODAY()),MONTH(TODAY()),1),5))-MONTH(IF(ISNUMBER(Clients!F22),Clients!F22,DATE(YEAR(TODAY()),MONTH(TODAY()),1))),6)=0,1,0),IF(Clients!E22="Annual",IF(MOD((YEAR(EDATE(DATE(YEAR(TODAY()),MONTH(TODAY()),1),5))-YEAR(IF(ISNUMBER(Clients!F22),Clients!F22,DATE(YEAR(TODAY()),MONTH(TODAY()),1))))*12+MONTH(EDATE(DATE(YEAR(TODAY()),MONTH(TODAY()),1),5))-MONTH(IF(ISNUMBER(Clients!F22),Clients!F22,DATE(YEAR(TODAY()),MONTH(TODAY()),1))),12)=0,1,0),IF(Clients!E22="One-time",IF(5=0,1,0),1)))))),"")</f>
        <v/>
      </c>
      <c r="L92" s="10" t="str">
        <f ca="1">IFERROR(IF(OR(6&gt;=$B$1,Clients!A22="",NOT(ISNUMBER(Clients!D22)),Clients!L22="Expired",Clients!L22="Terminate"),"",Clients!D22*1*IF(Clients!E22="Monthly",IF(AND(ISNUMBER(Clients!G22),(YEAR(EDATE(DATE(YEAR(TODAY()),MONTH(TODAY()),1),6))*12+MONTH(EDATE(DATE(YEAR(TODAY()),MONTH(TODAY()),1),6)))&gt;(YEAR(Clients!G22)*12+MONTH(Clients!G22))),"",1),IF(Clients!E22="Quarterly",IF(MOD((YEAR(EDATE(DATE(YEAR(TODAY()),MONTH(TODAY()),1),6))-YEAR(IF(ISNUMBER(Clients!F22),Clients!F22,DATE(YEAR(TODAY()),MONTH(TODAY()),1))))*12+MONTH(EDATE(DATE(YEAR(TODAY()),MONTH(TODAY()),1),6))-MONTH(IF(ISNUMBER(Clients!F22),Clients!F22,DATE(YEAR(TODAY()),MONTH(TODAY()),1))),3)=0,1,0),IF(Clients!E22="Semi-annual",IF(MOD((YEAR(EDATE(DATE(YEAR(TODAY()),MONTH(TODAY()),1),6))-YEAR(IF(ISNUMBER(Clients!F22),Clients!F22,DATE(YEAR(TODAY()),MONTH(TODAY()),1))))*12+MONTH(EDATE(DATE(YEAR(TODAY()),MONTH(TODAY()),1),6))-MONTH(IF(ISNUMBER(Clients!F22),Clients!F22,DATE(YEAR(TODAY()),MONTH(TODAY()),1))),6)=0,1,0),IF(Clients!E22="Annual",IF(MOD((YEAR(EDATE(DATE(YEAR(TODAY()),MONTH(TODAY()),1),6))-YEAR(IF(ISNUMBER(Clients!F22),Clients!F22,DATE(YEAR(TODAY()),MONTH(TODAY()),1))))*12+MONTH(EDATE(DATE(YEAR(TODAY()),MONTH(TODAY()),1),6))-MONTH(IF(ISNUMBER(Clients!F22),Clients!F22,DATE(YEAR(TODAY()),MONTH(TODAY()),1))),12)=0,1,0),IF(Clients!E22="One-time",IF(6=0,1,0),1)))))),"")</f>
        <v/>
      </c>
      <c r="M92" s="10" t="str">
        <f ca="1">IFERROR(IF(OR(7&gt;=$B$1,Clients!A22="",NOT(ISNUMBER(Clients!D22)),Clients!L22="Expired",Clients!L22="Terminate"),"",Clients!D22*1*IF(Clients!E22="Monthly",IF(AND(ISNUMBER(Clients!G22),(YEAR(EDATE(DATE(YEAR(TODAY()),MONTH(TODAY()),1),7))*12+MONTH(EDATE(DATE(YEAR(TODAY()),MONTH(TODAY()),1),7)))&gt;(YEAR(Clients!G22)*12+MONTH(Clients!G22))),"",1),IF(Clients!E22="Quarterly",IF(MOD((YEAR(EDATE(DATE(YEAR(TODAY()),MONTH(TODAY()),1),7))-YEAR(IF(ISNUMBER(Clients!F22),Clients!F22,DATE(YEAR(TODAY()),MONTH(TODAY()),1))))*12+MONTH(EDATE(DATE(YEAR(TODAY()),MONTH(TODAY()),1),7))-MONTH(IF(ISNUMBER(Clients!F22),Clients!F22,DATE(YEAR(TODAY()),MONTH(TODAY()),1))),3)=0,1,0),IF(Clients!E22="Semi-annual",IF(MOD((YEAR(EDATE(DATE(YEAR(TODAY()),MONTH(TODAY()),1),7))-YEAR(IF(ISNUMBER(Clients!F22),Clients!F22,DATE(YEAR(TODAY()),MONTH(TODAY()),1))))*12+MONTH(EDATE(DATE(YEAR(TODAY()),MONTH(TODAY()),1),7))-MONTH(IF(ISNUMBER(Clients!F22),Clients!F22,DATE(YEAR(TODAY()),MONTH(TODAY()),1))),6)=0,1,0),IF(Clients!E22="Annual",IF(MOD((YEAR(EDATE(DATE(YEAR(TODAY()),MONTH(TODAY()),1),7))-YEAR(IF(ISNUMBER(Clients!F22),Clients!F22,DATE(YEAR(TODAY()),MONTH(TODAY()),1))))*12+MONTH(EDATE(DATE(YEAR(TODAY()),MONTH(TODAY()),1),7))-MONTH(IF(ISNUMBER(Clients!F22),Clients!F22,DATE(YEAR(TODAY()),MONTH(TODAY()),1))),12)=0,1,0),IF(Clients!E22="One-time",IF(7=0,1,0),1)))))),"")</f>
        <v/>
      </c>
      <c r="N92" s="10" t="str">
        <f ca="1">IFERROR(IF(OR(8&gt;=$B$1,Clients!A22="",NOT(ISNUMBER(Clients!D22)),Clients!L22="Expired",Clients!L22="Terminate"),"",Clients!D22*1*IF(Clients!E22="Monthly",IF(AND(ISNUMBER(Clients!G22),(YEAR(EDATE(DATE(YEAR(TODAY()),MONTH(TODAY()),1),8))*12+MONTH(EDATE(DATE(YEAR(TODAY()),MONTH(TODAY()),1),8)))&gt;(YEAR(Clients!G22)*12+MONTH(Clients!G22))),"",1),IF(Clients!E22="Quarterly",IF(MOD((YEAR(EDATE(DATE(YEAR(TODAY()),MONTH(TODAY()),1),8))-YEAR(IF(ISNUMBER(Clients!F22),Clients!F22,DATE(YEAR(TODAY()),MONTH(TODAY()),1))))*12+MONTH(EDATE(DATE(YEAR(TODAY()),MONTH(TODAY()),1),8))-MONTH(IF(ISNUMBER(Clients!F22),Clients!F22,DATE(YEAR(TODAY()),MONTH(TODAY()),1))),3)=0,1,0),IF(Clients!E22="Semi-annual",IF(MOD((YEAR(EDATE(DATE(YEAR(TODAY()),MONTH(TODAY()),1),8))-YEAR(IF(ISNUMBER(Clients!F22),Clients!F22,DATE(YEAR(TODAY()),MONTH(TODAY()),1))))*12+MONTH(EDATE(DATE(YEAR(TODAY()),MONTH(TODAY()),1),8))-MONTH(IF(ISNUMBER(Clients!F22),Clients!F22,DATE(YEAR(TODAY()),MONTH(TODAY()),1))),6)=0,1,0),IF(Clients!E22="Annual",IF(MOD((YEAR(EDATE(DATE(YEAR(TODAY()),MONTH(TODAY()),1),8))-YEAR(IF(ISNUMBER(Clients!F22),Clients!F22,DATE(YEAR(TODAY()),MONTH(TODAY()),1))))*12+MONTH(EDATE(DATE(YEAR(TODAY()),MONTH(TODAY()),1),8))-MONTH(IF(ISNUMBER(Clients!F22),Clients!F22,DATE(YEAR(TODAY()),MONTH(TODAY()),1))),12)=0,1,0),IF(Clients!E22="One-time",IF(8=0,1,0),1)))))),"")</f>
        <v/>
      </c>
      <c r="O92" s="10" t="str">
        <f ca="1">IFERROR(IF(OR(9&gt;=$B$1,Clients!A22="",NOT(ISNUMBER(Clients!D22)),Clients!L22="Expired",Clients!L22="Terminate"),"",Clients!D22*1*IF(Clients!E22="Monthly",IF(AND(ISNUMBER(Clients!G22),(YEAR(EDATE(DATE(YEAR(TODAY()),MONTH(TODAY()),1),9))*12+MONTH(EDATE(DATE(YEAR(TODAY()),MONTH(TODAY()),1),9)))&gt;(YEAR(Clients!G22)*12+MONTH(Clients!G22))),"",1),IF(Clients!E22="Quarterly",IF(MOD((YEAR(EDATE(DATE(YEAR(TODAY()),MONTH(TODAY()),1),9))-YEAR(IF(ISNUMBER(Clients!F22),Clients!F22,DATE(YEAR(TODAY()),MONTH(TODAY()),1))))*12+MONTH(EDATE(DATE(YEAR(TODAY()),MONTH(TODAY()),1),9))-MONTH(IF(ISNUMBER(Clients!F22),Clients!F22,DATE(YEAR(TODAY()),MONTH(TODAY()),1))),3)=0,1,0),IF(Clients!E22="Semi-annual",IF(MOD((YEAR(EDATE(DATE(YEAR(TODAY()),MONTH(TODAY()),1),9))-YEAR(IF(ISNUMBER(Clients!F22),Clients!F22,DATE(YEAR(TODAY()),MONTH(TODAY()),1))))*12+MONTH(EDATE(DATE(YEAR(TODAY()),MONTH(TODAY()),1),9))-MONTH(IF(ISNUMBER(Clients!F22),Clients!F22,DATE(YEAR(TODAY()),MONTH(TODAY()),1))),6)=0,1,0),IF(Clients!E22="Annual",IF(MOD((YEAR(EDATE(DATE(YEAR(TODAY()),MONTH(TODAY()),1),9))-YEAR(IF(ISNUMBER(Clients!F22),Clients!F22,DATE(YEAR(TODAY()),MONTH(TODAY()),1))))*12+MONTH(EDATE(DATE(YEAR(TODAY()),MONTH(TODAY()),1),9))-MONTH(IF(ISNUMBER(Clients!F22),Clients!F22,DATE(YEAR(TODAY()),MONTH(TODAY()),1))),12)=0,1,0),IF(Clients!E22="One-time",IF(9=0,1,0),1)))))),"")</f>
        <v/>
      </c>
      <c r="P92" s="10" t="str">
        <f ca="1">IFERROR(IF(OR(10&gt;=$B$1,Clients!A22="",NOT(ISNUMBER(Clients!D22)),Clients!L22="Expired",Clients!L22="Terminate"),"",Clients!D22*1*IF(Clients!E22="Monthly",IF(AND(ISNUMBER(Clients!G22),(YEAR(EDATE(DATE(YEAR(TODAY()),MONTH(TODAY()),1),10))*12+MONTH(EDATE(DATE(YEAR(TODAY()),MONTH(TODAY()),1),10)))&gt;(YEAR(Clients!G22)*12+MONTH(Clients!G22))),"",1),IF(Clients!E22="Quarterly",IF(MOD((YEAR(EDATE(DATE(YEAR(TODAY()),MONTH(TODAY()),1),10))-YEAR(IF(ISNUMBER(Clients!F22),Clients!F22,DATE(YEAR(TODAY()),MONTH(TODAY()),1))))*12+MONTH(EDATE(DATE(YEAR(TODAY()),MONTH(TODAY()),1),10))-MONTH(IF(ISNUMBER(Clients!F22),Clients!F22,DATE(YEAR(TODAY()),MONTH(TODAY()),1))),3)=0,1,0),IF(Clients!E22="Semi-annual",IF(MOD((YEAR(EDATE(DATE(YEAR(TODAY()),MONTH(TODAY()),1),10))-YEAR(IF(ISNUMBER(Clients!F22),Clients!F22,DATE(YEAR(TODAY()),MONTH(TODAY()),1))))*12+MONTH(EDATE(DATE(YEAR(TODAY()),MONTH(TODAY()),1),10))-MONTH(IF(ISNUMBER(Clients!F22),Clients!F22,DATE(YEAR(TODAY()),MONTH(TODAY()),1))),6)=0,1,0),IF(Clients!E22="Annual",IF(MOD((YEAR(EDATE(DATE(YEAR(TODAY()),MONTH(TODAY()),1),10))-YEAR(IF(ISNUMBER(Clients!F22),Clients!F22,DATE(YEAR(TODAY()),MONTH(TODAY()),1))))*12+MONTH(EDATE(DATE(YEAR(TODAY()),MONTH(TODAY()),1),10))-MONTH(IF(ISNUMBER(Clients!F22),Clients!F22,DATE(YEAR(TODAY()),MONTH(TODAY()),1))),12)=0,1,0),IF(Clients!E22="One-time",IF(10=0,1,0),1)))))),"")</f>
        <v/>
      </c>
      <c r="Q92" s="10" t="str">
        <f ca="1">IFERROR(IF(OR(11&gt;=$B$1,Clients!A22="",NOT(ISNUMBER(Clients!D22)),Clients!L22="Expired",Clients!L22="Terminate"),"",Clients!D22*1*IF(Clients!E22="Monthly",IF(AND(ISNUMBER(Clients!G22),(YEAR(EDATE(DATE(YEAR(TODAY()),MONTH(TODAY()),1),11))*12+MONTH(EDATE(DATE(YEAR(TODAY()),MONTH(TODAY()),1),11)))&gt;(YEAR(Clients!G22)*12+MONTH(Clients!G22))),"",1),IF(Clients!E22="Quarterly",IF(MOD((YEAR(EDATE(DATE(YEAR(TODAY()),MONTH(TODAY()),1),11))-YEAR(IF(ISNUMBER(Clients!F22),Clients!F22,DATE(YEAR(TODAY()),MONTH(TODAY()),1))))*12+MONTH(EDATE(DATE(YEAR(TODAY()),MONTH(TODAY()),1),11))-MONTH(IF(ISNUMBER(Clients!F22),Clients!F22,DATE(YEAR(TODAY()),MONTH(TODAY()),1))),3)=0,1,0),IF(Clients!E22="Semi-annual",IF(MOD((YEAR(EDATE(DATE(YEAR(TODAY()),MONTH(TODAY()),1),11))-YEAR(IF(ISNUMBER(Clients!F22),Clients!F22,DATE(YEAR(TODAY()),MONTH(TODAY()),1))))*12+MONTH(EDATE(DATE(YEAR(TODAY()),MONTH(TODAY()),1),11))-MONTH(IF(ISNUMBER(Clients!F22),Clients!F22,DATE(YEAR(TODAY()),MONTH(TODAY()),1))),6)=0,1,0),IF(Clients!E22="Annual",IF(MOD((YEAR(EDATE(DATE(YEAR(TODAY()),MONTH(TODAY()),1),11))-YEAR(IF(ISNUMBER(Clients!F22),Clients!F22,DATE(YEAR(TODAY()),MONTH(TODAY()),1))))*12+MONTH(EDATE(DATE(YEAR(TODAY()),MONTH(TODAY()),1),11))-MONTH(IF(ISNUMBER(Clients!F22),Clients!F22,DATE(YEAR(TODAY()),MONTH(TODAY()),1))),12)=0,1,0),IF(Clients!E22="One-time",IF(11=0,1,0),1)))))),"")</f>
        <v/>
      </c>
      <c r="R92" s="10" t="str">
        <f ca="1">IFERROR(IF(OR(12&gt;=$B$1,Clients!A22="",NOT(ISNUMBER(Clients!D22))),"",IF(OR(Clients!L22="Expired",Clients!L22="Terminate"),"",Clients!D22*1*IF(Clients!E22="Monthly",1,IF(Clients!E22="Quarterly",IF(MOD(DATEDIF(IF(ISNUMBER(Clients!F22),Clients!F22,DATE(YEAR(TODAY()),MONTH(TODAY()),1)),EDATE(DATE(YEAR(TODAY()),MONTH(TODAY()),1),12),"M"),3)=0,1,0),IF(Clients!E22="Semi-annual",IF(MOD(DATEDIF(IF(ISNUMBER(Clients!F22),Clients!F22,DATE(YEAR(TODAY()),MONTH(TODAY()),1)),EDATE(DATE(YEAR(TODAY()),MONTH(TODAY()),1),12),"M"),6)=0,1,0),IF(Clients!E22="Annual",IF(MOD(DATEDIF(IF(ISNUMBER(Clients!F22),Clients!F22,DATE(YEAR(TODAY()),MONTH(TODAY()),1)),EDATE(DATE(YEAR(TODAY()),MONTH(TODAY()),1),12),"M"),12)=0,1,0),IF(Clients!E22="One-time",IF(12=0,1,0),1))))))),"")</f>
        <v/>
      </c>
      <c r="S92" s="10" t="str">
        <f ca="1">IFERROR(IF(OR(13&gt;=$B$1,Clients!A22="",NOT(ISNUMBER(Clients!D22))),"",IF(OR(Clients!L22="Expired",Clients!L22="Terminate"),"",Clients!D22*1*IF(Clients!E22="Monthly",1,IF(Clients!E22="Quarterly",IF(MOD(DATEDIF(IF(ISNUMBER(Clients!F22),Clients!F22,DATE(YEAR(TODAY()),MONTH(TODAY()),1)),EDATE(DATE(YEAR(TODAY()),MONTH(TODAY()),1),13),"M"),3)=0,1,0),IF(Clients!E22="Semi-annual",IF(MOD(DATEDIF(IF(ISNUMBER(Clients!F22),Clients!F22,DATE(YEAR(TODAY()),MONTH(TODAY()),1)),EDATE(DATE(YEAR(TODAY()),MONTH(TODAY()),1),13),"M"),6)=0,1,0),IF(Clients!E22="Annual",IF(MOD(DATEDIF(IF(ISNUMBER(Clients!F22),Clients!F22,DATE(YEAR(TODAY()),MONTH(TODAY()),1)),EDATE(DATE(YEAR(TODAY()),MONTH(TODAY()),1),13),"M"),12)=0,1,0),IF(Clients!E22="One-time",IF(13=0,1,0),1))))))),"")</f>
        <v/>
      </c>
      <c r="T92" s="10" t="str">
        <f ca="1">IFERROR(IF(OR(14&gt;=$B$1,Clients!A22="",NOT(ISNUMBER(Clients!D22))),"",IF(OR(Clients!L22="Expired",Clients!L22="Terminate"),"",Clients!D22*1*IF(Clients!E22="Monthly",1,IF(Clients!E22="Quarterly",IF(MOD(DATEDIF(IF(ISNUMBER(Clients!F22),Clients!F22,DATE(YEAR(TODAY()),MONTH(TODAY()),1)),EDATE(DATE(YEAR(TODAY()),MONTH(TODAY()),1),14),"M"),3)=0,1,0),IF(Clients!E22="Semi-annual",IF(MOD(DATEDIF(IF(ISNUMBER(Clients!F22),Clients!F22,DATE(YEAR(TODAY()),MONTH(TODAY()),1)),EDATE(DATE(YEAR(TODAY()),MONTH(TODAY()),1),14),"M"),6)=0,1,0),IF(Clients!E22="Annual",IF(MOD(DATEDIF(IF(ISNUMBER(Clients!F22),Clients!F22,DATE(YEAR(TODAY()),MONTH(TODAY()),1)),EDATE(DATE(YEAR(TODAY()),MONTH(TODAY()),1),14),"M"),12)=0,1,0),IF(Clients!E22="One-time",IF(14=0,1,0),1))))))),"")</f>
        <v/>
      </c>
      <c r="U92" s="10" t="str">
        <f ca="1">IFERROR(IF(OR(15&gt;=$B$1,Clients!A22="",NOT(ISNUMBER(Clients!D22))),"",IF(OR(Clients!L22="Expired",Clients!L22="Terminate"),"",Clients!D22*1*IF(Clients!E22="Monthly",1,IF(Clients!E22="Quarterly",IF(MOD(DATEDIF(IF(ISNUMBER(Clients!F22),Clients!F22,DATE(YEAR(TODAY()),MONTH(TODAY()),1)),EDATE(DATE(YEAR(TODAY()),MONTH(TODAY()),1),15),"M"),3)=0,1,0),IF(Clients!E22="Semi-annual",IF(MOD(DATEDIF(IF(ISNUMBER(Clients!F22),Clients!F22,DATE(YEAR(TODAY()),MONTH(TODAY()),1)),EDATE(DATE(YEAR(TODAY()),MONTH(TODAY()),1),15),"M"),6)=0,1,0),IF(Clients!E22="Annual",IF(MOD(DATEDIF(IF(ISNUMBER(Clients!F22),Clients!F22,DATE(YEAR(TODAY()),MONTH(TODAY()),1)),EDATE(DATE(YEAR(TODAY()),MONTH(TODAY()),1),15),"M"),12)=0,1,0),IF(Clients!E22="One-time",IF(15=0,1,0),1))))))),"")</f>
        <v/>
      </c>
      <c r="V92" s="10" t="str">
        <f ca="1">IFERROR(IF(OR(16&gt;=$B$1,Clients!A22="",NOT(ISNUMBER(Clients!D22))),"",IF(OR(Clients!L22="Expired",Clients!L22="Terminate"),"",Clients!D22*1*IF(Clients!E22="Monthly",1,IF(Clients!E22="Quarterly",IF(MOD(DATEDIF(IF(ISNUMBER(Clients!F22),Clients!F22,DATE(YEAR(TODAY()),MONTH(TODAY()),1)),EDATE(DATE(YEAR(TODAY()),MONTH(TODAY()),1),16),"M"),3)=0,1,0),IF(Clients!E22="Semi-annual",IF(MOD(DATEDIF(IF(ISNUMBER(Clients!F22),Clients!F22,DATE(YEAR(TODAY()),MONTH(TODAY()),1)),EDATE(DATE(YEAR(TODAY()),MONTH(TODAY()),1),16),"M"),6)=0,1,0),IF(Clients!E22="Annual",IF(MOD(DATEDIF(IF(ISNUMBER(Clients!F22),Clients!F22,DATE(YEAR(TODAY()),MONTH(TODAY()),1)),EDATE(DATE(YEAR(TODAY()),MONTH(TODAY()),1),16),"M"),12)=0,1,0),IF(Clients!E22="One-time",IF(16=0,1,0),1))))))),"")</f>
        <v/>
      </c>
      <c r="W92" s="10" t="str">
        <f ca="1">IFERROR(IF(OR(17&gt;=$B$1,Clients!A22="",NOT(ISNUMBER(Clients!D22))),"",IF(OR(Clients!L22="Expired",Clients!L22="Terminate"),"",Clients!D22*1*IF(Clients!E22="Monthly",1,IF(Clients!E22="Quarterly",IF(MOD(DATEDIF(IF(ISNUMBER(Clients!F22),Clients!F22,DATE(YEAR(TODAY()),MONTH(TODAY()),1)),EDATE(DATE(YEAR(TODAY()),MONTH(TODAY()),1),17),"M"),3)=0,1,0),IF(Clients!E22="Semi-annual",IF(MOD(DATEDIF(IF(ISNUMBER(Clients!F22),Clients!F22,DATE(YEAR(TODAY()),MONTH(TODAY()),1)),EDATE(DATE(YEAR(TODAY()),MONTH(TODAY()),1),17),"M"),6)=0,1,0),IF(Clients!E22="Annual",IF(MOD(DATEDIF(IF(ISNUMBER(Clients!F22),Clients!F22,DATE(YEAR(TODAY()),MONTH(TODAY()),1)),EDATE(DATE(YEAR(TODAY()),MONTH(TODAY()),1),17),"M"),12)=0,1,0),IF(Clients!E22="One-time",IF(17=0,1,0),1))))))),"")</f>
        <v/>
      </c>
      <c r="X92" s="10" t="str">
        <f ca="1">IFERROR(IF(OR(18&gt;=$B$1,Clients!A22="",NOT(ISNUMBER(Clients!D22))),"",IF(OR(Clients!L22="Expired",Clients!L22="Terminate"),"",Clients!D22*1*IF(Clients!E22="Monthly",1,IF(Clients!E22="Quarterly",IF(MOD(DATEDIF(IF(ISNUMBER(Clients!F22),Clients!F22,DATE(YEAR(TODAY()),MONTH(TODAY()),1)),EDATE(DATE(YEAR(TODAY()),MONTH(TODAY()),1),18),"M"),3)=0,1,0),IF(Clients!E22="Semi-annual",IF(MOD(DATEDIF(IF(ISNUMBER(Clients!F22),Clients!F22,DATE(YEAR(TODAY()),MONTH(TODAY()),1)),EDATE(DATE(YEAR(TODAY()),MONTH(TODAY()),1),18),"M"),6)=0,1,0),IF(Clients!E22="Annual",IF(MOD(DATEDIF(IF(ISNUMBER(Clients!F22),Clients!F22,DATE(YEAR(TODAY()),MONTH(TODAY()),1)),EDATE(DATE(YEAR(TODAY()),MONTH(TODAY()),1),18),"M"),12)=0,1,0),IF(Clients!E22="One-time",IF(18=0,1,0),1))))))),"")</f>
        <v/>
      </c>
      <c r="Y92" s="10" t="str">
        <f ca="1">IFERROR(IF(OR(19&gt;=$B$1,Clients!A22="",NOT(ISNUMBER(Clients!D22))),"",IF(OR(Clients!L22="Expired",Clients!L22="Terminate"),"",Clients!D22*1*IF(Clients!E22="Monthly",1,IF(Clients!E22="Quarterly",IF(MOD(DATEDIF(IF(ISNUMBER(Clients!F22),Clients!F22,DATE(YEAR(TODAY()),MONTH(TODAY()),1)),EDATE(DATE(YEAR(TODAY()),MONTH(TODAY()),1),19),"M"),3)=0,1,0),IF(Clients!E22="Semi-annual",IF(MOD(DATEDIF(IF(ISNUMBER(Clients!F22),Clients!F22,DATE(YEAR(TODAY()),MONTH(TODAY()),1)),EDATE(DATE(YEAR(TODAY()),MONTH(TODAY()),1),19),"M"),6)=0,1,0),IF(Clients!E22="Annual",IF(MOD(DATEDIF(IF(ISNUMBER(Clients!F22),Clients!F22,DATE(YEAR(TODAY()),MONTH(TODAY()),1)),EDATE(DATE(YEAR(TODAY()),MONTH(TODAY()),1),19),"M"),12)=0,1,0),IF(Clients!E22="One-time",IF(19=0,1,0),1))))))),"")</f>
        <v/>
      </c>
      <c r="Z92" s="10" t="str">
        <f ca="1">IFERROR(IF(OR(20&gt;=$B$1,Clients!A22="",NOT(ISNUMBER(Clients!D22))),"",IF(OR(Clients!L22="Expired",Clients!L22="Terminate"),"",Clients!D22*1*IF(Clients!E22="Monthly",1,IF(Clients!E22="Quarterly",IF(MOD(DATEDIF(IF(ISNUMBER(Clients!F22),Clients!F22,DATE(YEAR(TODAY()),MONTH(TODAY()),1)),EDATE(DATE(YEAR(TODAY()),MONTH(TODAY()),1),20),"M"),3)=0,1,0),IF(Clients!E22="Semi-annual",IF(MOD(DATEDIF(IF(ISNUMBER(Clients!F22),Clients!F22,DATE(YEAR(TODAY()),MONTH(TODAY()),1)),EDATE(DATE(YEAR(TODAY()),MONTH(TODAY()),1),20),"M"),6)=0,1,0),IF(Clients!E22="Annual",IF(MOD(DATEDIF(IF(ISNUMBER(Clients!F22),Clients!F22,DATE(YEAR(TODAY()),MONTH(TODAY()),1)),EDATE(DATE(YEAR(TODAY()),MONTH(TODAY()),1),20),"M"),12)=0,1,0),IF(Clients!E22="One-time",IF(20=0,1,0),1))))))),"")</f>
        <v/>
      </c>
      <c r="AA92" s="10" t="str">
        <f ca="1">IFERROR(IF(OR(21&gt;=$B$1,Clients!A22="",NOT(ISNUMBER(Clients!D22))),"",IF(OR(Clients!L22="Expired",Clients!L22="Terminate"),"",Clients!D22*1*IF(Clients!E22="Monthly",1,IF(Clients!E22="Quarterly",IF(MOD(DATEDIF(IF(ISNUMBER(Clients!F22),Clients!F22,DATE(YEAR(TODAY()),MONTH(TODAY()),1)),EDATE(DATE(YEAR(TODAY()),MONTH(TODAY()),1),21),"M"),3)=0,1,0),IF(Clients!E22="Semi-annual",IF(MOD(DATEDIF(IF(ISNUMBER(Clients!F22),Clients!F22,DATE(YEAR(TODAY()),MONTH(TODAY()),1)),EDATE(DATE(YEAR(TODAY()),MONTH(TODAY()),1),21),"M"),6)=0,1,0),IF(Clients!E22="Annual",IF(MOD(DATEDIF(IF(ISNUMBER(Clients!F22),Clients!F22,DATE(YEAR(TODAY()),MONTH(TODAY()),1)),EDATE(DATE(YEAR(TODAY()),MONTH(TODAY()),1),21),"M"),12)=0,1,0),IF(Clients!E22="One-time",IF(21=0,1,0),1))))))),"")</f>
        <v/>
      </c>
      <c r="AB92" s="10" t="str">
        <f ca="1">IFERROR(IF(OR(22&gt;=$B$1,Clients!A22="",NOT(ISNUMBER(Clients!D22))),"",IF(OR(Clients!L22="Expired",Clients!L22="Terminate"),"",Clients!D22*1*IF(Clients!E22="Monthly",1,IF(Clients!E22="Quarterly",IF(MOD(DATEDIF(IF(ISNUMBER(Clients!F22),Clients!F22,DATE(YEAR(TODAY()),MONTH(TODAY()),1)),EDATE(DATE(YEAR(TODAY()),MONTH(TODAY()),1),22),"M"),3)=0,1,0),IF(Clients!E22="Semi-annual",IF(MOD(DATEDIF(IF(ISNUMBER(Clients!F22),Clients!F22,DATE(YEAR(TODAY()),MONTH(TODAY()),1)),EDATE(DATE(YEAR(TODAY()),MONTH(TODAY()),1),22),"M"),6)=0,1,0),IF(Clients!E22="Annual",IF(MOD(DATEDIF(IF(ISNUMBER(Clients!F22),Clients!F22,DATE(YEAR(TODAY()),MONTH(TODAY()),1)),EDATE(DATE(YEAR(TODAY()),MONTH(TODAY()),1),22),"M"),12)=0,1,0),IF(Clients!E22="One-time",IF(22=0,1,0),1))))))),"")</f>
        <v/>
      </c>
      <c r="AC92" s="10" t="str">
        <f ca="1">IFERROR(IF(OR(23&gt;=$B$1,Clients!A22="",NOT(ISNUMBER(Clients!D22))),"",IF(OR(Clients!L22="Expired",Clients!L22="Terminate"),"",Clients!D22*1*IF(Clients!E22="Monthly",1,IF(Clients!E22="Quarterly",IF(MOD(DATEDIF(IF(ISNUMBER(Clients!F22),Clients!F22,DATE(YEAR(TODAY()),MONTH(TODAY()),1)),EDATE(DATE(YEAR(TODAY()),MONTH(TODAY()),1),23),"M"),3)=0,1,0),IF(Clients!E22="Semi-annual",IF(MOD(DATEDIF(IF(ISNUMBER(Clients!F22),Clients!F22,DATE(YEAR(TODAY()),MONTH(TODAY()),1)),EDATE(DATE(YEAR(TODAY()),MONTH(TODAY()),1),23),"M"),6)=0,1,0),IF(Clients!E22="Annual",IF(MOD(DATEDIF(IF(ISNUMBER(Clients!F22),Clients!F22,DATE(YEAR(TODAY()),MONTH(TODAY()),1)),EDATE(DATE(YEAR(TODAY()),MONTH(TODAY()),1),23),"M"),12)=0,1,0),IF(Clients!E22="One-time",IF(23=0,1,0),1))))))),"")</f>
        <v/>
      </c>
    </row>
    <row r="93" spans="1:29" x14ac:dyDescent="0.35">
      <c r="A93" s="4" t="s">
        <v>81</v>
      </c>
      <c r="E93" s="4" t="str">
        <f>IF(Clients!E23="","",Clients!E23)</f>
        <v/>
      </c>
      <c r="F93" t="str">
        <f ca="1">IFERROR(IF(OR(0&gt;=$B$1,Clients!A23="",NOT(ISNUMBER(Clients!D23)),Clients!L23="Expired",Clients!L23="Terminate"),"",Clients!D23*1*IF(Clients!E23="Monthly",IF(AND(ISNUMBER(Clients!G23),(YEAR(EDATE(DATE(YEAR(TODAY()),MONTH(TODAY()),1),0))*12+MONTH(EDATE(DATE(YEAR(TODAY()),MONTH(TODAY()),1),0)))&gt;(YEAR(Clients!G23)*12+MONTH(Clients!G23))),"",1),IF(Clients!E23="Quarterly",IF(MOD((YEAR(EDATE(DATE(YEAR(TODAY()),MONTH(TODAY()),1),0))-YEAR(IF(ISNUMBER(Clients!F23),Clients!F23,DATE(YEAR(TODAY()),MONTH(TODAY()),1))))*12+MONTH(EDATE(DATE(YEAR(TODAY()),MONTH(TODAY()),1),0))-MONTH(IF(ISNUMBER(Clients!F23),Clients!F23,DATE(YEAR(TODAY()),MONTH(TODAY()),1))),3)=0,1,0),IF(Clients!E23="Semi-annual",IF(MOD((YEAR(EDATE(DATE(YEAR(TODAY()),MONTH(TODAY()),1),0))-YEAR(IF(ISNUMBER(Clients!F23),Clients!F23,DATE(YEAR(TODAY()),MONTH(TODAY()),1))))*12+MONTH(EDATE(DATE(YEAR(TODAY()),MONTH(TODAY()),1),0))-MONTH(IF(ISNUMBER(Clients!F23),Clients!F23,DATE(YEAR(TODAY()),MONTH(TODAY()),1))),6)=0,1,0),IF(Clients!E23="Annual",IF(MOD((YEAR(EDATE(DATE(YEAR(TODAY()),MONTH(TODAY()),1),0))-YEAR(IF(ISNUMBER(Clients!F23),Clients!F23,DATE(YEAR(TODAY()),MONTH(TODAY()),1))))*12+MONTH(EDATE(DATE(YEAR(TODAY()),MONTH(TODAY()),1),0))-MONTH(IF(ISNUMBER(Clients!F23),Clients!F23,DATE(YEAR(TODAY()),MONTH(TODAY()),1))),12)=0,1,0),IF(Clients!E23="One-time",IF(0=0,1,0),1)))))),"")</f>
        <v/>
      </c>
      <c r="G93" t="str">
        <f ca="1">IFERROR(IF(OR(1&gt;=$B$1,Clients!A23="",NOT(ISNUMBER(Clients!D23)),Clients!L23="Expired",Clients!L23="Terminate"),"",Clients!D23*1*IF(Clients!E23="Monthly",IF(AND(ISNUMBER(Clients!G23),(YEAR(EDATE(DATE(YEAR(TODAY()),MONTH(TODAY()),1),1))*12+MONTH(EDATE(DATE(YEAR(TODAY()),MONTH(TODAY()),1),1)))&gt;(YEAR(Clients!G23)*12+MONTH(Clients!G23))),"",1),IF(Clients!E23="Quarterly",IF(MOD((YEAR(EDATE(DATE(YEAR(TODAY()),MONTH(TODAY()),1),1))-YEAR(IF(ISNUMBER(Clients!F23),Clients!F23,DATE(YEAR(TODAY()),MONTH(TODAY()),1))))*12+MONTH(EDATE(DATE(YEAR(TODAY()),MONTH(TODAY()),1),1))-MONTH(IF(ISNUMBER(Clients!F23),Clients!F23,DATE(YEAR(TODAY()),MONTH(TODAY()),1))),3)=0,1,0),IF(Clients!E23="Semi-annual",IF(MOD((YEAR(EDATE(DATE(YEAR(TODAY()),MONTH(TODAY()),1),1))-YEAR(IF(ISNUMBER(Clients!F23),Clients!F23,DATE(YEAR(TODAY()),MONTH(TODAY()),1))))*12+MONTH(EDATE(DATE(YEAR(TODAY()),MONTH(TODAY()),1),1))-MONTH(IF(ISNUMBER(Clients!F23),Clients!F23,DATE(YEAR(TODAY()),MONTH(TODAY()),1))),6)=0,1,0),IF(Clients!E23="Annual",IF(MOD((YEAR(EDATE(DATE(YEAR(TODAY()),MONTH(TODAY()),1),1))-YEAR(IF(ISNUMBER(Clients!F23),Clients!F23,DATE(YEAR(TODAY()),MONTH(TODAY()),1))))*12+MONTH(EDATE(DATE(YEAR(TODAY()),MONTH(TODAY()),1),1))-MONTH(IF(ISNUMBER(Clients!F23),Clients!F23,DATE(YEAR(TODAY()),MONTH(TODAY()),1))),12)=0,1,0),IF(Clients!E23="One-time",IF(1=0,1,0),1)))))),"")</f>
        <v/>
      </c>
      <c r="H93" t="str">
        <f ca="1">IFERROR(IF(OR(2&gt;=$B$1,Clients!A23="",NOT(ISNUMBER(Clients!D23)),Clients!L23="Expired",Clients!L23="Terminate"),"",Clients!D23*1*IF(Clients!E23="Monthly",IF(AND(ISNUMBER(Clients!G23),(YEAR(EDATE(DATE(YEAR(TODAY()),MONTH(TODAY()),1),2))*12+MONTH(EDATE(DATE(YEAR(TODAY()),MONTH(TODAY()),1),2)))&gt;(YEAR(Clients!G23)*12+MONTH(Clients!G23))),"",1),IF(Clients!E23="Quarterly",IF(MOD((YEAR(EDATE(DATE(YEAR(TODAY()),MONTH(TODAY()),1),2))-YEAR(IF(ISNUMBER(Clients!F23),Clients!F23,DATE(YEAR(TODAY()),MONTH(TODAY()),1))))*12+MONTH(EDATE(DATE(YEAR(TODAY()),MONTH(TODAY()),1),2))-MONTH(IF(ISNUMBER(Clients!F23),Clients!F23,DATE(YEAR(TODAY()),MONTH(TODAY()),1))),3)=0,1,0),IF(Clients!E23="Semi-annual",IF(MOD((YEAR(EDATE(DATE(YEAR(TODAY()),MONTH(TODAY()),1),2))-YEAR(IF(ISNUMBER(Clients!F23),Clients!F23,DATE(YEAR(TODAY()),MONTH(TODAY()),1))))*12+MONTH(EDATE(DATE(YEAR(TODAY()),MONTH(TODAY()),1),2))-MONTH(IF(ISNUMBER(Clients!F23),Clients!F23,DATE(YEAR(TODAY()),MONTH(TODAY()),1))),6)=0,1,0),IF(Clients!E23="Annual",IF(MOD((YEAR(EDATE(DATE(YEAR(TODAY()),MONTH(TODAY()),1),2))-YEAR(IF(ISNUMBER(Clients!F23),Clients!F23,DATE(YEAR(TODAY()),MONTH(TODAY()),1))))*12+MONTH(EDATE(DATE(YEAR(TODAY()),MONTH(TODAY()),1),2))-MONTH(IF(ISNUMBER(Clients!F23),Clients!F23,DATE(YEAR(TODAY()),MONTH(TODAY()),1))),12)=0,1,0),IF(Clients!E23="One-time",IF(2=0,1,0),1)))))),"")</f>
        <v/>
      </c>
      <c r="I93" t="str">
        <f ca="1">IFERROR(IF(OR(3&gt;=$B$1,Clients!A23="",NOT(ISNUMBER(Clients!D23)),Clients!L23="Expired",Clients!L23="Terminate"),"",Clients!D23*1*IF(Clients!E23="Monthly",IF(AND(ISNUMBER(Clients!G23),(YEAR(EDATE(DATE(YEAR(TODAY()),MONTH(TODAY()),1),3))*12+MONTH(EDATE(DATE(YEAR(TODAY()),MONTH(TODAY()),1),3)))&gt;(YEAR(Clients!G23)*12+MONTH(Clients!G23))),"",1),IF(Clients!E23="Quarterly",IF(MOD((YEAR(EDATE(DATE(YEAR(TODAY()),MONTH(TODAY()),1),3))-YEAR(IF(ISNUMBER(Clients!F23),Clients!F23,DATE(YEAR(TODAY()),MONTH(TODAY()),1))))*12+MONTH(EDATE(DATE(YEAR(TODAY()),MONTH(TODAY()),1),3))-MONTH(IF(ISNUMBER(Clients!F23),Clients!F23,DATE(YEAR(TODAY()),MONTH(TODAY()),1))),3)=0,1,0),IF(Clients!E23="Semi-annual",IF(MOD((YEAR(EDATE(DATE(YEAR(TODAY()),MONTH(TODAY()),1),3))-YEAR(IF(ISNUMBER(Clients!F23),Clients!F23,DATE(YEAR(TODAY()),MONTH(TODAY()),1))))*12+MONTH(EDATE(DATE(YEAR(TODAY()),MONTH(TODAY()),1),3))-MONTH(IF(ISNUMBER(Clients!F23),Clients!F23,DATE(YEAR(TODAY()),MONTH(TODAY()),1))),6)=0,1,0),IF(Clients!E23="Annual",IF(MOD((YEAR(EDATE(DATE(YEAR(TODAY()),MONTH(TODAY()),1),3))-YEAR(IF(ISNUMBER(Clients!F23),Clients!F23,DATE(YEAR(TODAY()),MONTH(TODAY()),1))))*12+MONTH(EDATE(DATE(YEAR(TODAY()),MONTH(TODAY()),1),3))-MONTH(IF(ISNUMBER(Clients!F23),Clients!F23,DATE(YEAR(TODAY()),MONTH(TODAY()),1))),12)=0,1,0),IF(Clients!E23="One-time",IF(3=0,1,0),1)))))),"")</f>
        <v/>
      </c>
      <c r="J93" t="str">
        <f ca="1">IFERROR(IF(OR(4&gt;=$B$1,Clients!A23="",NOT(ISNUMBER(Clients!D23)),Clients!L23="Expired",Clients!L23="Terminate"),"",Clients!D23*1*IF(Clients!E23="Monthly",IF(AND(ISNUMBER(Clients!G23),(YEAR(EDATE(DATE(YEAR(TODAY()),MONTH(TODAY()),1),4))*12+MONTH(EDATE(DATE(YEAR(TODAY()),MONTH(TODAY()),1),4)))&gt;(YEAR(Clients!G23)*12+MONTH(Clients!G23))),"",1),IF(Clients!E23="Quarterly",IF(MOD((YEAR(EDATE(DATE(YEAR(TODAY()),MONTH(TODAY()),1),4))-YEAR(IF(ISNUMBER(Clients!F23),Clients!F23,DATE(YEAR(TODAY()),MONTH(TODAY()),1))))*12+MONTH(EDATE(DATE(YEAR(TODAY()),MONTH(TODAY()),1),4))-MONTH(IF(ISNUMBER(Clients!F23),Clients!F23,DATE(YEAR(TODAY()),MONTH(TODAY()),1))),3)=0,1,0),IF(Clients!E23="Semi-annual",IF(MOD((YEAR(EDATE(DATE(YEAR(TODAY()),MONTH(TODAY()),1),4))-YEAR(IF(ISNUMBER(Clients!F23),Clients!F23,DATE(YEAR(TODAY()),MONTH(TODAY()),1))))*12+MONTH(EDATE(DATE(YEAR(TODAY()),MONTH(TODAY()),1),4))-MONTH(IF(ISNUMBER(Clients!F23),Clients!F23,DATE(YEAR(TODAY()),MONTH(TODAY()),1))),6)=0,1,0),IF(Clients!E23="Annual",IF(MOD((YEAR(EDATE(DATE(YEAR(TODAY()),MONTH(TODAY()),1),4))-YEAR(IF(ISNUMBER(Clients!F23),Clients!F23,DATE(YEAR(TODAY()),MONTH(TODAY()),1))))*12+MONTH(EDATE(DATE(YEAR(TODAY()),MONTH(TODAY()),1),4))-MONTH(IF(ISNUMBER(Clients!F23),Clients!F23,DATE(YEAR(TODAY()),MONTH(TODAY()),1))),12)=0,1,0),IF(Clients!E23="One-time",IF(4=0,1,0),1)))))),"")</f>
        <v/>
      </c>
      <c r="K93" t="str">
        <f ca="1">IFERROR(IF(OR(5&gt;=$B$1,Clients!A23="",NOT(ISNUMBER(Clients!D23)),Clients!L23="Expired",Clients!L23="Terminate"),"",Clients!D23*1*IF(Clients!E23="Monthly",IF(AND(ISNUMBER(Clients!G23),(YEAR(EDATE(DATE(YEAR(TODAY()),MONTH(TODAY()),1),5))*12+MONTH(EDATE(DATE(YEAR(TODAY()),MONTH(TODAY()),1),5)))&gt;(YEAR(Clients!G23)*12+MONTH(Clients!G23))),"",1),IF(Clients!E23="Quarterly",IF(MOD((YEAR(EDATE(DATE(YEAR(TODAY()),MONTH(TODAY()),1),5))-YEAR(IF(ISNUMBER(Clients!F23),Clients!F23,DATE(YEAR(TODAY()),MONTH(TODAY()),1))))*12+MONTH(EDATE(DATE(YEAR(TODAY()),MONTH(TODAY()),1),5))-MONTH(IF(ISNUMBER(Clients!F23),Clients!F23,DATE(YEAR(TODAY()),MONTH(TODAY()),1))),3)=0,1,0),IF(Clients!E23="Semi-annual",IF(MOD((YEAR(EDATE(DATE(YEAR(TODAY()),MONTH(TODAY()),1),5))-YEAR(IF(ISNUMBER(Clients!F23),Clients!F23,DATE(YEAR(TODAY()),MONTH(TODAY()),1))))*12+MONTH(EDATE(DATE(YEAR(TODAY()),MONTH(TODAY()),1),5))-MONTH(IF(ISNUMBER(Clients!F23),Clients!F23,DATE(YEAR(TODAY()),MONTH(TODAY()),1))),6)=0,1,0),IF(Clients!E23="Annual",IF(MOD((YEAR(EDATE(DATE(YEAR(TODAY()),MONTH(TODAY()),1),5))-YEAR(IF(ISNUMBER(Clients!F23),Clients!F23,DATE(YEAR(TODAY()),MONTH(TODAY()),1))))*12+MONTH(EDATE(DATE(YEAR(TODAY()),MONTH(TODAY()),1),5))-MONTH(IF(ISNUMBER(Clients!F23),Clients!F23,DATE(YEAR(TODAY()),MONTH(TODAY()),1))),12)=0,1,0),IF(Clients!E23="One-time",IF(5=0,1,0),1)))))),"")</f>
        <v/>
      </c>
      <c r="L93" t="str">
        <f ca="1">IFERROR(IF(OR(6&gt;=$B$1,Clients!A23="",NOT(ISNUMBER(Clients!D23)),Clients!L23="Expired",Clients!L23="Terminate"),"",Clients!D23*1*IF(Clients!E23="Monthly",IF(AND(ISNUMBER(Clients!G23),(YEAR(EDATE(DATE(YEAR(TODAY()),MONTH(TODAY()),1),6))*12+MONTH(EDATE(DATE(YEAR(TODAY()),MONTH(TODAY()),1),6)))&gt;(YEAR(Clients!G23)*12+MONTH(Clients!G23))),"",1),IF(Clients!E23="Quarterly",IF(MOD((YEAR(EDATE(DATE(YEAR(TODAY()),MONTH(TODAY()),1),6))-YEAR(IF(ISNUMBER(Clients!F23),Clients!F23,DATE(YEAR(TODAY()),MONTH(TODAY()),1))))*12+MONTH(EDATE(DATE(YEAR(TODAY()),MONTH(TODAY()),1),6))-MONTH(IF(ISNUMBER(Clients!F23),Clients!F23,DATE(YEAR(TODAY()),MONTH(TODAY()),1))),3)=0,1,0),IF(Clients!E23="Semi-annual",IF(MOD((YEAR(EDATE(DATE(YEAR(TODAY()),MONTH(TODAY()),1),6))-YEAR(IF(ISNUMBER(Clients!F23),Clients!F23,DATE(YEAR(TODAY()),MONTH(TODAY()),1))))*12+MONTH(EDATE(DATE(YEAR(TODAY()),MONTH(TODAY()),1),6))-MONTH(IF(ISNUMBER(Clients!F23),Clients!F23,DATE(YEAR(TODAY()),MONTH(TODAY()),1))),6)=0,1,0),IF(Clients!E23="Annual",IF(MOD((YEAR(EDATE(DATE(YEAR(TODAY()),MONTH(TODAY()),1),6))-YEAR(IF(ISNUMBER(Clients!F23),Clients!F23,DATE(YEAR(TODAY()),MONTH(TODAY()),1))))*12+MONTH(EDATE(DATE(YEAR(TODAY()),MONTH(TODAY()),1),6))-MONTH(IF(ISNUMBER(Clients!F23),Clients!F23,DATE(YEAR(TODAY()),MONTH(TODAY()),1))),12)=0,1,0),IF(Clients!E23="One-time",IF(6=0,1,0),1)))))),"")</f>
        <v/>
      </c>
      <c r="M93" t="str">
        <f ca="1">IFERROR(IF(OR(7&gt;=$B$1,Clients!A23="",NOT(ISNUMBER(Clients!D23)),Clients!L23="Expired",Clients!L23="Terminate"),"",Clients!D23*1*IF(Clients!E23="Monthly",IF(AND(ISNUMBER(Clients!G23),(YEAR(EDATE(DATE(YEAR(TODAY()),MONTH(TODAY()),1),7))*12+MONTH(EDATE(DATE(YEAR(TODAY()),MONTH(TODAY()),1),7)))&gt;(YEAR(Clients!G23)*12+MONTH(Clients!G23))),"",1),IF(Clients!E23="Quarterly",IF(MOD((YEAR(EDATE(DATE(YEAR(TODAY()),MONTH(TODAY()),1),7))-YEAR(IF(ISNUMBER(Clients!F23),Clients!F23,DATE(YEAR(TODAY()),MONTH(TODAY()),1))))*12+MONTH(EDATE(DATE(YEAR(TODAY()),MONTH(TODAY()),1),7))-MONTH(IF(ISNUMBER(Clients!F23),Clients!F23,DATE(YEAR(TODAY()),MONTH(TODAY()),1))),3)=0,1,0),IF(Clients!E23="Semi-annual",IF(MOD((YEAR(EDATE(DATE(YEAR(TODAY()),MONTH(TODAY()),1),7))-YEAR(IF(ISNUMBER(Clients!F23),Clients!F23,DATE(YEAR(TODAY()),MONTH(TODAY()),1))))*12+MONTH(EDATE(DATE(YEAR(TODAY()),MONTH(TODAY()),1),7))-MONTH(IF(ISNUMBER(Clients!F23),Clients!F23,DATE(YEAR(TODAY()),MONTH(TODAY()),1))),6)=0,1,0),IF(Clients!E23="Annual",IF(MOD((YEAR(EDATE(DATE(YEAR(TODAY()),MONTH(TODAY()),1),7))-YEAR(IF(ISNUMBER(Clients!F23),Clients!F23,DATE(YEAR(TODAY()),MONTH(TODAY()),1))))*12+MONTH(EDATE(DATE(YEAR(TODAY()),MONTH(TODAY()),1),7))-MONTH(IF(ISNUMBER(Clients!F23),Clients!F23,DATE(YEAR(TODAY()),MONTH(TODAY()),1))),12)=0,1,0),IF(Clients!E23="One-time",IF(7=0,1,0),1)))))),"")</f>
        <v/>
      </c>
      <c r="N93" t="str">
        <f ca="1">IFERROR(IF(OR(8&gt;=$B$1,Clients!A23="",NOT(ISNUMBER(Clients!D23)),Clients!L23="Expired",Clients!L23="Terminate"),"",Clients!D23*1*IF(Clients!E23="Monthly",IF(AND(ISNUMBER(Clients!G23),(YEAR(EDATE(DATE(YEAR(TODAY()),MONTH(TODAY()),1),8))*12+MONTH(EDATE(DATE(YEAR(TODAY()),MONTH(TODAY()),1),8)))&gt;(YEAR(Clients!G23)*12+MONTH(Clients!G23))),"",1),IF(Clients!E23="Quarterly",IF(MOD((YEAR(EDATE(DATE(YEAR(TODAY()),MONTH(TODAY()),1),8))-YEAR(IF(ISNUMBER(Clients!F23),Clients!F23,DATE(YEAR(TODAY()),MONTH(TODAY()),1))))*12+MONTH(EDATE(DATE(YEAR(TODAY()),MONTH(TODAY()),1),8))-MONTH(IF(ISNUMBER(Clients!F23),Clients!F23,DATE(YEAR(TODAY()),MONTH(TODAY()),1))),3)=0,1,0),IF(Clients!E23="Semi-annual",IF(MOD((YEAR(EDATE(DATE(YEAR(TODAY()),MONTH(TODAY()),1),8))-YEAR(IF(ISNUMBER(Clients!F23),Clients!F23,DATE(YEAR(TODAY()),MONTH(TODAY()),1))))*12+MONTH(EDATE(DATE(YEAR(TODAY()),MONTH(TODAY()),1),8))-MONTH(IF(ISNUMBER(Clients!F23),Clients!F23,DATE(YEAR(TODAY()),MONTH(TODAY()),1))),6)=0,1,0),IF(Clients!E23="Annual",IF(MOD((YEAR(EDATE(DATE(YEAR(TODAY()),MONTH(TODAY()),1),8))-YEAR(IF(ISNUMBER(Clients!F23),Clients!F23,DATE(YEAR(TODAY()),MONTH(TODAY()),1))))*12+MONTH(EDATE(DATE(YEAR(TODAY()),MONTH(TODAY()),1),8))-MONTH(IF(ISNUMBER(Clients!F23),Clients!F23,DATE(YEAR(TODAY()),MONTH(TODAY()),1))),12)=0,1,0),IF(Clients!E23="One-time",IF(8=0,1,0),1)))))),"")</f>
        <v/>
      </c>
      <c r="O93" t="str">
        <f ca="1">IFERROR(IF(OR(9&gt;=$B$1,Clients!A23="",NOT(ISNUMBER(Clients!D23)),Clients!L23="Expired",Clients!L23="Terminate"),"",Clients!D23*1*IF(Clients!E23="Monthly",IF(AND(ISNUMBER(Clients!G23),(YEAR(EDATE(DATE(YEAR(TODAY()),MONTH(TODAY()),1),9))*12+MONTH(EDATE(DATE(YEAR(TODAY()),MONTH(TODAY()),1),9)))&gt;(YEAR(Clients!G23)*12+MONTH(Clients!G23))),"",1),IF(Clients!E23="Quarterly",IF(MOD((YEAR(EDATE(DATE(YEAR(TODAY()),MONTH(TODAY()),1),9))-YEAR(IF(ISNUMBER(Clients!F23),Clients!F23,DATE(YEAR(TODAY()),MONTH(TODAY()),1))))*12+MONTH(EDATE(DATE(YEAR(TODAY()),MONTH(TODAY()),1),9))-MONTH(IF(ISNUMBER(Clients!F23),Clients!F23,DATE(YEAR(TODAY()),MONTH(TODAY()),1))),3)=0,1,0),IF(Clients!E23="Semi-annual",IF(MOD((YEAR(EDATE(DATE(YEAR(TODAY()),MONTH(TODAY()),1),9))-YEAR(IF(ISNUMBER(Clients!F23),Clients!F23,DATE(YEAR(TODAY()),MONTH(TODAY()),1))))*12+MONTH(EDATE(DATE(YEAR(TODAY()),MONTH(TODAY()),1),9))-MONTH(IF(ISNUMBER(Clients!F23),Clients!F23,DATE(YEAR(TODAY()),MONTH(TODAY()),1))),6)=0,1,0),IF(Clients!E23="Annual",IF(MOD((YEAR(EDATE(DATE(YEAR(TODAY()),MONTH(TODAY()),1),9))-YEAR(IF(ISNUMBER(Clients!F23),Clients!F23,DATE(YEAR(TODAY()),MONTH(TODAY()),1))))*12+MONTH(EDATE(DATE(YEAR(TODAY()),MONTH(TODAY()),1),9))-MONTH(IF(ISNUMBER(Clients!F23),Clients!F23,DATE(YEAR(TODAY()),MONTH(TODAY()),1))),12)=0,1,0),IF(Clients!E23="One-time",IF(9=0,1,0),1)))))),"")</f>
        <v/>
      </c>
      <c r="P93" t="str">
        <f ca="1">IFERROR(IF(OR(10&gt;=$B$1,Clients!A23="",NOT(ISNUMBER(Clients!D23)),Clients!L23="Expired",Clients!L23="Terminate"),"",Clients!D23*1*IF(Clients!E23="Monthly",IF(AND(ISNUMBER(Clients!G23),(YEAR(EDATE(DATE(YEAR(TODAY()),MONTH(TODAY()),1),10))*12+MONTH(EDATE(DATE(YEAR(TODAY()),MONTH(TODAY()),1),10)))&gt;(YEAR(Clients!G23)*12+MONTH(Clients!G23))),"",1),IF(Clients!E23="Quarterly",IF(MOD((YEAR(EDATE(DATE(YEAR(TODAY()),MONTH(TODAY()),1),10))-YEAR(IF(ISNUMBER(Clients!F23),Clients!F23,DATE(YEAR(TODAY()),MONTH(TODAY()),1))))*12+MONTH(EDATE(DATE(YEAR(TODAY()),MONTH(TODAY()),1),10))-MONTH(IF(ISNUMBER(Clients!F23),Clients!F23,DATE(YEAR(TODAY()),MONTH(TODAY()),1))),3)=0,1,0),IF(Clients!E23="Semi-annual",IF(MOD((YEAR(EDATE(DATE(YEAR(TODAY()),MONTH(TODAY()),1),10))-YEAR(IF(ISNUMBER(Clients!F23),Clients!F23,DATE(YEAR(TODAY()),MONTH(TODAY()),1))))*12+MONTH(EDATE(DATE(YEAR(TODAY()),MONTH(TODAY()),1),10))-MONTH(IF(ISNUMBER(Clients!F23),Clients!F23,DATE(YEAR(TODAY()),MONTH(TODAY()),1))),6)=0,1,0),IF(Clients!E23="Annual",IF(MOD((YEAR(EDATE(DATE(YEAR(TODAY()),MONTH(TODAY()),1),10))-YEAR(IF(ISNUMBER(Clients!F23),Clients!F23,DATE(YEAR(TODAY()),MONTH(TODAY()),1))))*12+MONTH(EDATE(DATE(YEAR(TODAY()),MONTH(TODAY()),1),10))-MONTH(IF(ISNUMBER(Clients!F23),Clients!F23,DATE(YEAR(TODAY()),MONTH(TODAY()),1))),12)=0,1,0),IF(Clients!E23="One-time",IF(10=0,1,0),1)))))),"")</f>
        <v/>
      </c>
      <c r="Q93" t="str">
        <f ca="1">IFERROR(IF(OR(11&gt;=$B$1,Clients!A23="",NOT(ISNUMBER(Clients!D23)),Clients!L23="Expired",Clients!L23="Terminate"),"",Clients!D23*1*IF(Clients!E23="Monthly",IF(AND(ISNUMBER(Clients!G23),(YEAR(EDATE(DATE(YEAR(TODAY()),MONTH(TODAY()),1),11))*12+MONTH(EDATE(DATE(YEAR(TODAY()),MONTH(TODAY()),1),11)))&gt;(YEAR(Clients!G23)*12+MONTH(Clients!G23))),"",1),IF(Clients!E23="Quarterly",IF(MOD((YEAR(EDATE(DATE(YEAR(TODAY()),MONTH(TODAY()),1),11))-YEAR(IF(ISNUMBER(Clients!F23),Clients!F23,DATE(YEAR(TODAY()),MONTH(TODAY()),1))))*12+MONTH(EDATE(DATE(YEAR(TODAY()),MONTH(TODAY()),1),11))-MONTH(IF(ISNUMBER(Clients!F23),Clients!F23,DATE(YEAR(TODAY()),MONTH(TODAY()),1))),3)=0,1,0),IF(Clients!E23="Semi-annual",IF(MOD((YEAR(EDATE(DATE(YEAR(TODAY()),MONTH(TODAY()),1),11))-YEAR(IF(ISNUMBER(Clients!F23),Clients!F23,DATE(YEAR(TODAY()),MONTH(TODAY()),1))))*12+MONTH(EDATE(DATE(YEAR(TODAY()),MONTH(TODAY()),1),11))-MONTH(IF(ISNUMBER(Clients!F23),Clients!F23,DATE(YEAR(TODAY()),MONTH(TODAY()),1))),6)=0,1,0),IF(Clients!E23="Annual",IF(MOD((YEAR(EDATE(DATE(YEAR(TODAY()),MONTH(TODAY()),1),11))-YEAR(IF(ISNUMBER(Clients!F23),Clients!F23,DATE(YEAR(TODAY()),MONTH(TODAY()),1))))*12+MONTH(EDATE(DATE(YEAR(TODAY()),MONTH(TODAY()),1),11))-MONTH(IF(ISNUMBER(Clients!F23),Clients!F23,DATE(YEAR(TODAY()),MONTH(TODAY()),1))),12)=0,1,0),IF(Clients!E23="One-time",IF(11=0,1,0),1)))))),"")</f>
        <v/>
      </c>
    </row>
    <row r="94" spans="1:29" ht="15" customHeight="1" x14ac:dyDescent="0.35">
      <c r="A94" s="11" t="s">
        <v>82</v>
      </c>
      <c r="F94" s="12">
        <f ca="1">IF(0&gt;=$B$1,"",IFERROR(SUM(F4:F92),0))</f>
        <v>-9997</v>
      </c>
      <c r="G94" s="12">
        <f ca="1">IF(1&gt;=$B$1,"",IFERROR(SUM(G4:G92),0))</f>
        <v>-9877</v>
      </c>
      <c r="H94" s="12">
        <f ca="1">IF(2&gt;=$B$1,"",IFERROR(SUM(H4:H92),0))</f>
        <v>-11807</v>
      </c>
      <c r="I94" s="12" t="str">
        <f>IF(3&gt;=$B$1,"",IFERROR(SUM(I4:I92),0))</f>
        <v/>
      </c>
      <c r="J94" s="12" t="str">
        <f>IF(4&gt;=$B$1,"",IFERROR(SUM(J4:J92),0))</f>
        <v/>
      </c>
      <c r="K94" s="12" t="str">
        <f>IF(5&gt;=$B$1,"",IFERROR(SUM(K4:K92),0))</f>
        <v/>
      </c>
      <c r="L94" s="12" t="str">
        <f>IF(6&gt;=$B$1,"",IFERROR(SUM(L4:L92),0))</f>
        <v/>
      </c>
      <c r="M94" s="12" t="str">
        <f>IF(7&gt;=$B$1,"",IFERROR(SUM(M4:M92),0))</f>
        <v/>
      </c>
      <c r="N94" s="12" t="str">
        <f>IF(8&gt;=$B$1,"",IFERROR(SUM(N4:N92),0))</f>
        <v/>
      </c>
      <c r="O94" s="12" t="str">
        <f>IF(9&gt;=$B$1,"",IFERROR(SUM(O4:O92),0))</f>
        <v/>
      </c>
      <c r="P94" s="12" t="str">
        <f>IF(10&gt;=$B$1,"",IFERROR(SUM(P4:P92),0))</f>
        <v/>
      </c>
      <c r="Q94" s="12" t="str">
        <f>IF(11&gt;=$B$1,"",IFERROR(SUM(Q4:Q92),0))</f>
        <v/>
      </c>
      <c r="R94" s="12" t="str">
        <f>IF(12&gt;=$B$1,"",IFERROR(SUM(R4:R92),0))</f>
        <v/>
      </c>
      <c r="S94" s="12" t="str">
        <f>IF(13&gt;=$B$1,"",IFERROR(SUM(S4:S92),0))</f>
        <v/>
      </c>
      <c r="T94" s="12" t="str">
        <f>IF(14&gt;=$B$1,"",IFERROR(SUM(T4:T92),0))</f>
        <v/>
      </c>
      <c r="U94" s="12" t="str">
        <f>IF(15&gt;=$B$1,"",IFERROR(SUM(U4:U92),0))</f>
        <v/>
      </c>
      <c r="V94" s="12" t="str">
        <f>IF(16&gt;=$B$1,"",IFERROR(SUM(V4:V92),0))</f>
        <v/>
      </c>
      <c r="W94" s="12" t="str">
        <f>IF(17&gt;=$B$1,"",IFERROR(SUM(W4:W92),0))</f>
        <v/>
      </c>
      <c r="X94" s="12" t="str">
        <f>IF(18&gt;=$B$1,"",IFERROR(SUM(X4:X92),0))</f>
        <v/>
      </c>
      <c r="Y94" s="12" t="str">
        <f>IF(19&gt;=$B$1,"",IFERROR(SUM(Y4:Y92),0))</f>
        <v/>
      </c>
      <c r="Z94" s="12" t="str">
        <f>IF(20&gt;=$B$1,"",IFERROR(SUM(Z4:Z92),0))</f>
        <v/>
      </c>
      <c r="AA94" s="12" t="str">
        <f>IF(21&gt;=$B$1,"",IFERROR(SUM(AA4:AA92),0))</f>
        <v/>
      </c>
      <c r="AB94" s="12" t="str">
        <f>IF(22&gt;=$B$1,"",IFERROR(SUM(AB4:AB92),0))</f>
        <v/>
      </c>
      <c r="AC94" s="12" t="str">
        <f>IF(23&gt;=$B$1,"",IFERROR(SUM(AC4:AC92),0))</f>
        <v/>
      </c>
    </row>
  </sheetData>
  <conditionalFormatting sqref="F94:AC94">
    <cfRule type="cellIs" dxfId="1" priority="2" operator="lessThan">
      <formula>0</formula>
    </cfRule>
    <cfRule type="cellIs" dxfId="0" priority="3" operator="greaterThan">
      <formula>0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Suppliers</vt:lpstr>
      <vt:lpstr>Clients</vt:lpstr>
      <vt:lpstr>Forecast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Ihab Khoubini</cp:lastModifiedBy>
  <cp:revision>0</cp:revision>
  <dcterms:created xsi:type="dcterms:W3CDTF">2026-05-04T22:07:56Z</dcterms:created>
  <dcterms:modified xsi:type="dcterms:W3CDTF">2026-05-18T18:00:00Z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b700f4f-3d70-45aa-bd9b-2c25e6e20401_Enabled">
    <vt:lpwstr>true</vt:lpwstr>
  </property>
  <property fmtid="{D5CDD505-2E9C-101B-9397-08002B2CF9AE}" pid="3" name="MSIP_Label_db700f4f-3d70-45aa-bd9b-2c25e6e20401_SetDate">
    <vt:lpwstr>2026-05-04T22:09:14Z</vt:lpwstr>
  </property>
  <property fmtid="{D5CDD505-2E9C-101B-9397-08002B2CF9AE}" pid="4" name="MSIP_Label_db700f4f-3d70-45aa-bd9b-2c25e6e20401_Method">
    <vt:lpwstr>Standard</vt:lpwstr>
  </property>
  <property fmtid="{D5CDD505-2E9C-101B-9397-08002B2CF9AE}" pid="5" name="MSIP_Label_db700f4f-3d70-45aa-bd9b-2c25e6e20401_Name">
    <vt:lpwstr>Internal use</vt:lpwstr>
  </property>
  <property fmtid="{D5CDD505-2E9C-101B-9397-08002B2CF9AE}" pid="6" name="MSIP_Label_db700f4f-3d70-45aa-bd9b-2c25e6e20401_SiteId">
    <vt:lpwstr>20ad1df1-4623-49cd-8375-4e91dbdd0f7a</vt:lpwstr>
  </property>
  <property fmtid="{D5CDD505-2E9C-101B-9397-08002B2CF9AE}" pid="7" name="MSIP_Label_db700f4f-3d70-45aa-bd9b-2c25e6e20401_ActionId">
    <vt:lpwstr>2432f84c-19e3-42df-aca2-ef92b35d4bfc</vt:lpwstr>
  </property>
  <property fmtid="{D5CDD505-2E9C-101B-9397-08002B2CF9AE}" pid="8" name="MSIP_Label_db700f4f-3d70-45aa-bd9b-2c25e6e20401_ContentBits">
    <vt:lpwstr>0</vt:lpwstr>
  </property>
  <property fmtid="{D5CDD505-2E9C-101B-9397-08002B2CF9AE}" pid="9" name="MSIP_Label_db700f4f-3d70-45aa-bd9b-2c25e6e20401_Tag">
    <vt:lpwstr>10, 3, 0, 1</vt:lpwstr>
  </property>
  <property fmtid="{D5CDD505-2E9C-101B-9397-08002B2CF9AE}" pid="10" name="ContentTypeId">
    <vt:lpwstr>0x0101002A856D533C45BD42B11B00C4DF2BEDC2</vt:lpwstr>
  </property>
  <property fmtid="{D5CDD505-2E9C-101B-9397-08002B2CF9AE}" pid="11" name="MediaServiceImageTags">
    <vt:lpwstr/>
  </property>
</Properties>
</file>